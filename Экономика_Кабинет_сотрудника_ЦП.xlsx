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кономика Ц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FFFFFF"/>
      <sz val="10"/>
    </font>
    <font>
      <name val="Calibri"/>
      <b val="1"/>
      <color rgb="001F4E79"/>
      <sz val="11"/>
    </font>
    <font>
      <name val="Calibri"/>
      <b val="1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6100"/>
      <sz val="10"/>
    </font>
    <font>
      <name val="Calibri"/>
      <i val="1"/>
      <color rgb="00C00000"/>
      <sz val="9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FFF8E7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E7E6E6"/>
      </patternFill>
    </fill>
    <fill>
      <patternFill patternType="solid">
        <fgColor rgb="00C65911"/>
      </patternFill>
    </fill>
    <fill>
      <patternFill patternType="solid">
        <fgColor rgb="00DDEBF7"/>
      </patternFill>
    </fill>
  </fills>
  <borders count="7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medium">
        <color rgb="001F4E79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3" borderId="0" pivotButton="0" quotePrefix="0" xfId="0"/>
    <xf numFmtId="0" fontId="0" fillId="3" borderId="0" pivotButton="0" quotePrefix="0" xfId="0"/>
    <xf numFmtId="0" fontId="6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4" fillId="0" borderId="1" applyAlignment="1" pivotButton="0" quotePrefix="0" xfId="0">
      <alignment horizontal="left" vertical="center" wrapText="1"/>
    </xf>
    <xf numFmtId="9" fontId="4" fillId="4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 wrapText="1"/>
    </xf>
    <xf numFmtId="3" fontId="4" fillId="10" borderId="2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 wrapText="1"/>
    </xf>
    <xf numFmtId="0" fontId="6" fillId="12" borderId="1" pivotButton="0" quotePrefix="0" xfId="0"/>
    <xf numFmtId="0" fontId="4" fillId="8" borderId="1" applyAlignment="1" pivotButton="0" quotePrefix="0" xfId="0">
      <alignment horizontal="left" vertical="center" wrapText="1"/>
    </xf>
    <xf numFmtId="3" fontId="0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0" fillId="10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 wrapText="1"/>
    </xf>
    <xf numFmtId="3" fontId="4" fillId="13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9" borderId="1" applyAlignment="1" pivotButton="0" quotePrefix="0" xfId="0">
      <alignment horizontal="left" vertical="center" wrapText="1"/>
    </xf>
    <xf numFmtId="3" fontId="8" fillId="9" borderId="2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6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6" customHeight="1">
      <c r="A1" s="1" t="inlineStr">
        <is>
          <t>1С:Кабинет сотрудника — экономика продажи для ЦП и затраты ЦСВ</t>
        </is>
      </c>
    </row>
    <row r="2" ht="36" customHeight="1">
      <c r="A2" s="3" t="inlineStr">
        <is>
          <t>МД = Розница − Закупка. Доля ЦСВ 30% от МД, ЦП 70% от МД. Затраты ЦСВ = часы по акции «Больше, чем кешбэк» × ставка линии консультаций. Акция и часы — при оплате пакета на 12 месяцев (до 100 кабинетов).</t>
        </is>
      </c>
    </row>
    <row r="4">
      <c r="A4" s="4" t="inlineStr">
        <is>
          <t>ПАРАМЕТРЫ</t>
        </is>
      </c>
      <c r="G4" s="6" t="inlineStr">
        <is>
          <t>Затраты ЦСВ по акции «Больше, чем кешбэк» (лицензия 12 мес.)</t>
        </is>
      </c>
      <c r="H4" s="32" t="n"/>
      <c r="I4" s="32" t="n"/>
      <c r="J4" s="32" t="n"/>
      <c r="K4" s="33" t="n"/>
    </row>
    <row r="5" ht="30" customHeight="1">
      <c r="A5" s="8" t="inlineStr">
        <is>
          <t>Доля ЦСВ от МД</t>
        </is>
      </c>
      <c r="B5" s="9" t="n">
        <v>0.3</v>
      </c>
      <c r="C5" s="10" t="inlineStr">
        <is>
          <t>Акция «Больше, чем кешбэк»: при оплате Кабинета сотрудника начисляем клиенту часы на линию консультаций.
10 каб. → +1 ч; 50 каб. → +3 ч; 100 каб. → +5 ч. Для 700 каб. акция не прописана — ячейки пустые.
Ставка часа: 3 660 ₽; от 4 часов — 3 420 ₽; от 10 часов — 3 360 ₽.</t>
        </is>
      </c>
      <c r="G5" s="11" t="inlineStr">
        <is>
          <t>Показатель</t>
        </is>
      </c>
      <c r="H5" s="11" t="inlineStr">
        <is>
          <t>10 кабинетов</t>
        </is>
      </c>
      <c r="I5" s="11" t="inlineStr">
        <is>
          <t>50 кабинетов</t>
        </is>
      </c>
      <c r="J5" s="11" t="inlineStr">
        <is>
          <t>100 кабинетов</t>
        </is>
      </c>
      <c r="K5" s="11" t="inlineStr">
        <is>
          <t>700 кабинетов (500+200)</t>
        </is>
      </c>
    </row>
    <row r="6">
      <c r="A6" s="8" t="inlineStr">
        <is>
          <t>Доля ЦП от МД</t>
        </is>
      </c>
      <c r="B6" s="9">
        <f>1-B5</f>
        <v/>
      </c>
      <c r="G6" s="12" t="inlineStr">
        <is>
          <t>Часы на линию консультаций (акция)</t>
        </is>
      </c>
      <c r="H6" s="13" t="n">
        <v>1</v>
      </c>
      <c r="I6" s="13" t="n">
        <v>3</v>
      </c>
      <c r="J6" s="13" t="n">
        <v>5</v>
      </c>
      <c r="K6" s="14" t="inlineStr">
        <is>
          <t>—</t>
        </is>
      </c>
    </row>
    <row r="7">
      <c r="A7" s="8" t="inlineStr">
        <is>
          <t>Ставка часа ЛК (&lt; 4 ч)</t>
        </is>
      </c>
      <c r="B7" s="15" t="n">
        <v>3660</v>
      </c>
      <c r="G7" s="16" t="inlineStr">
        <is>
          <t>Ставка часа, руб.</t>
        </is>
      </c>
      <c r="H7" s="17">
        <f>IF(H6&gt;=10,$B$9,IF(H6&gt;=4,$B$8,$B$7))</f>
        <v/>
      </c>
      <c r="I7" s="17">
        <f>IF(I6&gt;=10,$B$9,IF(I6&gt;=4,$B$8,$B$7))</f>
        <v/>
      </c>
      <c r="J7" s="17">
        <f>IF(J6&gt;=10,$B$9,IF(J6&gt;=4,$B$8,$B$7))</f>
        <v/>
      </c>
      <c r="K7" s="14" t="inlineStr">
        <is>
          <t>—</t>
        </is>
      </c>
    </row>
    <row r="8">
      <c r="A8" s="8" t="inlineStr">
        <is>
          <t>Ставка часа ЛК (от 4 ч)</t>
        </is>
      </c>
      <c r="B8" s="15" t="n">
        <v>3420</v>
      </c>
      <c r="G8" s="18" t="inlineStr">
        <is>
          <t>Затраты ЦСВ на часы, руб.</t>
        </is>
      </c>
      <c r="H8" s="19">
        <f>H6*H7</f>
        <v/>
      </c>
      <c r="I8" s="19">
        <f>I6*I7</f>
        <v/>
      </c>
      <c r="J8" s="19">
        <f>J6*J7</f>
        <v/>
      </c>
      <c r="K8" s="14" t="inlineStr">
        <is>
          <t>—</t>
        </is>
      </c>
    </row>
    <row r="9">
      <c r="A9" s="8" t="inlineStr">
        <is>
          <t>Ставка часа ЛК (от 10 ч)</t>
        </is>
      </c>
      <c r="B9" s="15" t="n">
        <v>3360</v>
      </c>
      <c r="G9" s="20" t="inlineStr">
        <is>
          <t>Для 700 кабинетов акция не прописана — затраты не считаем. Ставка выбирается автоматически по числу часов.</t>
        </is>
      </c>
    </row>
    <row r="11">
      <c r="A11" s="4" t="inlineStr">
        <is>
          <t>Расчёт маржинального дохода и доли ЦП / ЦСВ по вариантам продажи</t>
        </is>
      </c>
      <c r="G11" s="21" t="inlineStr">
        <is>
          <t>Сводная таблица ЦСВ (продажа на 12 месяцев)</t>
        </is>
      </c>
      <c r="H11" s="32" t="n"/>
      <c r="I11" s="32" t="n"/>
      <c r="J11" s="32" t="n"/>
      <c r="K11" s="33" t="n"/>
    </row>
    <row r="12">
      <c r="A12" s="6" t="inlineStr">
        <is>
          <t>Срок лицензии: 1 месяц</t>
        </is>
      </c>
      <c r="B12" s="32" t="n"/>
      <c r="C12" s="32" t="n"/>
      <c r="D12" s="32" t="n"/>
      <c r="E12" s="33" t="n"/>
      <c r="G12" s="11" t="inlineStr">
        <is>
          <t>Показатель</t>
        </is>
      </c>
      <c r="H12" s="11" t="inlineStr">
        <is>
          <t>10 кабинетов</t>
        </is>
      </c>
      <c r="I12" s="11" t="inlineStr">
        <is>
          <t>50 кабинетов</t>
        </is>
      </c>
      <c r="J12" s="11" t="inlineStr">
        <is>
          <t>100 кабинетов</t>
        </is>
      </c>
      <c r="K12" s="11" t="inlineStr">
        <is>
          <t>700 кабинетов (500+200)</t>
        </is>
      </c>
    </row>
    <row r="13" ht="30" customHeight="1">
      <c r="A13" s="11" t="inlineStr">
        <is>
          <t>Показатель</t>
        </is>
      </c>
      <c r="B13" s="11" t="inlineStr">
        <is>
          <t>10 кабинетов</t>
        </is>
      </c>
      <c r="C13" s="11" t="inlineStr">
        <is>
          <t>50 кабинетов</t>
        </is>
      </c>
      <c r="D13" s="11" t="inlineStr">
        <is>
          <t>100 кабинетов</t>
        </is>
      </c>
      <c r="E13" s="11" t="inlineStr">
        <is>
          <t>700 кабинетов
(500+200)</t>
        </is>
      </c>
      <c r="G13" s="23" t="inlineStr">
        <is>
          <t>Итого получено для ЦСВ (30% МД), руб.</t>
        </is>
      </c>
      <c r="H13" s="24">
        <f>B45</f>
        <v/>
      </c>
      <c r="I13" s="24">
        <f>C45</f>
        <v/>
      </c>
      <c r="J13" s="24">
        <f>D45</f>
        <v/>
      </c>
      <c r="K13" s="24">
        <f>E45</f>
        <v/>
      </c>
    </row>
    <row r="14" ht="28" customHeight="1">
      <c r="A14" s="16" t="inlineStr">
        <is>
          <t>Состав</t>
        </is>
      </c>
      <c r="B14" s="25" t="inlineStr">
        <is>
          <t>пакет 10 на 1 месяц</t>
        </is>
      </c>
      <c r="C14" s="25" t="inlineStr">
        <is>
          <t>пакет 50 на 1 месяц</t>
        </is>
      </c>
      <c r="D14" s="25" t="inlineStr">
        <is>
          <t>пакет 100 на 1 месяц</t>
        </is>
      </c>
      <c r="E14" s="25" t="inlineStr">
        <is>
          <t>пакет 500 + пакет 200 на 1 месяц</t>
        </is>
      </c>
      <c r="G14" s="18" t="inlineStr">
        <is>
          <t>Итого затрат ЦСВ (часы ЛК), руб.</t>
        </is>
      </c>
      <c r="H14" s="26">
        <f>H8</f>
        <v/>
      </c>
      <c r="I14" s="26">
        <f>I8</f>
        <v/>
      </c>
      <c r="J14" s="26">
        <f>J8</f>
        <v/>
      </c>
      <c r="K14" s="14" t="inlineStr">
        <is>
          <t>—</t>
        </is>
      </c>
    </row>
    <row r="15">
      <c r="A15" s="16" t="inlineStr">
        <is>
          <t>Розничная цена, руб. без НДС</t>
        </is>
      </c>
      <c r="B15" s="27" t="n">
        <v>300</v>
      </c>
      <c r="C15" s="27" t="n">
        <v>1500</v>
      </c>
      <c r="D15" s="27" t="n">
        <v>3000</v>
      </c>
      <c r="E15" s="27" t="n">
        <v>18600</v>
      </c>
      <c r="G15" s="28" t="inlineStr">
        <is>
          <t>Нетто ЦСВ (получено − затраты), руб.</t>
        </is>
      </c>
      <c r="H15" s="29">
        <f>H13-H14</f>
        <v/>
      </c>
      <c r="I15" s="29">
        <f>I13-I14</f>
        <v/>
      </c>
      <c r="J15" s="29">
        <f>J13-J14</f>
        <v/>
      </c>
      <c r="K15" s="30" t="inlineStr">
        <is>
          <t>—</t>
        </is>
      </c>
    </row>
    <row r="16">
      <c r="A16" s="16" t="inlineStr">
        <is>
          <t>Закупочная цена (дилер), руб. без НДС</t>
        </is>
      </c>
      <c r="B16" s="27" t="n">
        <v>150</v>
      </c>
      <c r="C16" s="27" t="n">
        <v>750</v>
      </c>
      <c r="D16" s="27" t="n">
        <v>1500</v>
      </c>
      <c r="E16" s="27" t="n">
        <v>9300</v>
      </c>
    </row>
    <row r="17">
      <c r="A17" s="31" t="inlineStr">
        <is>
          <t>Цвета: жёлтый — вводные данные; оранжевый — доля/затраты ЦСВ; зелёный — доход ЦП; голубой — нетто ЦСВ. Цены без НДС из прайса «цены кабинет сотрудника». Акция — из image.png («Больше, чем кешбэк»).</t>
        </is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</row>
    <row r="18">
      <c r="A18" s="23" t="inlineStr">
        <is>
          <t>Доля ЦСВ (30% от МД), руб.</t>
        </is>
      </c>
      <c r="B18" s="24">
        <f>B17*$B$5</f>
        <v/>
      </c>
      <c r="C18" s="24">
        <f>C17*$B$5</f>
        <v/>
      </c>
      <c r="D18" s="24">
        <f>D17*$B$5</f>
        <v/>
      </c>
      <c r="E18" s="24">
        <f>E17*$B$5</f>
        <v/>
      </c>
    </row>
    <row r="19">
      <c r="A19" s="34" t="inlineStr">
        <is>
          <t>Итого остаётся ЦП (70% от МД), руб.</t>
        </is>
      </c>
      <c r="B19" s="35">
        <f>B17*$B$6</f>
        <v/>
      </c>
      <c r="C19" s="35">
        <f>C17*$B$6</f>
        <v/>
      </c>
      <c r="D19" s="35">
        <f>D17*$B$6</f>
        <v/>
      </c>
      <c r="E19" s="35">
        <f>E17*$B$6</f>
        <v/>
      </c>
    </row>
    <row r="21">
      <c r="A21" s="6" t="inlineStr">
        <is>
          <t>Срок лицензии: 3 месяца</t>
        </is>
      </c>
      <c r="B21" s="32" t="n"/>
      <c r="C21" s="32" t="n"/>
      <c r="D21" s="32" t="n"/>
      <c r="E21" s="33" t="n"/>
    </row>
    <row r="22" ht="30" customHeight="1">
      <c r="A22" s="11" t="inlineStr">
        <is>
          <t>Показатель</t>
        </is>
      </c>
      <c r="B22" s="11" t="inlineStr">
        <is>
          <t>10 кабинетов</t>
        </is>
      </c>
      <c r="C22" s="11" t="inlineStr">
        <is>
          <t>50 кабинетов</t>
        </is>
      </c>
      <c r="D22" s="11" t="inlineStr">
        <is>
          <t>100 кабинетов</t>
        </is>
      </c>
      <c r="E22" s="11" t="inlineStr">
        <is>
          <t>700 кабинетов
(500+200)</t>
        </is>
      </c>
    </row>
    <row r="23" ht="28" customHeight="1">
      <c r="A23" s="16" t="inlineStr">
        <is>
          <t>Состав</t>
        </is>
      </c>
      <c r="B23" s="25" t="inlineStr">
        <is>
          <t>пакет 10 на 3 месяца</t>
        </is>
      </c>
      <c r="C23" s="25" t="inlineStr">
        <is>
          <t>пакет 50 на 3 месяца</t>
        </is>
      </c>
      <c r="D23" s="25" t="inlineStr">
        <is>
          <t>пакет 100 на 3 месяца</t>
        </is>
      </c>
      <c r="E23" s="25" t="inlineStr">
        <is>
          <t>пакет 500 + пакет 200 на 3 месяца</t>
        </is>
      </c>
    </row>
    <row r="24">
      <c r="A24" s="16" t="inlineStr">
        <is>
          <t>Розничная цена, руб. без НДС</t>
        </is>
      </c>
      <c r="B24" s="27" t="n">
        <v>885</v>
      </c>
      <c r="C24" s="27" t="n">
        <v>4425</v>
      </c>
      <c r="D24" s="27" t="n">
        <v>8850</v>
      </c>
      <c r="E24" s="27" t="n">
        <v>54750</v>
      </c>
    </row>
    <row r="25">
      <c r="A25" s="16" t="inlineStr">
        <is>
          <t>Закупочная цена (дилер), руб. без НДС</t>
        </is>
      </c>
      <c r="B25" s="27" t="n">
        <v>443</v>
      </c>
      <c r="C25" s="27" t="n">
        <v>2213</v>
      </c>
      <c r="D25" s="27" t="n">
        <v>4425</v>
      </c>
      <c r="E25" s="27" t="n">
        <v>27375</v>
      </c>
    </row>
    <row r="26">
      <c r="A26" s="36" t="inlineStr">
        <is>
          <t>Маржинальный доход (МД), руб.</t>
        </is>
      </c>
      <c r="B26" s="37">
        <f>B24-B25</f>
        <v/>
      </c>
      <c r="C26" s="37">
        <f>C24-C25</f>
        <v/>
      </c>
      <c r="D26" s="37">
        <f>D24-D25</f>
        <v/>
      </c>
      <c r="E26" s="37">
        <f>E24-E25</f>
        <v/>
      </c>
    </row>
    <row r="27">
      <c r="A27" s="23" t="inlineStr">
        <is>
          <t>Доля ЦСВ (30% от МД), руб.</t>
        </is>
      </c>
      <c r="B27" s="24">
        <f>B26*$B$5</f>
        <v/>
      </c>
      <c r="C27" s="24">
        <f>C26*$B$5</f>
        <v/>
      </c>
      <c r="D27" s="24">
        <f>D26*$B$5</f>
        <v/>
      </c>
      <c r="E27" s="24">
        <f>E26*$B$5</f>
        <v/>
      </c>
    </row>
    <row r="28">
      <c r="A28" s="34" t="inlineStr">
        <is>
          <t>Итого остаётся ЦП (70% от МД), руб.</t>
        </is>
      </c>
      <c r="B28" s="35">
        <f>B26*$B$6</f>
        <v/>
      </c>
      <c r="C28" s="35">
        <f>C26*$B$6</f>
        <v/>
      </c>
      <c r="D28" s="35">
        <f>D26*$B$6</f>
        <v/>
      </c>
      <c r="E28" s="35">
        <f>E26*$B$6</f>
        <v/>
      </c>
    </row>
    <row r="30">
      <c r="A30" s="6" t="inlineStr">
        <is>
          <t>Срок лицензии: 6 месяцев</t>
        </is>
      </c>
      <c r="B30" s="32" t="n"/>
      <c r="C30" s="32" t="n"/>
      <c r="D30" s="32" t="n"/>
      <c r="E30" s="33" t="n"/>
    </row>
    <row r="31" ht="30" customHeight="1">
      <c r="A31" s="11" t="inlineStr">
        <is>
          <t>Показатель</t>
        </is>
      </c>
      <c r="B31" s="11" t="inlineStr">
        <is>
          <t>10 кабинетов</t>
        </is>
      </c>
      <c r="C31" s="11" t="inlineStr">
        <is>
          <t>50 кабинетов</t>
        </is>
      </c>
      <c r="D31" s="11" t="inlineStr">
        <is>
          <t>100 кабинетов</t>
        </is>
      </c>
      <c r="E31" s="11" t="inlineStr">
        <is>
          <t>700 кабинетов
(500+200)</t>
        </is>
      </c>
    </row>
    <row r="32" ht="28" customHeight="1">
      <c r="A32" s="16" t="inlineStr">
        <is>
          <t>Состав</t>
        </is>
      </c>
      <c r="B32" s="25" t="inlineStr">
        <is>
          <t>пакет 10 на 6 месяцев</t>
        </is>
      </c>
      <c r="C32" s="25" t="inlineStr">
        <is>
          <t>пакет 50 на 6 месяцев</t>
        </is>
      </c>
      <c r="D32" s="25" t="inlineStr">
        <is>
          <t>пакет 100 на 6 месяцев</t>
        </is>
      </c>
      <c r="E32" s="25" t="inlineStr">
        <is>
          <t>пакет 500 + пакет 200 на 6 месяцев</t>
        </is>
      </c>
    </row>
    <row r="33">
      <c r="A33" s="16" t="inlineStr">
        <is>
          <t>Розничная цена, руб. без НДС</t>
        </is>
      </c>
      <c r="B33" s="27" t="n">
        <v>1740</v>
      </c>
      <c r="C33" s="27" t="n">
        <v>8700</v>
      </c>
      <c r="D33" s="27" t="n">
        <v>17400</v>
      </c>
      <c r="E33" s="27" t="n">
        <v>107400</v>
      </c>
    </row>
    <row r="34">
      <c r="A34" s="16" t="inlineStr">
        <is>
          <t>Закупочная цена (дилер), руб. без НДС</t>
        </is>
      </c>
      <c r="B34" s="27" t="n">
        <v>870</v>
      </c>
      <c r="C34" s="27" t="n">
        <v>4350</v>
      </c>
      <c r="D34" s="27" t="n">
        <v>8700</v>
      </c>
      <c r="E34" s="27" t="n">
        <v>53700</v>
      </c>
    </row>
    <row r="35">
      <c r="A35" s="36" t="inlineStr">
        <is>
          <t>Маржинальный доход (МД), руб.</t>
        </is>
      </c>
      <c r="B35" s="37">
        <f>B33-B34</f>
        <v/>
      </c>
      <c r="C35" s="37">
        <f>C33-C34</f>
        <v/>
      </c>
      <c r="D35" s="37">
        <f>D33-D34</f>
        <v/>
      </c>
      <c r="E35" s="37">
        <f>E33-E34</f>
        <v/>
      </c>
    </row>
    <row r="36">
      <c r="A36" s="23" t="inlineStr">
        <is>
          <t>Доля ЦСВ (30% от МД), руб.</t>
        </is>
      </c>
      <c r="B36" s="24">
        <f>B35*$B$5</f>
        <v/>
      </c>
      <c r="C36" s="24">
        <f>C35*$B$5</f>
        <v/>
      </c>
      <c r="D36" s="24">
        <f>D35*$B$5</f>
        <v/>
      </c>
      <c r="E36" s="24">
        <f>E35*$B$5</f>
        <v/>
      </c>
    </row>
    <row r="37">
      <c r="A37" s="34" t="inlineStr">
        <is>
          <t>Итого остаётся ЦП (70% от МД), руб.</t>
        </is>
      </c>
      <c r="B37" s="35">
        <f>B35*$B$6</f>
        <v/>
      </c>
      <c r="C37" s="35">
        <f>C35*$B$6</f>
        <v/>
      </c>
      <c r="D37" s="35">
        <f>D35*$B$6</f>
        <v/>
      </c>
      <c r="E37" s="35">
        <f>E35*$B$6</f>
        <v/>
      </c>
    </row>
    <row r="39">
      <c r="A39" s="6" t="inlineStr">
        <is>
          <t>Срок лицензии: 12 месяцев</t>
        </is>
      </c>
      <c r="B39" s="32" t="n"/>
      <c r="C39" s="32" t="n"/>
      <c r="D39" s="32" t="n"/>
      <c r="E39" s="33" t="n"/>
    </row>
    <row r="40" ht="30" customHeight="1">
      <c r="A40" s="11" t="inlineStr">
        <is>
          <t>Показатель</t>
        </is>
      </c>
      <c r="B40" s="11" t="inlineStr">
        <is>
          <t>10 кабинетов</t>
        </is>
      </c>
      <c r="C40" s="11" t="inlineStr">
        <is>
          <t>50 кабинетов</t>
        </is>
      </c>
      <c r="D40" s="11" t="inlineStr">
        <is>
          <t>100 кабинетов</t>
        </is>
      </c>
      <c r="E40" s="11" t="inlineStr">
        <is>
          <t>700 кабинетов
(500+200)</t>
        </is>
      </c>
    </row>
    <row r="41" ht="28" customHeight="1">
      <c r="A41" s="16" t="inlineStr">
        <is>
          <t>Состав</t>
        </is>
      </c>
      <c r="B41" s="25" t="inlineStr">
        <is>
          <t>пакет 10 на 12 месяцев</t>
        </is>
      </c>
      <c r="C41" s="25" t="inlineStr">
        <is>
          <t>пакет 50 на 12 месяцев</t>
        </is>
      </c>
      <c r="D41" s="25" t="inlineStr">
        <is>
          <t>пакет 100 на 12 месяцев</t>
        </is>
      </c>
      <c r="E41" s="25" t="inlineStr">
        <is>
          <t>пакет 500 + пакет 200 на 12 месяцев</t>
        </is>
      </c>
    </row>
    <row r="42">
      <c r="A42" s="16" t="inlineStr">
        <is>
          <t>Розничная цена, руб. без НДС</t>
        </is>
      </c>
      <c r="B42" s="27" t="n">
        <v>3360</v>
      </c>
      <c r="C42" s="27" t="n">
        <v>16800</v>
      </c>
      <c r="D42" s="27" t="n">
        <v>33600</v>
      </c>
      <c r="E42" s="27" t="n">
        <v>206400</v>
      </c>
    </row>
    <row r="43">
      <c r="A43" s="16" t="inlineStr">
        <is>
          <t>Закупочная цена (дилер), руб. без НДС</t>
        </is>
      </c>
      <c r="B43" s="27" t="n">
        <v>1680</v>
      </c>
      <c r="C43" s="27" t="n">
        <v>8400</v>
      </c>
      <c r="D43" s="27" t="n">
        <v>16800</v>
      </c>
      <c r="E43" s="27" t="n">
        <v>103200</v>
      </c>
    </row>
    <row r="44">
      <c r="A44" s="36" t="inlineStr">
        <is>
          <t>Маржинальный доход (МД), руб.</t>
        </is>
      </c>
      <c r="B44" s="37">
        <f>B42-B43</f>
        <v/>
      </c>
      <c r="C44" s="37">
        <f>C42-C43</f>
        <v/>
      </c>
      <c r="D44" s="37">
        <f>D42-D43</f>
        <v/>
      </c>
      <c r="E44" s="37">
        <f>E42-E43</f>
        <v/>
      </c>
    </row>
    <row r="45">
      <c r="A45" s="23" t="inlineStr">
        <is>
          <t>Доля ЦСВ (30% от МД), руб.</t>
        </is>
      </c>
      <c r="B45" s="24">
        <f>B44*$B$5</f>
        <v/>
      </c>
      <c r="C45" s="24">
        <f>C44*$B$5</f>
        <v/>
      </c>
      <c r="D45" s="24">
        <f>D44*$B$5</f>
        <v/>
      </c>
      <c r="E45" s="24">
        <f>E44*$B$5</f>
        <v/>
      </c>
    </row>
    <row r="46">
      <c r="A46" s="34" t="inlineStr">
        <is>
          <t>Итого остаётся ЦП (70% от МД), руб.</t>
        </is>
      </c>
      <c r="B46" s="35">
        <f>B44*$B$6</f>
        <v/>
      </c>
      <c r="C46" s="35">
        <f>C44*$B$6</f>
        <v/>
      </c>
      <c r="D46" s="35">
        <f>D44*$B$6</f>
        <v/>
      </c>
      <c r="E46" s="35">
        <f>E44*$B$6</f>
        <v/>
      </c>
    </row>
  </sheetData>
  <mergeCells count="13">
    <mergeCell ref="A4:B4"/>
    <mergeCell ref="A21:E21"/>
    <mergeCell ref="A1:J1"/>
    <mergeCell ref="C5:E9"/>
    <mergeCell ref="A12:E12"/>
    <mergeCell ref="A30:E30"/>
    <mergeCell ref="A39:E39"/>
    <mergeCell ref="A11:E11"/>
    <mergeCell ref="G11:K11"/>
    <mergeCell ref="A2:J2"/>
    <mergeCell ref="A17:K17"/>
    <mergeCell ref="G9:K9"/>
    <mergeCell ref="G4:K4"/>
  </mergeCells>
  <pageMargins left="0.35" right="0.35" top="0.35" bottom="0.35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2026-08-04T02:31:14Z</dcterms:created>
  <dcterms:modified xmlns:dcterms="http://purl.org/dc/terms/" xmlns:xsi="http://www.w3.org/2001/XMLSchema-instance" xsi:type="dcterms:W3CDTF">2026-08-04T02:31:27Z</dcterms:modified>
</cp:coreProperties>
</file>