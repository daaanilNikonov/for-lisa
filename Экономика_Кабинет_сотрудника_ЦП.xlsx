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ономика ЦП" sheetId="1" state="visible" r:id="rId1"/>
  </sheets>
  <definedNames>
    <definedName name="_xlnm.Print_Titles" localSheetId="0">'Экономика ЦП'!$1:$2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1F4E79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8" fillId="8" borderId="2" applyAlignment="1" pivotButton="0" quotePrefix="0" xfId="0">
      <alignment horizontal="center" vertical="center" wrapText="1"/>
    </xf>
    <xf numFmtId="0" fontId="6" fillId="5" borderId="1" pivotButton="0" quotePrefix="0" xfId="0"/>
    <xf numFmtId="0" fontId="4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6" t="inlineStr">
        <is>
          <t>1С:Кабинет сотрудника — экономика продажи для Центра продаж (ЦП)</t>
        </is>
      </c>
      <c r="B1" s="27" t="n"/>
      <c r="C1" s="27" t="n"/>
      <c r="D1" s="27" t="n"/>
      <c r="E1" s="27" t="n"/>
    </row>
    <row r="2" ht="34" customHeight="1">
      <c r="A2" s="2" t="inlineStr">
        <is>
          <t>Маржинальный доход (МД) = Розничная цена − Закупочная цена (дилер). Из МД вычитается доля ЦСВ 30%. Остаток 70% — доход ЦП с одной продажи.</t>
        </is>
      </c>
      <c r="B2" s="27" t="n"/>
      <c r="C2" s="27" t="n"/>
      <c r="D2" s="27" t="n"/>
      <c r="E2" s="27" t="n"/>
    </row>
    <row r="3" ht="18" customHeight="1">
      <c r="A3" s="3" t="inlineStr">
        <is>
          <t>Цены без НДС. Источник: прайс «цены кабинет сотрудника». Вариант 700 кабинетов = пакет 500 + пакет 200.</t>
        </is>
      </c>
    </row>
    <row r="5">
      <c r="A5" s="4" t="inlineStr">
        <is>
          <t>Доля ЦСВ</t>
        </is>
      </c>
      <c r="B5" s="5" t="n">
        <v>0.3</v>
      </c>
      <c r="C5" s="4" t="inlineStr">
        <is>
          <t>Доля ЦП</t>
        </is>
      </c>
      <c r="D5" s="5">
        <f>1-B5</f>
        <v/>
      </c>
    </row>
    <row r="7" ht="22" customHeight="1">
      <c r="A7" s="28" t="inlineStr">
        <is>
          <t>Расчёт маржинального дохода и доли ЦП по вариантам продажи (все сроки лицензии)</t>
        </is>
      </c>
      <c r="B7" s="29" t="n"/>
      <c r="C7" s="29" t="n"/>
      <c r="D7" s="29" t="n"/>
      <c r="E7" s="29" t="n"/>
    </row>
    <row r="8">
      <c r="A8" s="7" t="inlineStr">
        <is>
          <t>Срок лицензии: 1 месяц</t>
        </is>
      </c>
      <c r="B8" s="30" t="n"/>
      <c r="C8" s="30" t="n"/>
      <c r="D8" s="30" t="n"/>
      <c r="E8" s="31" t="n"/>
    </row>
    <row r="9" ht="32" customHeight="1">
      <c r="A9" s="9" t="inlineStr">
        <is>
          <t>Показатель</t>
        </is>
      </c>
      <c r="B9" s="9" t="inlineStr">
        <is>
          <t>10 кабинетов</t>
        </is>
      </c>
      <c r="C9" s="9" t="inlineStr">
        <is>
          <t>50 кабинетов</t>
        </is>
      </c>
      <c r="D9" s="9" t="inlineStr">
        <is>
          <t>100 кабинетов</t>
        </is>
      </c>
      <c r="E9" s="9" t="inlineStr">
        <is>
          <t>700 кабинетов
(500+200)</t>
        </is>
      </c>
    </row>
    <row r="10" ht="30" customHeight="1">
      <c r="A10" s="10" t="inlineStr">
        <is>
          <t>Состав (артикулы прайса)</t>
        </is>
      </c>
      <c r="B10" s="11" t="inlineStr">
        <is>
          <t>1С:Кабинет сотрудника 10 на 1 месяц</t>
        </is>
      </c>
      <c r="C10" s="11" t="inlineStr">
        <is>
          <t>1С:Кабинет сотрудника 50 на 1 месяц</t>
        </is>
      </c>
      <c r="D10" s="11" t="inlineStr">
        <is>
          <t>1С:Кабинет сотрудника 100 на 1 месяц</t>
        </is>
      </c>
      <c r="E10" s="11" t="inlineStr">
        <is>
          <t>500 на 1 месяц + 200 на 1 месяц</t>
        </is>
      </c>
    </row>
    <row r="11">
      <c r="A11" s="10" t="inlineStr">
        <is>
          <t>Розничная цена, руб. без НДС</t>
        </is>
      </c>
      <c r="B11" s="12" t="n">
        <v>300</v>
      </c>
      <c r="C11" s="12" t="n">
        <v>1500</v>
      </c>
      <c r="D11" s="12" t="n">
        <v>3000</v>
      </c>
      <c r="E11" s="12" t="n">
        <v>18600</v>
      </c>
    </row>
    <row r="12">
      <c r="A12" s="10" t="inlineStr">
        <is>
          <t>Закупочная цена (дилер), руб. без НДС</t>
        </is>
      </c>
      <c r="B12" s="12" t="n">
        <v>150</v>
      </c>
      <c r="C12" s="12" t="n">
        <v>750</v>
      </c>
      <c r="D12" s="12" t="n">
        <v>1500</v>
      </c>
      <c r="E12" s="12" t="n">
        <v>9300</v>
      </c>
    </row>
    <row r="13">
      <c r="A13" s="13" t="inlineStr">
        <is>
          <t>Маржинальный доход (МД), руб.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</row>
    <row r="14">
      <c r="A14" s="15" t="inlineStr">
        <is>
          <t>Доля ЦСВ (30% от МД), руб.</t>
        </is>
      </c>
      <c r="B14" s="16">
        <f>B13*$B$5</f>
        <v/>
      </c>
      <c r="C14" s="16">
        <f>C13*$B$5</f>
        <v/>
      </c>
      <c r="D14" s="16">
        <f>D13*$B$5</f>
        <v/>
      </c>
      <c r="E14" s="16">
        <f>E13*$B$5</f>
        <v/>
      </c>
    </row>
    <row r="15" ht="20" customHeight="1">
      <c r="A15" s="17" t="inlineStr">
        <is>
          <t>Итого остаётся ЦП (70% от МД), руб.</t>
        </is>
      </c>
      <c r="B15" s="18">
        <f>B13*$D$5</f>
        <v/>
      </c>
      <c r="C15" s="18">
        <f>C13*$D$5</f>
        <v/>
      </c>
      <c r="D15" s="18">
        <f>D13*$D$5</f>
        <v/>
      </c>
      <c r="E15" s="18">
        <f>E13*$D$5</f>
        <v/>
      </c>
    </row>
    <row r="17">
      <c r="A17" s="7" t="inlineStr">
        <is>
          <t>Срок лицензии: 3 месяца</t>
        </is>
      </c>
      <c r="B17" s="30" t="n"/>
      <c r="C17" s="30" t="n"/>
      <c r="D17" s="30" t="n"/>
      <c r="E17" s="31" t="n"/>
    </row>
    <row r="18" ht="32" customHeight="1">
      <c r="A18" s="9" t="inlineStr">
        <is>
          <t>Показатель</t>
        </is>
      </c>
      <c r="B18" s="9" t="inlineStr">
        <is>
          <t>10 кабинетов</t>
        </is>
      </c>
      <c r="C18" s="9" t="inlineStr">
        <is>
          <t>50 кабинетов</t>
        </is>
      </c>
      <c r="D18" s="9" t="inlineStr">
        <is>
          <t>100 кабинетов</t>
        </is>
      </c>
      <c r="E18" s="9" t="inlineStr">
        <is>
          <t>700 кабинетов
(500+200)</t>
        </is>
      </c>
    </row>
    <row r="19" ht="30" customHeight="1">
      <c r="A19" s="10" t="inlineStr">
        <is>
          <t>Состав (артикулы прайса)</t>
        </is>
      </c>
      <c r="B19" s="11" t="inlineStr">
        <is>
          <t>1С:Кабинет сотрудника 10 на 3 месяца</t>
        </is>
      </c>
      <c r="C19" s="11" t="inlineStr">
        <is>
          <t>1С:Кабинет сотрудника 50 на 3 месяца</t>
        </is>
      </c>
      <c r="D19" s="11" t="inlineStr">
        <is>
          <t>1С:Кабинет сотрудника 100 на 3 месяца</t>
        </is>
      </c>
      <c r="E19" s="11" t="inlineStr">
        <is>
          <t>500 на 3 месяца + 200 на 3 месяца</t>
        </is>
      </c>
    </row>
    <row r="20">
      <c r="A20" s="10" t="inlineStr">
        <is>
          <t>Розничная цена, руб. без НДС</t>
        </is>
      </c>
      <c r="B20" s="12" t="n">
        <v>885</v>
      </c>
      <c r="C20" s="12" t="n">
        <v>4425</v>
      </c>
      <c r="D20" s="12" t="n">
        <v>8850</v>
      </c>
      <c r="E20" s="12" t="n">
        <v>54750</v>
      </c>
    </row>
    <row r="21">
      <c r="A21" s="10" t="inlineStr">
        <is>
          <t>Закупочная цена (дилер), руб. без НДС</t>
        </is>
      </c>
      <c r="B21" s="12" t="n">
        <v>443</v>
      </c>
      <c r="C21" s="12" t="n">
        <v>2213</v>
      </c>
      <c r="D21" s="12" t="n">
        <v>4425</v>
      </c>
      <c r="E21" s="12" t="n">
        <v>27375</v>
      </c>
    </row>
    <row r="22">
      <c r="A22" s="13" t="inlineStr">
        <is>
          <t>Маржинальный доход (МД), руб.</t>
        </is>
      </c>
      <c r="B22" s="14">
        <f>B20-B21</f>
        <v/>
      </c>
      <c r="C22" s="14">
        <f>C20-C21</f>
        <v/>
      </c>
      <c r="D22" s="14">
        <f>D20-D21</f>
        <v/>
      </c>
      <c r="E22" s="14">
        <f>E20-E21</f>
        <v/>
      </c>
    </row>
    <row r="23">
      <c r="A23" s="15" t="inlineStr">
        <is>
          <t>Доля ЦСВ (30% от МД), руб.</t>
        </is>
      </c>
      <c r="B23" s="16">
        <f>B22*$B$5</f>
        <v/>
      </c>
      <c r="C23" s="16">
        <f>C22*$B$5</f>
        <v/>
      </c>
      <c r="D23" s="16">
        <f>D22*$B$5</f>
        <v/>
      </c>
      <c r="E23" s="16">
        <f>E22*$B$5</f>
        <v/>
      </c>
    </row>
    <row r="24" ht="20" customHeight="1">
      <c r="A24" s="17" t="inlineStr">
        <is>
          <t>Итого остаётся ЦП (70% от МД), руб.</t>
        </is>
      </c>
      <c r="B24" s="18">
        <f>B22*$D$5</f>
        <v/>
      </c>
      <c r="C24" s="18">
        <f>C22*$D$5</f>
        <v/>
      </c>
      <c r="D24" s="18">
        <f>D22*$D$5</f>
        <v/>
      </c>
      <c r="E24" s="18">
        <f>E22*$D$5</f>
        <v/>
      </c>
    </row>
    <row r="26">
      <c r="A26" s="7" t="inlineStr">
        <is>
          <t>Срок лицензии: 6 месяцев</t>
        </is>
      </c>
      <c r="B26" s="30" t="n"/>
      <c r="C26" s="30" t="n"/>
      <c r="D26" s="30" t="n"/>
      <c r="E26" s="31" t="n"/>
    </row>
    <row r="27" ht="32" customHeight="1">
      <c r="A27" s="9" t="inlineStr">
        <is>
          <t>Показатель</t>
        </is>
      </c>
      <c r="B27" s="9" t="inlineStr">
        <is>
          <t>10 кабинетов</t>
        </is>
      </c>
      <c r="C27" s="9" t="inlineStr">
        <is>
          <t>50 кабинетов</t>
        </is>
      </c>
      <c r="D27" s="9" t="inlineStr">
        <is>
          <t>100 кабинетов</t>
        </is>
      </c>
      <c r="E27" s="9" t="inlineStr">
        <is>
          <t>700 кабинетов
(500+200)</t>
        </is>
      </c>
    </row>
    <row r="28" ht="30" customHeight="1">
      <c r="A28" s="10" t="inlineStr">
        <is>
          <t>Состав (артикулы прайса)</t>
        </is>
      </c>
      <c r="B28" s="11" t="inlineStr">
        <is>
          <t>1С:Кабинет сотрудника 10 на 6 месяцев</t>
        </is>
      </c>
      <c r="C28" s="11" t="inlineStr">
        <is>
          <t>1С:Кабинет сотрудника 50 на 6 месяцев</t>
        </is>
      </c>
      <c r="D28" s="11" t="inlineStr">
        <is>
          <t>1С:Кабинет сотрудника 100 на 6 месяцев</t>
        </is>
      </c>
      <c r="E28" s="11" t="inlineStr">
        <is>
          <t>500 на 6 месяцев + 200 на 6 месяцев</t>
        </is>
      </c>
    </row>
    <row r="29">
      <c r="A29" s="10" t="inlineStr">
        <is>
          <t>Розничная цена, руб. без НДС</t>
        </is>
      </c>
      <c r="B29" s="12" t="n">
        <v>1740</v>
      </c>
      <c r="C29" s="12" t="n">
        <v>8700</v>
      </c>
      <c r="D29" s="12" t="n">
        <v>17400</v>
      </c>
      <c r="E29" s="12" t="n">
        <v>107400</v>
      </c>
    </row>
    <row r="30">
      <c r="A30" s="10" t="inlineStr">
        <is>
          <t>Закупочная цена (дилер), руб. без НДС</t>
        </is>
      </c>
      <c r="B30" s="12" t="n">
        <v>870</v>
      </c>
      <c r="C30" s="12" t="n">
        <v>4350</v>
      </c>
      <c r="D30" s="12" t="n">
        <v>8700</v>
      </c>
      <c r="E30" s="12" t="n">
        <v>53700</v>
      </c>
    </row>
    <row r="31">
      <c r="A31" s="13" t="inlineStr">
        <is>
          <t>Маржинальный доход (МД), руб.</t>
        </is>
      </c>
      <c r="B31" s="14">
        <f>B29-B30</f>
        <v/>
      </c>
      <c r="C31" s="14">
        <f>C29-C30</f>
        <v/>
      </c>
      <c r="D31" s="14">
        <f>D29-D30</f>
        <v/>
      </c>
      <c r="E31" s="14">
        <f>E29-E30</f>
        <v/>
      </c>
    </row>
    <row r="32">
      <c r="A32" s="15" t="inlineStr">
        <is>
          <t>Доля ЦСВ (30% от МД), руб.</t>
        </is>
      </c>
      <c r="B32" s="16">
        <f>B31*$B$5</f>
        <v/>
      </c>
      <c r="C32" s="16">
        <f>C31*$B$5</f>
        <v/>
      </c>
      <c r="D32" s="16">
        <f>D31*$B$5</f>
        <v/>
      </c>
      <c r="E32" s="16">
        <f>E31*$B$5</f>
        <v/>
      </c>
    </row>
    <row r="33" ht="20" customHeight="1">
      <c r="A33" s="17" t="inlineStr">
        <is>
          <t>Итого остаётся ЦП (70% от МД), руб.</t>
        </is>
      </c>
      <c r="B33" s="18">
        <f>B31*$D$5</f>
        <v/>
      </c>
      <c r="C33" s="18">
        <f>C31*$D$5</f>
        <v/>
      </c>
      <c r="D33" s="18">
        <f>D31*$D$5</f>
        <v/>
      </c>
      <c r="E33" s="18">
        <f>E31*$D$5</f>
        <v/>
      </c>
    </row>
    <row r="35">
      <c r="A35" s="7" t="inlineStr">
        <is>
          <t>Срок лицензии: 12 месяцев</t>
        </is>
      </c>
      <c r="B35" s="30" t="n"/>
      <c r="C35" s="30" t="n"/>
      <c r="D35" s="30" t="n"/>
      <c r="E35" s="31" t="n"/>
    </row>
    <row r="36" ht="32" customHeight="1">
      <c r="A36" s="9" t="inlineStr">
        <is>
          <t>Показатель</t>
        </is>
      </c>
      <c r="B36" s="9" t="inlineStr">
        <is>
          <t>10 кабинетов</t>
        </is>
      </c>
      <c r="C36" s="9" t="inlineStr">
        <is>
          <t>50 кабинетов</t>
        </is>
      </c>
      <c r="D36" s="9" t="inlineStr">
        <is>
          <t>100 кабинетов</t>
        </is>
      </c>
      <c r="E36" s="9" t="inlineStr">
        <is>
          <t>700 кабинетов
(500+200)</t>
        </is>
      </c>
    </row>
    <row r="37" ht="30" customHeight="1">
      <c r="A37" s="10" t="inlineStr">
        <is>
          <t>Состав (артикулы прайса)</t>
        </is>
      </c>
      <c r="B37" s="11" t="inlineStr">
        <is>
          <t>1С:Кабинет сотрудника 10 на 12 месяцев</t>
        </is>
      </c>
      <c r="C37" s="11" t="inlineStr">
        <is>
          <t>1С:Кабинет сотрудника 50 на 12 месяцев</t>
        </is>
      </c>
      <c r="D37" s="11" t="inlineStr">
        <is>
          <t>1С:Кабинет сотрудника 100 на 12 месяцев</t>
        </is>
      </c>
      <c r="E37" s="11" t="inlineStr">
        <is>
          <t>500 на 12 месяцев + 200 на 12 месяцев</t>
        </is>
      </c>
    </row>
    <row r="38">
      <c r="A38" s="10" t="inlineStr">
        <is>
          <t>Розничная цена, руб. без НДС</t>
        </is>
      </c>
      <c r="B38" s="12" t="n">
        <v>3360</v>
      </c>
      <c r="C38" s="12" t="n">
        <v>16800</v>
      </c>
      <c r="D38" s="12" t="n">
        <v>33600</v>
      </c>
      <c r="E38" s="12" t="n">
        <v>206400</v>
      </c>
    </row>
    <row r="39">
      <c r="A39" s="10" t="inlineStr">
        <is>
          <t>Закупочная цена (дилер), руб. без НДС</t>
        </is>
      </c>
      <c r="B39" s="12" t="n">
        <v>1680</v>
      </c>
      <c r="C39" s="12" t="n">
        <v>8400</v>
      </c>
      <c r="D39" s="12" t="n">
        <v>16800</v>
      </c>
      <c r="E39" s="12" t="n">
        <v>103200</v>
      </c>
    </row>
    <row r="40">
      <c r="A40" s="13" t="inlineStr">
        <is>
          <t>Маржинальный доход (МД), руб.</t>
        </is>
      </c>
      <c r="B40" s="14">
        <f>B38-B39</f>
        <v/>
      </c>
      <c r="C40" s="14">
        <f>C38-C39</f>
        <v/>
      </c>
      <c r="D40" s="14">
        <f>D38-D39</f>
        <v/>
      </c>
      <c r="E40" s="14">
        <f>E38-E39</f>
        <v/>
      </c>
    </row>
    <row r="41">
      <c r="A41" s="15" t="inlineStr">
        <is>
          <t>Доля ЦСВ (30% от МД), руб.</t>
        </is>
      </c>
      <c r="B41" s="16">
        <f>B40*$B$5</f>
        <v/>
      </c>
      <c r="C41" s="16">
        <f>C40*$B$5</f>
        <v/>
      </c>
      <c r="D41" s="16">
        <f>D40*$B$5</f>
        <v/>
      </c>
      <c r="E41" s="16">
        <f>E40*$B$5</f>
        <v/>
      </c>
    </row>
    <row r="42" ht="20" customHeight="1">
      <c r="A42" s="17" t="inlineStr">
        <is>
          <t>Итого остаётся ЦП (70% от МД), руб.</t>
        </is>
      </c>
      <c r="B42" s="18">
        <f>B40*$D$5</f>
        <v/>
      </c>
      <c r="C42" s="18">
        <f>C40*$D$5</f>
        <v/>
      </c>
      <c r="D42" s="18">
        <f>D40*$D$5</f>
        <v/>
      </c>
      <c r="E42" s="18">
        <f>E40*$D$5</f>
        <v/>
      </c>
    </row>
    <row r="44">
      <c r="A44" s="19" t="inlineStr">
        <is>
          <t>Сводка: доход ЦП с одной продажи (лицензия на 12 месяцев) — основной сценарий</t>
        </is>
      </c>
      <c r="B44" s="30" t="n"/>
      <c r="C44" s="30" t="n"/>
      <c r="D44" s="30" t="n"/>
      <c r="E44" s="31" t="n"/>
    </row>
    <row r="45">
      <c r="A45" s="9" t="inlineStr">
        <is>
          <t>Вариант</t>
        </is>
      </c>
      <c r="B45" s="9" t="inlineStr">
        <is>
          <t>Розница, руб.</t>
        </is>
      </c>
      <c r="C45" s="9" t="inlineStr">
        <is>
          <t>МД, руб.</t>
        </is>
      </c>
      <c r="D45" s="9" t="inlineStr">
        <is>
          <t>ЦСВ 30%, руб.</t>
        </is>
      </c>
      <c r="E45" s="9" t="inlineStr">
        <is>
          <t>ЦП 70%, руб.</t>
        </is>
      </c>
    </row>
    <row r="46">
      <c r="A46" s="20" t="inlineStr">
        <is>
          <t>10 кабинетов</t>
        </is>
      </c>
      <c r="B46" s="21">
        <f>B38</f>
        <v/>
      </c>
      <c r="C46" s="22">
        <f>B40</f>
        <v/>
      </c>
      <c r="D46" s="23">
        <f>B41</f>
        <v/>
      </c>
      <c r="E46" s="24">
        <f>B42</f>
        <v/>
      </c>
    </row>
    <row r="47">
      <c r="A47" s="20" t="inlineStr">
        <is>
          <t>50 кабинетов</t>
        </is>
      </c>
      <c r="B47" s="21">
        <f>C38</f>
        <v/>
      </c>
      <c r="C47" s="22">
        <f>C40</f>
        <v/>
      </c>
      <c r="D47" s="23">
        <f>C41</f>
        <v/>
      </c>
      <c r="E47" s="24">
        <f>C42</f>
        <v/>
      </c>
    </row>
    <row r="48">
      <c r="A48" s="20" t="inlineStr">
        <is>
          <t>100 кабинетов</t>
        </is>
      </c>
      <c r="B48" s="21">
        <f>D38</f>
        <v/>
      </c>
      <c r="C48" s="22">
        <f>D40</f>
        <v/>
      </c>
      <c r="D48" s="23">
        <f>D41</f>
        <v/>
      </c>
      <c r="E48" s="24">
        <f>D42</f>
        <v/>
      </c>
    </row>
    <row r="49">
      <c r="A49" s="20" t="inlineStr">
        <is>
          <t>700 кабинетов (500+200)</t>
        </is>
      </c>
      <c r="B49" s="21">
        <f>E38</f>
        <v/>
      </c>
      <c r="C49" s="22">
        <f>E40</f>
        <v/>
      </c>
      <c r="D49" s="23">
        <f>E41</f>
        <v/>
      </c>
      <c r="E49" s="24">
        <f>E42</f>
        <v/>
      </c>
    </row>
    <row r="50" ht="30" customHeight="1">
      <c r="A50" s="3" t="inlineStr">
        <is>
          <t>Примечание: жёлтые ячейки — исходные цены из прайса (можно менять); зелёные — итоговый доход ЦП; оранжевые — доля ЦСВ. Доли ЦСВ/ЦП задаются в ячейках B5/D5.</t>
        </is>
      </c>
    </row>
    <row r="51">
      <c r="A51" s="25" t="inlineStr">
        <is>
          <t>Примечание: жёлтые ячейки — исходные цены из прайса (можно менять); зелёные — итоговый доход ЦП; оранжевые — доля ЦСВ. Доли ЦСВ/ЦП задаются в ячейках B5/D5.</t>
        </is>
      </c>
    </row>
  </sheetData>
  <mergeCells count="11">
    <mergeCell ref="A35:E35"/>
    <mergeCell ref="A50:E50"/>
    <mergeCell ref="A26:E26"/>
    <mergeCell ref="A2:E2"/>
    <mergeCell ref="A7:E7"/>
    <mergeCell ref="A51:E51"/>
    <mergeCell ref="A1:E1"/>
    <mergeCell ref="A8:E8"/>
    <mergeCell ref="A44:E44"/>
    <mergeCell ref="A17:E17"/>
    <mergeCell ref="A3:E3"/>
  </mergeCells>
  <pageMargins left="0.4" right="0.4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2026-08-04T01:37:50Z</dcterms:created>
  <dcterms:modified xmlns:dcterms="http://purl.org/dc/terms/" xmlns:xsi="http://www.w3.org/2001/XMLSchema-instance" xsi:type="dcterms:W3CDTF">2026-08-04T01:38:05Z</dcterms:modified>
</cp:coreProperties>
</file>