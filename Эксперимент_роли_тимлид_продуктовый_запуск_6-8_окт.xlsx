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Роли" sheetId="2" state="visible" r:id="rId2"/>
    <sheet name="6 окт (вт)" sheetId="3" state="visible" r:id="rId3"/>
    <sheet name="7 окт (ср)" sheetId="4" state="visible" r:id="rId4"/>
    <sheet name="8 окт (чт)" sheetId="5" state="visible" r:id="rId5"/>
    <sheet name="Итог 3 дня" sheetId="6" state="visible" r:id="rId6"/>
    <sheet name="Дневник (опционально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b val="1"/>
      <color rgb="001B4F72"/>
      <sz val="18"/>
    </font>
    <font>
      <name val="Calibri"/>
      <b val="1"/>
      <color rgb="0037474F"/>
      <sz val="13"/>
    </font>
    <font>
      <name val="Calibri"/>
      <color rgb="00546E7A"/>
      <sz val="12"/>
    </font>
    <font>
      <name val="Calibri"/>
      <b val="1"/>
      <color rgb="001B4F72"/>
      <sz val="12"/>
    </font>
    <font>
      <name val="Calibri"/>
      <color rgb="00212121"/>
      <sz val="11"/>
    </font>
    <font>
      <name val="Calibri"/>
      <b val="1"/>
      <color rgb="001B4F72"/>
      <sz val="16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212121"/>
      <sz val="11"/>
    </font>
    <font>
      <name val="Calibri"/>
      <color rgb="00546E7A"/>
      <sz val="10"/>
    </font>
    <font>
      <name val="Calibri"/>
      <b val="1"/>
      <color rgb="00212121"/>
      <sz val="12"/>
    </font>
    <font>
      <name val="Calibri"/>
      <b val="1"/>
      <color rgb="00FFFFFF"/>
      <sz val="12"/>
    </font>
    <font>
      <name val="Calibri"/>
      <color rgb="00546E7A"/>
      <sz val="9"/>
    </font>
    <font>
      <name val="Calibri"/>
      <color rgb="00455A64"/>
      <sz val="10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color rgb="0078909C"/>
      <sz val="10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/>
      <right/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pivotButton="0" quotePrefix="0" xfId="0"/>
    <xf numFmtId="0" fontId="0" fillId="8" borderId="1" pivotButton="0" quotePrefix="0" xfId="0"/>
    <xf numFmtId="0" fontId="0" fillId="0" borderId="4" pivotButton="0" quotePrefix="0" xfId="0"/>
    <xf numFmtId="0" fontId="11" fillId="8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9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0" fillId="2" borderId="1" pivotButton="0" quotePrefix="0" xfId="0"/>
    <xf numFmtId="0" fontId="12" fillId="2" borderId="1" applyAlignment="1" pivotButton="0" quotePrefix="0" xfId="0">
      <alignment horizontal="center" vertical="center" wrapText="1"/>
    </xf>
    <xf numFmtId="9" fontId="7" fillId="2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164" fontId="7" fillId="2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Часы по ролям за 3 дня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'Итог 3 дня'!F4</f>
            </strRef>
          </tx>
          <spPr>
            <a:ln>
              <a:prstDash val="solid"/>
            </a:ln>
          </spPr>
          <cat>
            <numRef>
              <f>'Итог 3 дня'!$B$5:$B$17</f>
            </numRef>
          </cat>
          <val>
            <numRef>
              <f>'Итог 3 дня'!$F$5:$F$17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Часы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40" customWidth="1" min="4" max="4"/>
  </cols>
  <sheetData>
    <row r="1" ht="28" customHeight="1">
      <c r="A1" s="1" t="inlineStr">
        <is>
          <t>Эксперимент: учёт времени по ролям</t>
        </is>
      </c>
    </row>
    <row r="2">
      <c r="A2" s="2" t="inlineStr">
        <is>
          <t>Должность: Тимлид группы продуктового запуска</t>
        </is>
      </c>
    </row>
    <row r="3">
      <c r="A3" s="3" t="inlineStr">
        <is>
          <t>Период: вторник 6 — среда 7 — четверг 8 октября</t>
        </is>
      </c>
    </row>
    <row r="5">
      <c r="A5" s="4" t="inlineStr">
        <is>
          <t>Зачем этот эксперимент</t>
        </is>
      </c>
    </row>
    <row r="6" ht="55" customHeight="1">
      <c r="A6" s="5" t="inlineStr">
        <is>
          <t>Проверить гипотезу о том, какие роли реально живут внутри должности тимлида. Итог — не чтобы уличить или наказать, а чтобы понять, какие процессы кто реально делает. Важны честность и открытость.</t>
        </is>
      </c>
    </row>
    <row r="8">
      <c r="A8" s="4" t="inlineStr">
        <is>
          <t>Как заполнять</t>
        </is>
      </c>
    </row>
    <row r="9" ht="70" customHeight="1">
      <c r="A9" s="5" t="inlineStr">
        <is>
          <t>1. Открой лист «Роли» — ознакомься с описаниями (это гипотеза, можно ошибаться).
2. Каждый день (листы «6 окт», «7 окт», «8 окт») отмечай часы по ролям.
3. В один момент можно быть в нескольких ролях — пиши часы в обе/несколько.
4. Если роли не было — оставь 0 или пусто. Если роль избыточна — отметь в комментарии.
5. Колонку «Наблюдения» заполняй по желанию: что заметила, что удивило, чего не хватило.
6. Лист «Итог» соберёт сумму автоматически — туда можно добавить общие выводы.</t>
        </is>
      </c>
    </row>
    <row r="11">
      <c r="A11" s="4" t="inlineStr">
        <is>
          <t>Правила честности</t>
        </is>
      </c>
    </row>
    <row r="12" ht="70" customHeight="1">
      <c r="A12" s="5" t="inlineStr">
        <is>
          <t>• Фиксируй то, что реально делала, а не то, что «должна была».
• Если день ушёл в операционку вне ролей — есть строка «Другое / вне ролей».
• Часы могут суммарно быть больше длины дня — если роли пересекались.
• Можно править список задач и формулировки ролей под себя.</t>
        </is>
      </c>
    </row>
    <row r="14">
      <c r="A14" s="4" t="inlineStr">
        <is>
          <t>Что уже заполнено</t>
        </is>
      </c>
    </row>
    <row r="15" ht="55" customHeight="1">
      <c r="A15" s="5" t="inlineStr">
        <is>
          <t>В каждом дне — примеры типичных задач тимлида продуктового запуска по ролям. Это черновик: поправь процессы и формулировки под свою реальность.</t>
        </is>
      </c>
    </row>
  </sheetData>
  <mergeCells count="11">
    <mergeCell ref="A1:D1"/>
    <mergeCell ref="A5:D5"/>
    <mergeCell ref="A9:D9"/>
    <mergeCell ref="A8:D8"/>
    <mergeCell ref="A6:D6"/>
    <mergeCell ref="A12:D12"/>
    <mergeCell ref="A3:D3"/>
    <mergeCell ref="A15:D15"/>
    <mergeCell ref="A2:D2"/>
    <mergeCell ref="A11:D11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55" customWidth="1" min="4" max="4"/>
    <col width="62" customWidth="1" min="5" max="5"/>
  </cols>
  <sheetData>
    <row r="1" ht="24" customHeight="1">
      <c r="A1" s="6" t="inlineStr">
        <is>
          <t>Каталог ролей (гипотеза — можно ошибаться и править)</t>
        </is>
      </c>
    </row>
    <row r="2" ht="30" customHeight="1">
      <c r="A2" s="7" t="inlineStr">
        <is>
          <t>№</t>
        </is>
      </c>
      <c r="B2" s="7" t="inlineStr">
        <is>
          <t>Роль</t>
        </is>
      </c>
      <c r="C2" s="7" t="inlineStr">
        <is>
          <t>Цвета / энергия</t>
        </is>
      </c>
      <c r="D2" s="7" t="inlineStr">
        <is>
          <t>Предназначение (кратко)</t>
        </is>
      </c>
      <c r="E2" s="7" t="inlineStr">
        <is>
          <t>Типичные задачи тимлида продуктового запуска</t>
        </is>
      </c>
    </row>
    <row r="3" ht="95" customHeight="1">
      <c r="A3" s="8" t="n">
        <v>1</v>
      </c>
      <c r="B3" s="9" t="inlineStr">
        <is>
          <t>Зажигающий рост</t>
        </is>
      </c>
      <c r="C3" s="10" t="inlineStr">
        <is>
          <t>Зелёный + оранжевый</t>
        </is>
      </c>
      <c r="D3" s="10" t="inlineStr">
        <is>
          <t>Видит в сотруднике потенциал, которого тот ещё не видит сам, и зажигает желание вырасти. Грейд — ориентир, к которому помогает дойти.</t>
        </is>
      </c>
      <c r="E3" s="10" t="inlineStr">
        <is>
          <t>• Дать менеджеру провести демо/переговоры самому, оставаясь рядом
• Разобрать с сотрудником путь к следующему грейду на живых сделках
• Предложить взять более сложного клиента / продукт (КС, Доки, Smartway)
• Создать ситуацию роста, не дожидаясь просьбы о развитии</t>
        </is>
      </c>
    </row>
    <row r="4" ht="95" customHeight="1">
      <c r="A4" s="11" t="n">
        <v>2</v>
      </c>
      <c r="B4" s="12" t="inlineStr">
        <is>
          <t>Архитектор плана</t>
        </is>
      </c>
      <c r="C4" s="13" t="inlineStr">
        <is>
          <t>Жёлтый + оранжевый</t>
        </is>
      </c>
      <c r="D4" s="13" t="inlineStr">
        <is>
          <t>Считает план сверху (рост, рынок), идёт в поле к смежникам, декомпозирует до продукта и до конкретного менеджера. Объясняет «почему столько».</t>
        </is>
      </c>
      <c r="E4" s="13" t="inlineStr">
        <is>
          <t>• Собрать план группы на месяц/квартал из требований к росту
• Согласовать ожидания со смежниками (ЦКС, внедрение, маркетинг)
• Разложить план по менеджерам с учётом грейда и потенциала
• Объяснить команде логику цифр, а не «спустить сверху»</t>
        </is>
      </c>
    </row>
    <row r="5" ht="95" customHeight="1">
      <c r="A5" s="14" t="n">
        <v>3</v>
      </c>
      <c r="B5" s="15" t="inlineStr">
        <is>
          <t>Ловец отклонений</t>
        </is>
      </c>
      <c r="C5" s="16" t="inlineStr">
        <is>
          <t>Оранжевый + жёлтый</t>
        </is>
      </c>
      <c r="D5" s="16" t="inlineStr">
        <is>
          <t>Ловит отклонения плана от факта рано. Плюс — разобрать и системно закрепить; минус — поправить курс, не паниковать.</t>
        </is>
      </c>
      <c r="E5" s="16" t="inlineStr">
        <is>
          <t>• Ежедневный/еженедельный срез факт vs план по группе и по людям
• Разобрать неожиданный плюс: что сработало, как повторить
• Ранняя коррекция при просадке по продукту или менеджеру
• Не ждать конца месяца, чтобы «узнать» результат</t>
        </is>
      </c>
    </row>
    <row r="6" ht="95" customHeight="1">
      <c r="A6" s="8" t="n">
        <v>4</v>
      </c>
      <c r="B6" s="9" t="inlineStr">
        <is>
          <t>Дающий обратную связь</t>
        </is>
      </c>
      <c r="C6" s="10" t="inlineStr">
        <is>
          <t>Зелёный + оранжевый</t>
        </is>
      </c>
      <c r="D6" s="10" t="inlineStr">
        <is>
          <t>Обратная связь в моменте после конкретной ситуации: честно и бережно, чтобы человек стал сильнее к следующему разу.</t>
        </is>
      </c>
      <c r="E6" s="10" t="inlineStr">
        <is>
          <t>• Разбор звонка/встречи сразу после (что услышал, где поспешил)
• Фидбек по ведению CRM и качеству сделки
• Честный разговор не «молодец/не молодец», а по делу
• Сделать ОС нормой, а не разовым событием</t>
        </is>
      </c>
    </row>
    <row r="7" ht="95" customHeight="1">
      <c r="A7" s="8" t="n">
        <v>5</v>
      </c>
      <c r="B7" s="9" t="inlineStr">
        <is>
          <t>Защищающий команду</t>
        </is>
      </c>
      <c r="C7" s="10" t="inlineStr">
        <is>
          <t>Зелёный + жёлтый</t>
        </is>
      </c>
      <c r="D7" s="10" t="inlineStr">
        <is>
          <t>Трудности команды доходят наверх как аргументированный запрос. Молчание выносливости — путь к выгоранию, не стойкость.</t>
        </is>
      </c>
      <c r="E7" s="10" t="inlineStr">
        <is>
          <t>• Сформулировать наверх: план нереалистичен — вот почему и что нужно
• Защитить команду от срыва из‑за блокеров смежников
• Не дать нагрузке сломать людей молча
• Идти с позицией (проблема + причины + решение), не с жалобой</t>
        </is>
      </c>
    </row>
    <row r="8" ht="95" customHeight="1">
      <c r="A8" s="14" t="n">
        <v>6</v>
      </c>
      <c r="B8" s="15" t="inlineStr">
        <is>
          <t>Наставник</t>
        </is>
      </c>
      <c r="C8" s="16" t="inlineStr">
        <is>
          <t>Оранжевый + зелёный</t>
        </is>
      </c>
      <c r="D8" s="16" t="inlineStr">
        <is>
          <t>Системно передаёт навыки продаж: звонки, переговоры, возражения, CRM, разбор сделок. Учит продавать (не продукт — это Фокус компетенции).</t>
        </is>
      </c>
      <c r="E8" s="16" t="inlineStr">
        <is>
          <t>• Провести новичка: послушай звонок → вместе встреча → разбор возражения
• Тренировка скриптов по продуктам запуска (КС, ЭПД/Доки, Smartway)
• Разбор сделок до закрытия первой своими руками
• Чек-лист навыков, а не «разберись сам»</t>
        </is>
      </c>
    </row>
    <row r="9" ht="95" customHeight="1">
      <c r="A9" s="17" t="n">
        <v>7</v>
      </c>
      <c r="B9" s="18" t="inlineStr">
        <is>
          <t>Сопровождающий первые шаги</t>
        </is>
      </c>
      <c r="C9" s="19" t="inlineStr">
        <is>
          <t>Фиолетовый + зелёный</t>
        </is>
      </c>
      <c r="D9" s="19" t="inlineStr">
        <is>
          <t>Провожатый: чтобы новичок за первые недели стал «своим». Знакомит, объясняет неписаные правила, подстраховывает.</t>
        </is>
      </c>
      <c r="E9" s="19" t="inlineStr">
        <is>
          <t>• Первые дни: познакомить с командой и смежниками
• Объяснить неписаные правила группы и как «у нас принято»
• Быть на связи, когда новичку по-настоящему сложно
• Подстраховать до формального онбординга и после</t>
        </is>
      </c>
    </row>
    <row r="10" ht="95" customHeight="1">
      <c r="A10" s="14" t="n">
        <v>8</v>
      </c>
      <c r="B10" s="15" t="inlineStr">
        <is>
          <t>Двигатель экспериментов</t>
        </is>
      </c>
      <c r="C10" s="16" t="inlineStr">
        <is>
          <t>Оранжевый</t>
        </is>
      </c>
      <c r="D10" s="16" t="inlineStr">
        <is>
          <t>Инициирует и доводит до результата небольшие эксперименты. Эксперимент — обычное дело, не событие.</t>
        </is>
      </c>
      <c r="E10" s="16" t="inlineStr">
        <is>
          <t>• Новый скрипт / канал / формат планёрки — запуск и замер
• Пилот по новому продукту или сегменту клиентов
• A/B подхода к демо или КП
• Зафиксировать вывод: оставляем / правим / закрываем</t>
        </is>
      </c>
    </row>
    <row r="11" ht="95" customHeight="1">
      <c r="A11" s="20" t="n">
        <v>9</v>
      </c>
      <c r="B11" s="21" t="inlineStr">
        <is>
          <t>Решатель инцидентов</t>
        </is>
      </c>
      <c r="C11" s="22" t="inlineStr">
        <is>
          <t>Оранжевый + красный</t>
        </is>
      </c>
      <c r="D11" s="22" t="inlineStr">
        <is>
          <t>Точечная проблема не превращается в срыв сделки. Схватить в моменте, потушить, вернуть процесс в норму.</t>
        </is>
      </c>
      <c r="E11" s="22" t="inlineStr">
        <is>
          <t>• Сорвалась сделка на финале — разобрать и вернуть
• Клиент угрожает уходом / ждёт ответа — эскалация сейчас
• Смежники заблокировали согласование — разрулить
• Команда знает: если загорелось — есть к кому</t>
        </is>
      </c>
    </row>
    <row r="12" ht="95" customHeight="1">
      <c r="A12" s="20" t="n">
        <v>10</v>
      </c>
      <c r="B12" s="21" t="inlineStr">
        <is>
          <t>Мобилизатор</t>
        </is>
      </c>
      <c r="C12" s="22" t="inlineStr">
        <is>
          <t>Красный + оранжевый</t>
        </is>
      </c>
      <c r="D12" s="22" t="inlineStr">
        <is>
          <t>В провале плана / горящем квартале собирает команду в кулак: что, до когда, кто. Чётко включает и выключает режим.</t>
        </is>
      </c>
      <c r="E12" s="22" t="inlineStr">
        <is>
          <t>• Обозначить цель мобилизации, срок и зоны ответственности
• Временно централизовать решения на горящем отрезке
• Фокус команды на одной цели (не «все в выходные»)
• Явно выключить режим, когда цель достигнута</t>
        </is>
      </c>
    </row>
    <row r="13" ht="95" customHeight="1">
      <c r="A13" s="8" t="n">
        <v>11</v>
      </c>
      <c r="B13" s="9" t="inlineStr">
        <is>
          <t>Переводчик процессов в человеческий</t>
        </is>
      </c>
      <c r="C13" s="10" t="inlineStr">
        <is>
          <t>Зелёный + жёлтый</t>
        </is>
      </c>
      <c r="D13" s="10" t="inlineStr">
        <is>
          <t>Регламент → понятный язык. Не упрощает содержание — упрощает язык. Процесс для людей, не люди для процесса.</t>
        </is>
      </c>
      <c r="E13" s="10" t="inlineStr">
        <is>
          <t>• Переложить регламент после демо / передачи во внедрение на «что делать если…»
• Памятки для менеджеров простым языком
• Объяснить новый процесс на планёрке без канцелярита
• Сделать так, чтобы правило реально применялось</t>
        </is>
      </c>
    </row>
    <row r="14" ht="95" customHeight="1">
      <c r="A14" s="8" t="n">
        <v>12</v>
      </c>
      <c r="B14" s="9" t="inlineStr">
        <is>
          <t>Открывающий сердца клиентов</t>
        </is>
      </c>
      <c r="C14" s="10" t="inlineStr">
        <is>
          <t>Зелёный (+ общее)</t>
        </is>
      </c>
      <c r="D14" s="10" t="inlineStr">
        <is>
          <t>Общая роль: клиент чувствует — здесь понимают, здесь рады, здесь он важен. Не просто продают.</t>
        </is>
      </c>
      <c r="E14" s="10" t="inlineStr">
        <is>
          <t>• Личное участие в сложных/ключевых встречах с клиентом
• Задать тон заботы в коммуникации группы
• Вернуть фокус команды на ценность для клиента, не только на цифру
• Разобрать кейс, где клиент «закрылся» из‑за ощущения давления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0" customWidth="1" min="4" max="4"/>
    <col width="12" customWidth="1" min="5" max="5"/>
    <col width="40" customWidth="1" min="6" max="6"/>
  </cols>
  <sheetData>
    <row r="1" ht="24" customHeight="1">
      <c r="A1" s="6" t="inlineStr">
        <is>
          <t>Учёт ролей — Вторник, 6 октября</t>
        </is>
      </c>
    </row>
    <row r="2">
      <c r="A2" s="23" t="inlineStr">
        <is>
          <t>Заполни колонку «Часы». В один момент можно несколько ролей. Наблюдения — по желанию. Примеры задач — черновик, поправь под себя.</t>
        </is>
      </c>
    </row>
    <row r="3">
      <c r="A3" s="24" t="inlineStr">
        <is>
          <t>ФИО / должность:</t>
        </is>
      </c>
      <c r="B3" s="25" t="inlineStr">
        <is>
          <t>Тимлид группы продуктового запуска</t>
        </is>
      </c>
      <c r="C3" s="26" t="n"/>
      <c r="D3" s="24" t="inlineStr">
        <is>
          <t>Рабочий день (часов):</t>
        </is>
      </c>
      <c r="E3" s="27" t="n">
        <v>8</v>
      </c>
    </row>
    <row r="5" ht="28" customHeight="1">
      <c r="A5" s="7" t="inlineStr">
        <is>
          <t>№</t>
        </is>
      </c>
      <c r="B5" s="7" t="inlineStr">
        <is>
          <t>Роль</t>
        </is>
      </c>
      <c r="C5" s="7" t="inlineStr">
        <is>
          <t>Пример задачи (поправь)</t>
        </is>
      </c>
      <c r="D5" s="7" t="inlineStr">
        <is>
          <t>Часы</t>
        </is>
      </c>
      <c r="E5" s="7" t="inlineStr">
        <is>
          <t>% от дня</t>
        </is>
      </c>
      <c r="F5" s="7" t="inlineStr">
        <is>
          <t>Наблюдения / комментарии</t>
        </is>
      </c>
    </row>
    <row r="6" ht="42" customHeight="1">
      <c r="A6" s="28" t="n">
        <v>1</v>
      </c>
      <c r="B6" s="29" t="inlineStr">
        <is>
          <t>Зажигающий рост</t>
        </is>
      </c>
      <c r="C6" s="30" t="inlineStr">
        <is>
          <t>Согласовала с менеджером взять сложного клиента самостоятельно; обсудили следующий шаг по грейду</t>
        </is>
      </c>
      <c r="D6" s="27" t="n"/>
      <c r="E6" s="31">
        <f>IF($E$3=0,"",IF(D6="","",D6/$E$3))</f>
        <v/>
      </c>
      <c r="F6" s="32" t="inlineStr"/>
    </row>
    <row r="7" ht="42" customHeight="1">
      <c r="A7" s="33" t="n">
        <v>2</v>
      </c>
      <c r="B7" s="34" t="inlineStr">
        <is>
          <t>Архитектор плана</t>
        </is>
      </c>
      <c r="C7" s="30" t="inlineStr">
        <is>
          <t>Сверила план группы с фактом; разложила ожидания по менеджерам на неделю</t>
        </is>
      </c>
      <c r="D7" s="27" t="n"/>
      <c r="E7" s="31">
        <f>IF($E$3=0,"",IF(D7="","",D7/$E$3))</f>
        <v/>
      </c>
      <c r="F7" s="32" t="inlineStr"/>
    </row>
    <row r="8" ht="42" customHeight="1">
      <c r="A8" s="35" t="n">
        <v>3</v>
      </c>
      <c r="B8" s="36" t="inlineStr">
        <is>
          <t>Ловец отклонений</t>
        </is>
      </c>
      <c r="C8" s="30" t="inlineStr">
        <is>
          <t>Посмотрела отклонения по продуктам / людям; скорректировала фокус на сегодня</t>
        </is>
      </c>
      <c r="D8" s="27" t="n"/>
      <c r="E8" s="31">
        <f>IF($E$3=0,"",IF(D8="","",D8/$E$3))</f>
        <v/>
      </c>
      <c r="F8" s="32" t="inlineStr"/>
    </row>
    <row r="9" ht="42" customHeight="1">
      <c r="A9" s="28" t="n">
        <v>4</v>
      </c>
      <c r="B9" s="29" t="inlineStr">
        <is>
          <t>Дающий обратную связь</t>
        </is>
      </c>
      <c r="C9" s="30" t="inlineStr">
        <is>
          <t>Разобрала конкретный звонок/встречу с менеджером сразу после</t>
        </is>
      </c>
      <c r="D9" s="27" t="n"/>
      <c r="E9" s="31">
        <f>IF($E$3=0,"",IF(D9="","",D9/$E$3))</f>
        <v/>
      </c>
      <c r="F9" s="32" t="inlineStr"/>
    </row>
    <row r="10" ht="42" customHeight="1">
      <c r="A10" s="28" t="n">
        <v>5</v>
      </c>
      <c r="B10" s="29" t="inlineStr">
        <is>
          <t>Защищающий команду</t>
        </is>
      </c>
      <c r="C10" s="30" t="inlineStr">
        <is>
          <t>Вынесла наверх блокер / нереалистичное ожидание с аргументами</t>
        </is>
      </c>
      <c r="D10" s="27" t="n"/>
      <c r="E10" s="31">
        <f>IF($E$3=0,"",IF(D10="","",D10/$E$3))</f>
        <v/>
      </c>
      <c r="F10" s="32" t="inlineStr"/>
    </row>
    <row r="11" ht="42" customHeight="1">
      <c r="A11" s="35" t="n">
        <v>6</v>
      </c>
      <c r="B11" s="36" t="inlineStr">
        <is>
          <t>Наставник</t>
        </is>
      </c>
      <c r="C11" s="30" t="inlineStr">
        <is>
          <t>Обучение навыку: скрипт, возражение, CRM, разбор сделки</t>
        </is>
      </c>
      <c r="D11" s="27" t="n"/>
      <c r="E11" s="31">
        <f>IF($E$3=0,"",IF(D11="","",D11/$E$3))</f>
        <v/>
      </c>
      <c r="F11" s="32" t="inlineStr"/>
    </row>
    <row r="12" ht="42" customHeight="1">
      <c r="A12" s="37" t="n">
        <v>7</v>
      </c>
      <c r="B12" s="38" t="inlineStr">
        <is>
          <t>Сопровождающий первые шаги</t>
        </is>
      </c>
      <c r="C12" s="30" t="inlineStr">
        <is>
          <t>Помощь новичку: знакомство, неписаные правила, подстраховка</t>
        </is>
      </c>
      <c r="D12" s="27" t="n"/>
      <c r="E12" s="31">
        <f>IF($E$3=0,"",IF(D12="","",D12/$E$3))</f>
        <v/>
      </c>
      <c r="F12" s="32" t="inlineStr"/>
    </row>
    <row r="13" ht="42" customHeight="1">
      <c r="A13" s="35" t="n">
        <v>8</v>
      </c>
      <c r="B13" s="36" t="inlineStr">
        <is>
          <t>Двигатель экспериментов</t>
        </is>
      </c>
      <c r="C13" s="30" t="inlineStr">
        <is>
          <t>Запуск или разбор маленького эксперимента (скрипт/канал/формат)</t>
        </is>
      </c>
      <c r="D13" s="27" t="n"/>
      <c r="E13" s="31">
        <f>IF($E$3=0,"",IF(D13="","",D13/$E$3))</f>
        <v/>
      </c>
      <c r="F13" s="32" t="inlineStr"/>
    </row>
    <row r="14" ht="42" customHeight="1">
      <c r="A14" s="39" t="n">
        <v>9</v>
      </c>
      <c r="B14" s="40" t="inlineStr">
        <is>
          <t>Решатель инцидентов</t>
        </is>
      </c>
      <c r="C14" s="30" t="inlineStr">
        <is>
          <t>Горящий клиент / сделка / блокер смежников — разрулила в моменте</t>
        </is>
      </c>
      <c r="D14" s="27" t="n"/>
      <c r="E14" s="31">
        <f>IF($E$3=0,"",IF(D14="","",D14/$E$3))</f>
        <v/>
      </c>
      <c r="F14" s="32" t="inlineStr"/>
    </row>
    <row r="15" ht="42" customHeight="1">
      <c r="A15" s="39" t="n">
        <v>10</v>
      </c>
      <c r="B15" s="40" t="inlineStr">
        <is>
          <t>Мобилизатор</t>
        </is>
      </c>
      <c r="C15" s="30" t="inlineStr">
        <is>
          <t>Сбор команды на горящую цель: кто/что/срок (или выключение режима)</t>
        </is>
      </c>
      <c r="D15" s="27" t="n"/>
      <c r="E15" s="31">
        <f>IF($E$3=0,"",IF(D15="","",D15/$E$3))</f>
        <v/>
      </c>
      <c r="F15" s="32" t="inlineStr"/>
    </row>
    <row r="16" ht="42" customHeight="1">
      <c r="A16" s="28" t="n">
        <v>11</v>
      </c>
      <c r="B16" s="29" t="inlineStr">
        <is>
          <t>Переводчик процессов в человеческий</t>
        </is>
      </c>
      <c r="C16" s="30" t="inlineStr">
        <is>
          <t>Перевела регламент/правило в понятную памятку или объяснение</t>
        </is>
      </c>
      <c r="D16" s="27" t="n"/>
      <c r="E16" s="31">
        <f>IF($E$3=0,"",IF(D16="","",D16/$E$3))</f>
        <v/>
      </c>
      <c r="F16" s="32" t="inlineStr"/>
    </row>
    <row r="17" ht="42" customHeight="1">
      <c r="A17" s="28" t="n">
        <v>12</v>
      </c>
      <c r="B17" s="29" t="inlineStr">
        <is>
          <t>Открывающий сердца клиентов</t>
        </is>
      </c>
      <c r="C17" s="30" t="inlineStr">
        <is>
          <t>Участие во встрече / тон коммуникации / кейс с заботой о клиенте</t>
        </is>
      </c>
      <c r="D17" s="27" t="n"/>
      <c r="E17" s="31">
        <f>IF($E$3=0,"",IF(D17="","",D17/$E$3))</f>
        <v/>
      </c>
      <c r="F17" s="32" t="inlineStr"/>
    </row>
    <row r="18" ht="42" customHeight="1">
      <c r="A18" s="41" t="inlineStr">
        <is>
          <t>—</t>
        </is>
      </c>
      <c r="B18" s="42" t="inlineStr">
        <is>
          <t>Другое / вне ролей</t>
        </is>
      </c>
      <c r="C18" s="30" t="inlineStr">
        <is>
          <t>Операционка, почта, совещания без явной роли, админ и т.п. — опиши в наблюдениях</t>
        </is>
      </c>
      <c r="D18" s="43" t="n"/>
      <c r="E18" s="31">
        <f>IF($E$3=0,"",IF(D18="","",D18/$E$3))</f>
        <v/>
      </c>
      <c r="F18" s="25" t="n"/>
    </row>
    <row r="20">
      <c r="B20" s="44" t="inlineStr">
        <is>
          <t>ИТОГО часов (с учётом пересечений ролей)</t>
        </is>
      </c>
      <c r="C20" s="45" t="n"/>
      <c r="D20" s="46">
        <f>SUM(D6:D18)</f>
        <v/>
      </c>
      <c r="E20" s="47">
        <f>IF($E$3=0,"",D20/$E$3)</f>
        <v/>
      </c>
      <c r="F20" s="45" t="n"/>
    </row>
    <row r="21">
      <c r="B21" s="48" t="inlineStr">
        <is>
          <t>Подсказка: итог может быть &gt; длины дня, если роли пересекались — это нормально для эксперимента.</t>
        </is>
      </c>
    </row>
    <row r="23">
      <c r="A23" s="4" t="inlineStr">
        <is>
          <t>Общие наблюдения за день (свободная форма)</t>
        </is>
      </c>
    </row>
    <row r="24" ht="28" customHeight="1">
      <c r="A24" s="49" t="inlineStr">
        <is>
          <t>Что сегодня зажигало / забирало энергию?</t>
        </is>
      </c>
      <c r="C24" s="25" t="inlineStr"/>
      <c r="D24" s="50" t="n"/>
      <c r="E24" s="50" t="n"/>
      <c r="F24" s="26" t="n"/>
    </row>
    <row r="25" ht="28" customHeight="1">
      <c r="A25" s="49" t="inlineStr">
        <is>
          <t>Каких ролей не хватило? Какие показались избыточными?</t>
        </is>
      </c>
      <c r="C25" s="25" t="inlineStr"/>
      <c r="D25" s="50" t="n"/>
      <c r="E25" s="50" t="n"/>
      <c r="F25" s="26" t="n"/>
    </row>
    <row r="26" ht="28" customHeight="1">
      <c r="A26" s="49" t="inlineStr">
        <is>
          <t>Где несколько ролей наложились друг на друга?</t>
        </is>
      </c>
      <c r="C26" s="25" t="inlineStr"/>
      <c r="D26" s="50" t="n"/>
      <c r="E26" s="50" t="n"/>
      <c r="F26" s="26" t="n"/>
    </row>
    <row r="27" ht="28" customHeight="1">
      <c r="A27" s="49" t="inlineStr">
        <is>
          <t>Что удивило в распределении времени?</t>
        </is>
      </c>
      <c r="C27" s="25" t="inlineStr"/>
      <c r="D27" s="50" t="n"/>
      <c r="E27" s="50" t="n"/>
      <c r="F27" s="26" t="n"/>
    </row>
  </sheetData>
  <mergeCells count="13">
    <mergeCell ref="B21:F21"/>
    <mergeCell ref="A2:F2"/>
    <mergeCell ref="A26:B26"/>
    <mergeCell ref="A24:B24"/>
    <mergeCell ref="A25:B25"/>
    <mergeCell ref="B3:C3"/>
    <mergeCell ref="A1:F1"/>
    <mergeCell ref="A23:F23"/>
    <mergeCell ref="C26:F26"/>
    <mergeCell ref="C27:F27"/>
    <mergeCell ref="C25:F25"/>
    <mergeCell ref="C24:F24"/>
    <mergeCell ref="A27:B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0" customWidth="1" min="4" max="4"/>
    <col width="12" customWidth="1" min="5" max="5"/>
    <col width="40" customWidth="1" min="6" max="6"/>
  </cols>
  <sheetData>
    <row r="1" ht="24" customHeight="1">
      <c r="A1" s="6" t="inlineStr">
        <is>
          <t>Учёт ролей — Среда, 7 октября</t>
        </is>
      </c>
    </row>
    <row r="2">
      <c r="A2" s="23" t="inlineStr">
        <is>
          <t>Заполни колонку «Часы». В один момент можно несколько ролей. Наблюдения — по желанию. Примеры задач — черновик, поправь под себя.</t>
        </is>
      </c>
    </row>
    <row r="3">
      <c r="A3" s="24" t="inlineStr">
        <is>
          <t>ФИО / должность:</t>
        </is>
      </c>
      <c r="B3" s="25" t="inlineStr">
        <is>
          <t>Тимлид группы продуктового запуска</t>
        </is>
      </c>
      <c r="C3" s="26" t="n"/>
      <c r="D3" s="24" t="inlineStr">
        <is>
          <t>Рабочий день (часов):</t>
        </is>
      </c>
      <c r="E3" s="27" t="n">
        <v>8</v>
      </c>
    </row>
    <row r="5" ht="28" customHeight="1">
      <c r="A5" s="7" t="inlineStr">
        <is>
          <t>№</t>
        </is>
      </c>
      <c r="B5" s="7" t="inlineStr">
        <is>
          <t>Роль</t>
        </is>
      </c>
      <c r="C5" s="7" t="inlineStr">
        <is>
          <t>Пример задачи (поправь)</t>
        </is>
      </c>
      <c r="D5" s="7" t="inlineStr">
        <is>
          <t>Часы</t>
        </is>
      </c>
      <c r="E5" s="7" t="inlineStr">
        <is>
          <t>% от дня</t>
        </is>
      </c>
      <c r="F5" s="7" t="inlineStr">
        <is>
          <t>Наблюдения / комментарии</t>
        </is>
      </c>
    </row>
    <row r="6" ht="42" customHeight="1">
      <c r="A6" s="28" t="n">
        <v>1</v>
      </c>
      <c r="B6" s="29" t="inlineStr">
        <is>
          <t>Зажигающий рост</t>
        </is>
      </c>
      <c r="C6" s="30" t="inlineStr">
        <is>
          <t>Согласовала с менеджером взять сложного клиента самостоятельно; обсудили следующий шаг по грейду</t>
        </is>
      </c>
      <c r="D6" s="27" t="n"/>
      <c r="E6" s="31">
        <f>IF($E$3=0,"",IF(D6="","",D6/$E$3))</f>
        <v/>
      </c>
      <c r="F6" s="32" t="inlineStr"/>
    </row>
    <row r="7" ht="42" customHeight="1">
      <c r="A7" s="33" t="n">
        <v>2</v>
      </c>
      <c r="B7" s="34" t="inlineStr">
        <is>
          <t>Архитектор плана</t>
        </is>
      </c>
      <c r="C7" s="30" t="inlineStr">
        <is>
          <t>Сверила план группы с фактом; разложила ожидания по менеджерам на неделю</t>
        </is>
      </c>
      <c r="D7" s="27" t="n"/>
      <c r="E7" s="31">
        <f>IF($E$3=0,"",IF(D7="","",D7/$E$3))</f>
        <v/>
      </c>
      <c r="F7" s="32" t="inlineStr"/>
    </row>
    <row r="8" ht="42" customHeight="1">
      <c r="A8" s="35" t="n">
        <v>3</v>
      </c>
      <c r="B8" s="36" t="inlineStr">
        <is>
          <t>Ловец отклонений</t>
        </is>
      </c>
      <c r="C8" s="30" t="inlineStr">
        <is>
          <t>Посмотрела отклонения по продуктам / людям; скорректировала фокус на сегодня</t>
        </is>
      </c>
      <c r="D8" s="27" t="n"/>
      <c r="E8" s="31">
        <f>IF($E$3=0,"",IF(D8="","",D8/$E$3))</f>
        <v/>
      </c>
      <c r="F8" s="32" t="inlineStr"/>
    </row>
    <row r="9" ht="42" customHeight="1">
      <c r="A9" s="28" t="n">
        <v>4</v>
      </c>
      <c r="B9" s="29" t="inlineStr">
        <is>
          <t>Дающий обратную связь</t>
        </is>
      </c>
      <c r="C9" s="30" t="inlineStr">
        <is>
          <t>Разобрала конкретный звонок/встречу с менеджером сразу после</t>
        </is>
      </c>
      <c r="D9" s="27" t="n"/>
      <c r="E9" s="31">
        <f>IF($E$3=0,"",IF(D9="","",D9/$E$3))</f>
        <v/>
      </c>
      <c r="F9" s="32" t="inlineStr"/>
    </row>
    <row r="10" ht="42" customHeight="1">
      <c r="A10" s="28" t="n">
        <v>5</v>
      </c>
      <c r="B10" s="29" t="inlineStr">
        <is>
          <t>Защищающий команду</t>
        </is>
      </c>
      <c r="C10" s="30" t="inlineStr">
        <is>
          <t>Вынесла наверх блокер / нереалистичное ожидание с аргументами</t>
        </is>
      </c>
      <c r="D10" s="27" t="n"/>
      <c r="E10" s="31">
        <f>IF($E$3=0,"",IF(D10="","",D10/$E$3))</f>
        <v/>
      </c>
      <c r="F10" s="32" t="inlineStr"/>
    </row>
    <row r="11" ht="42" customHeight="1">
      <c r="A11" s="35" t="n">
        <v>6</v>
      </c>
      <c r="B11" s="36" t="inlineStr">
        <is>
          <t>Наставник</t>
        </is>
      </c>
      <c r="C11" s="30" t="inlineStr">
        <is>
          <t>Обучение навыку: скрипт, возражение, CRM, разбор сделки</t>
        </is>
      </c>
      <c r="D11" s="27" t="n"/>
      <c r="E11" s="31">
        <f>IF($E$3=0,"",IF(D11="","",D11/$E$3))</f>
        <v/>
      </c>
      <c r="F11" s="32" t="inlineStr"/>
    </row>
    <row r="12" ht="42" customHeight="1">
      <c r="A12" s="37" t="n">
        <v>7</v>
      </c>
      <c r="B12" s="38" t="inlineStr">
        <is>
          <t>Сопровождающий первые шаги</t>
        </is>
      </c>
      <c r="C12" s="30" t="inlineStr">
        <is>
          <t>Помощь новичку: знакомство, неписаные правила, подстраховка</t>
        </is>
      </c>
      <c r="D12" s="27" t="n"/>
      <c r="E12" s="31">
        <f>IF($E$3=0,"",IF(D12="","",D12/$E$3))</f>
        <v/>
      </c>
      <c r="F12" s="32" t="inlineStr"/>
    </row>
    <row r="13" ht="42" customHeight="1">
      <c r="A13" s="35" t="n">
        <v>8</v>
      </c>
      <c r="B13" s="36" t="inlineStr">
        <is>
          <t>Двигатель экспериментов</t>
        </is>
      </c>
      <c r="C13" s="30" t="inlineStr">
        <is>
          <t>Запуск или разбор маленького эксперимента (скрипт/канал/формат)</t>
        </is>
      </c>
      <c r="D13" s="27" t="n"/>
      <c r="E13" s="31">
        <f>IF($E$3=0,"",IF(D13="","",D13/$E$3))</f>
        <v/>
      </c>
      <c r="F13" s="32" t="inlineStr"/>
    </row>
    <row r="14" ht="42" customHeight="1">
      <c r="A14" s="39" t="n">
        <v>9</v>
      </c>
      <c r="B14" s="40" t="inlineStr">
        <is>
          <t>Решатель инцидентов</t>
        </is>
      </c>
      <c r="C14" s="30" t="inlineStr">
        <is>
          <t>Горящий клиент / сделка / блокер смежников — разрулила в моменте</t>
        </is>
      </c>
      <c r="D14" s="27" t="n"/>
      <c r="E14" s="31">
        <f>IF($E$3=0,"",IF(D14="","",D14/$E$3))</f>
        <v/>
      </c>
      <c r="F14" s="32" t="inlineStr"/>
    </row>
    <row r="15" ht="42" customHeight="1">
      <c r="A15" s="39" t="n">
        <v>10</v>
      </c>
      <c r="B15" s="40" t="inlineStr">
        <is>
          <t>Мобилизатор</t>
        </is>
      </c>
      <c r="C15" s="30" t="inlineStr">
        <is>
          <t>Сбор команды на горящую цель: кто/что/срок (или выключение режима)</t>
        </is>
      </c>
      <c r="D15" s="27" t="n"/>
      <c r="E15" s="31">
        <f>IF($E$3=0,"",IF(D15="","",D15/$E$3))</f>
        <v/>
      </c>
      <c r="F15" s="32" t="inlineStr"/>
    </row>
    <row r="16" ht="42" customHeight="1">
      <c r="A16" s="28" t="n">
        <v>11</v>
      </c>
      <c r="B16" s="29" t="inlineStr">
        <is>
          <t>Переводчик процессов в человеческий</t>
        </is>
      </c>
      <c r="C16" s="30" t="inlineStr">
        <is>
          <t>Перевела регламент/правило в понятную памятку или объяснение</t>
        </is>
      </c>
      <c r="D16" s="27" t="n"/>
      <c r="E16" s="31">
        <f>IF($E$3=0,"",IF(D16="","",D16/$E$3))</f>
        <v/>
      </c>
      <c r="F16" s="32" t="inlineStr"/>
    </row>
    <row r="17" ht="42" customHeight="1">
      <c r="A17" s="28" t="n">
        <v>12</v>
      </c>
      <c r="B17" s="29" t="inlineStr">
        <is>
          <t>Открывающий сердца клиентов</t>
        </is>
      </c>
      <c r="C17" s="30" t="inlineStr">
        <is>
          <t>Участие во встрече / тон коммуникации / кейс с заботой о клиенте</t>
        </is>
      </c>
      <c r="D17" s="27" t="n"/>
      <c r="E17" s="31">
        <f>IF($E$3=0,"",IF(D17="","",D17/$E$3))</f>
        <v/>
      </c>
      <c r="F17" s="32" t="inlineStr"/>
    </row>
    <row r="18" ht="42" customHeight="1">
      <c r="A18" s="41" t="inlineStr">
        <is>
          <t>—</t>
        </is>
      </c>
      <c r="B18" s="42" t="inlineStr">
        <is>
          <t>Другое / вне ролей</t>
        </is>
      </c>
      <c r="C18" s="30" t="inlineStr">
        <is>
          <t>Операционка, почта, совещания без явной роли, админ и т.п. — опиши в наблюдениях</t>
        </is>
      </c>
      <c r="D18" s="43" t="n"/>
      <c r="E18" s="31">
        <f>IF($E$3=0,"",IF(D18="","",D18/$E$3))</f>
        <v/>
      </c>
      <c r="F18" s="25" t="n"/>
    </row>
    <row r="20">
      <c r="B20" s="44" t="inlineStr">
        <is>
          <t>ИТОГО часов (с учётом пересечений ролей)</t>
        </is>
      </c>
      <c r="C20" s="45" t="n"/>
      <c r="D20" s="46">
        <f>SUM(D6:D18)</f>
        <v/>
      </c>
      <c r="E20" s="47">
        <f>IF($E$3=0,"",D20/$E$3)</f>
        <v/>
      </c>
      <c r="F20" s="45" t="n"/>
    </row>
    <row r="21">
      <c r="B21" s="48" t="inlineStr">
        <is>
          <t>Подсказка: итог может быть &gt; длины дня, если роли пересекались — это нормально для эксперимента.</t>
        </is>
      </c>
    </row>
    <row r="23">
      <c r="A23" s="4" t="inlineStr">
        <is>
          <t>Общие наблюдения за день (свободная форма)</t>
        </is>
      </c>
    </row>
    <row r="24" ht="28" customHeight="1">
      <c r="A24" s="49" t="inlineStr">
        <is>
          <t>Что сегодня зажигало / забирало энергию?</t>
        </is>
      </c>
      <c r="C24" s="25" t="inlineStr"/>
      <c r="D24" s="50" t="n"/>
      <c r="E24" s="50" t="n"/>
      <c r="F24" s="26" t="n"/>
    </row>
    <row r="25" ht="28" customHeight="1">
      <c r="A25" s="49" t="inlineStr">
        <is>
          <t>Каких ролей не хватило? Какие показались избыточными?</t>
        </is>
      </c>
      <c r="C25" s="25" t="inlineStr"/>
      <c r="D25" s="50" t="n"/>
      <c r="E25" s="50" t="n"/>
      <c r="F25" s="26" t="n"/>
    </row>
    <row r="26" ht="28" customHeight="1">
      <c r="A26" s="49" t="inlineStr">
        <is>
          <t>Где несколько ролей наложились друг на друга?</t>
        </is>
      </c>
      <c r="C26" s="25" t="inlineStr"/>
      <c r="D26" s="50" t="n"/>
      <c r="E26" s="50" t="n"/>
      <c r="F26" s="26" t="n"/>
    </row>
    <row r="27" ht="28" customHeight="1">
      <c r="A27" s="49" t="inlineStr">
        <is>
          <t>Что удивило в распределении времени?</t>
        </is>
      </c>
      <c r="C27" s="25" t="inlineStr"/>
      <c r="D27" s="50" t="n"/>
      <c r="E27" s="50" t="n"/>
      <c r="F27" s="26" t="n"/>
    </row>
  </sheetData>
  <mergeCells count="13">
    <mergeCell ref="B21:F21"/>
    <mergeCell ref="A2:F2"/>
    <mergeCell ref="A26:B26"/>
    <mergeCell ref="A24:B24"/>
    <mergeCell ref="A25:B25"/>
    <mergeCell ref="B3:C3"/>
    <mergeCell ref="A1:F1"/>
    <mergeCell ref="A23:F23"/>
    <mergeCell ref="C26:F26"/>
    <mergeCell ref="C27:F27"/>
    <mergeCell ref="C25:F25"/>
    <mergeCell ref="C24:F24"/>
    <mergeCell ref="A27:B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0" customWidth="1" min="4" max="4"/>
    <col width="12" customWidth="1" min="5" max="5"/>
    <col width="40" customWidth="1" min="6" max="6"/>
  </cols>
  <sheetData>
    <row r="1" ht="24" customHeight="1">
      <c r="A1" s="6" t="inlineStr">
        <is>
          <t>Учёт ролей — Четверг, 8 октября</t>
        </is>
      </c>
    </row>
    <row r="2">
      <c r="A2" s="23" t="inlineStr">
        <is>
          <t>Заполни колонку «Часы». В один момент можно несколько ролей. Наблюдения — по желанию. Примеры задач — черновик, поправь под себя.</t>
        </is>
      </c>
    </row>
    <row r="3">
      <c r="A3" s="24" t="inlineStr">
        <is>
          <t>ФИО / должность:</t>
        </is>
      </c>
      <c r="B3" s="25" t="inlineStr">
        <is>
          <t>Тимлид группы продуктового запуска</t>
        </is>
      </c>
      <c r="C3" s="26" t="n"/>
      <c r="D3" s="24" t="inlineStr">
        <is>
          <t>Рабочий день (часов):</t>
        </is>
      </c>
      <c r="E3" s="27" t="n">
        <v>8</v>
      </c>
    </row>
    <row r="5" ht="28" customHeight="1">
      <c r="A5" s="7" t="inlineStr">
        <is>
          <t>№</t>
        </is>
      </c>
      <c r="B5" s="7" t="inlineStr">
        <is>
          <t>Роль</t>
        </is>
      </c>
      <c r="C5" s="7" t="inlineStr">
        <is>
          <t>Пример задачи (поправь)</t>
        </is>
      </c>
      <c r="D5" s="7" t="inlineStr">
        <is>
          <t>Часы</t>
        </is>
      </c>
      <c r="E5" s="7" t="inlineStr">
        <is>
          <t>% от дня</t>
        </is>
      </c>
      <c r="F5" s="7" t="inlineStr">
        <is>
          <t>Наблюдения / комментарии</t>
        </is>
      </c>
    </row>
    <row r="6" ht="42" customHeight="1">
      <c r="A6" s="28" t="n">
        <v>1</v>
      </c>
      <c r="B6" s="29" t="inlineStr">
        <is>
          <t>Зажигающий рост</t>
        </is>
      </c>
      <c r="C6" s="30" t="inlineStr">
        <is>
          <t>Согласовала с менеджером взять сложного клиента самостоятельно; обсудили следующий шаг по грейду</t>
        </is>
      </c>
      <c r="D6" s="27" t="n"/>
      <c r="E6" s="31">
        <f>IF($E$3=0,"",IF(D6="","",D6/$E$3))</f>
        <v/>
      </c>
      <c r="F6" s="32" t="inlineStr"/>
    </row>
    <row r="7" ht="42" customHeight="1">
      <c r="A7" s="33" t="n">
        <v>2</v>
      </c>
      <c r="B7" s="34" t="inlineStr">
        <is>
          <t>Архитектор плана</t>
        </is>
      </c>
      <c r="C7" s="30" t="inlineStr">
        <is>
          <t>Сверила план группы с фактом; разложила ожидания по менеджерам на неделю</t>
        </is>
      </c>
      <c r="D7" s="27" t="n"/>
      <c r="E7" s="31">
        <f>IF($E$3=0,"",IF(D7="","",D7/$E$3))</f>
        <v/>
      </c>
      <c r="F7" s="32" t="inlineStr"/>
    </row>
    <row r="8" ht="42" customHeight="1">
      <c r="A8" s="35" t="n">
        <v>3</v>
      </c>
      <c r="B8" s="36" t="inlineStr">
        <is>
          <t>Ловец отклонений</t>
        </is>
      </c>
      <c r="C8" s="30" t="inlineStr">
        <is>
          <t>Посмотрела отклонения по продуктам / людям; скорректировала фокус на сегодня</t>
        </is>
      </c>
      <c r="D8" s="27" t="n"/>
      <c r="E8" s="31">
        <f>IF($E$3=0,"",IF(D8="","",D8/$E$3))</f>
        <v/>
      </c>
      <c r="F8" s="32" t="inlineStr"/>
    </row>
    <row r="9" ht="42" customHeight="1">
      <c r="A9" s="28" t="n">
        <v>4</v>
      </c>
      <c r="B9" s="29" t="inlineStr">
        <is>
          <t>Дающий обратную связь</t>
        </is>
      </c>
      <c r="C9" s="30" t="inlineStr">
        <is>
          <t>Разобрала конкретный звонок/встречу с менеджером сразу после</t>
        </is>
      </c>
      <c r="D9" s="27" t="n"/>
      <c r="E9" s="31">
        <f>IF($E$3=0,"",IF(D9="","",D9/$E$3))</f>
        <v/>
      </c>
      <c r="F9" s="32" t="inlineStr"/>
    </row>
    <row r="10" ht="42" customHeight="1">
      <c r="A10" s="28" t="n">
        <v>5</v>
      </c>
      <c r="B10" s="29" t="inlineStr">
        <is>
          <t>Защищающий команду</t>
        </is>
      </c>
      <c r="C10" s="30" t="inlineStr">
        <is>
          <t>Вынесла наверх блокер / нереалистичное ожидание с аргументами</t>
        </is>
      </c>
      <c r="D10" s="27" t="n"/>
      <c r="E10" s="31">
        <f>IF($E$3=0,"",IF(D10="","",D10/$E$3))</f>
        <v/>
      </c>
      <c r="F10" s="32" t="inlineStr"/>
    </row>
    <row r="11" ht="42" customHeight="1">
      <c r="A11" s="35" t="n">
        <v>6</v>
      </c>
      <c r="B11" s="36" t="inlineStr">
        <is>
          <t>Наставник</t>
        </is>
      </c>
      <c r="C11" s="30" t="inlineStr">
        <is>
          <t>Обучение навыку: скрипт, возражение, CRM, разбор сделки</t>
        </is>
      </c>
      <c r="D11" s="27" t="n"/>
      <c r="E11" s="31">
        <f>IF($E$3=0,"",IF(D11="","",D11/$E$3))</f>
        <v/>
      </c>
      <c r="F11" s="32" t="inlineStr"/>
    </row>
    <row r="12" ht="42" customHeight="1">
      <c r="A12" s="37" t="n">
        <v>7</v>
      </c>
      <c r="B12" s="38" t="inlineStr">
        <is>
          <t>Сопровождающий первые шаги</t>
        </is>
      </c>
      <c r="C12" s="30" t="inlineStr">
        <is>
          <t>Помощь новичку: знакомство, неписаные правила, подстраховка</t>
        </is>
      </c>
      <c r="D12" s="27" t="n"/>
      <c r="E12" s="31">
        <f>IF($E$3=0,"",IF(D12="","",D12/$E$3))</f>
        <v/>
      </c>
      <c r="F12" s="32" t="inlineStr"/>
    </row>
    <row r="13" ht="42" customHeight="1">
      <c r="A13" s="35" t="n">
        <v>8</v>
      </c>
      <c r="B13" s="36" t="inlineStr">
        <is>
          <t>Двигатель экспериментов</t>
        </is>
      </c>
      <c r="C13" s="30" t="inlineStr">
        <is>
          <t>Запуск или разбор маленького эксперимента (скрипт/канал/формат)</t>
        </is>
      </c>
      <c r="D13" s="27" t="n"/>
      <c r="E13" s="31">
        <f>IF($E$3=0,"",IF(D13="","",D13/$E$3))</f>
        <v/>
      </c>
      <c r="F13" s="32" t="inlineStr"/>
    </row>
    <row r="14" ht="42" customHeight="1">
      <c r="A14" s="39" t="n">
        <v>9</v>
      </c>
      <c r="B14" s="40" t="inlineStr">
        <is>
          <t>Решатель инцидентов</t>
        </is>
      </c>
      <c r="C14" s="30" t="inlineStr">
        <is>
          <t>Горящий клиент / сделка / блокер смежников — разрулила в моменте</t>
        </is>
      </c>
      <c r="D14" s="27" t="n"/>
      <c r="E14" s="31">
        <f>IF($E$3=0,"",IF(D14="","",D14/$E$3))</f>
        <v/>
      </c>
      <c r="F14" s="32" t="inlineStr"/>
    </row>
    <row r="15" ht="42" customHeight="1">
      <c r="A15" s="39" t="n">
        <v>10</v>
      </c>
      <c r="B15" s="40" t="inlineStr">
        <is>
          <t>Мобилизатор</t>
        </is>
      </c>
      <c r="C15" s="30" t="inlineStr">
        <is>
          <t>Сбор команды на горящую цель: кто/что/срок (или выключение режима)</t>
        </is>
      </c>
      <c r="D15" s="27" t="n"/>
      <c r="E15" s="31">
        <f>IF($E$3=0,"",IF(D15="","",D15/$E$3))</f>
        <v/>
      </c>
      <c r="F15" s="32" t="inlineStr"/>
    </row>
    <row r="16" ht="42" customHeight="1">
      <c r="A16" s="28" t="n">
        <v>11</v>
      </c>
      <c r="B16" s="29" t="inlineStr">
        <is>
          <t>Переводчик процессов в человеческий</t>
        </is>
      </c>
      <c r="C16" s="30" t="inlineStr">
        <is>
          <t>Перевела регламент/правило в понятную памятку или объяснение</t>
        </is>
      </c>
      <c r="D16" s="27" t="n"/>
      <c r="E16" s="31">
        <f>IF($E$3=0,"",IF(D16="","",D16/$E$3))</f>
        <v/>
      </c>
      <c r="F16" s="32" t="inlineStr"/>
    </row>
    <row r="17" ht="42" customHeight="1">
      <c r="A17" s="28" t="n">
        <v>12</v>
      </c>
      <c r="B17" s="29" t="inlineStr">
        <is>
          <t>Открывающий сердца клиентов</t>
        </is>
      </c>
      <c r="C17" s="30" t="inlineStr">
        <is>
          <t>Участие во встрече / тон коммуникации / кейс с заботой о клиенте</t>
        </is>
      </c>
      <c r="D17" s="27" t="n"/>
      <c r="E17" s="31">
        <f>IF($E$3=0,"",IF(D17="","",D17/$E$3))</f>
        <v/>
      </c>
      <c r="F17" s="32" t="inlineStr"/>
    </row>
    <row r="18" ht="42" customHeight="1">
      <c r="A18" s="41" t="inlineStr">
        <is>
          <t>—</t>
        </is>
      </c>
      <c r="B18" s="42" t="inlineStr">
        <is>
          <t>Другое / вне ролей</t>
        </is>
      </c>
      <c r="C18" s="30" t="inlineStr">
        <is>
          <t>Операционка, почта, совещания без явной роли, админ и т.п. — опиши в наблюдениях</t>
        </is>
      </c>
      <c r="D18" s="43" t="n"/>
      <c r="E18" s="31">
        <f>IF($E$3=0,"",IF(D18="","",D18/$E$3))</f>
        <v/>
      </c>
      <c r="F18" s="25" t="n"/>
    </row>
    <row r="20">
      <c r="B20" s="44" t="inlineStr">
        <is>
          <t>ИТОГО часов (с учётом пересечений ролей)</t>
        </is>
      </c>
      <c r="C20" s="45" t="n"/>
      <c r="D20" s="46">
        <f>SUM(D6:D18)</f>
        <v/>
      </c>
      <c r="E20" s="47">
        <f>IF($E$3=0,"",D20/$E$3)</f>
        <v/>
      </c>
      <c r="F20" s="45" t="n"/>
    </row>
    <row r="21">
      <c r="B21" s="48" t="inlineStr">
        <is>
          <t>Подсказка: итог может быть &gt; длины дня, если роли пересекались — это нормально для эксперимента.</t>
        </is>
      </c>
    </row>
    <row r="23">
      <c r="A23" s="4" t="inlineStr">
        <is>
          <t>Общие наблюдения за день (свободная форма)</t>
        </is>
      </c>
    </row>
    <row r="24" ht="28" customHeight="1">
      <c r="A24" s="49" t="inlineStr">
        <is>
          <t>Что сегодня зажигало / забирало энергию?</t>
        </is>
      </c>
      <c r="C24" s="25" t="inlineStr"/>
      <c r="D24" s="50" t="n"/>
      <c r="E24" s="50" t="n"/>
      <c r="F24" s="26" t="n"/>
    </row>
    <row r="25" ht="28" customHeight="1">
      <c r="A25" s="49" t="inlineStr">
        <is>
          <t>Каких ролей не хватило? Какие показались избыточными?</t>
        </is>
      </c>
      <c r="C25" s="25" t="inlineStr"/>
      <c r="D25" s="50" t="n"/>
      <c r="E25" s="50" t="n"/>
      <c r="F25" s="26" t="n"/>
    </row>
    <row r="26" ht="28" customHeight="1">
      <c r="A26" s="49" t="inlineStr">
        <is>
          <t>Где несколько ролей наложились друг на друга?</t>
        </is>
      </c>
      <c r="C26" s="25" t="inlineStr"/>
      <c r="D26" s="50" t="n"/>
      <c r="E26" s="50" t="n"/>
      <c r="F26" s="26" t="n"/>
    </row>
    <row r="27" ht="28" customHeight="1">
      <c r="A27" s="49" t="inlineStr">
        <is>
          <t>Что удивило в распределении времени?</t>
        </is>
      </c>
      <c r="C27" s="25" t="inlineStr"/>
      <c r="D27" s="50" t="n"/>
      <c r="E27" s="50" t="n"/>
      <c r="F27" s="26" t="n"/>
    </row>
  </sheetData>
  <mergeCells count="13">
    <mergeCell ref="B21:F21"/>
    <mergeCell ref="A2:F2"/>
    <mergeCell ref="A26:B26"/>
    <mergeCell ref="A24:B24"/>
    <mergeCell ref="A25:B25"/>
    <mergeCell ref="B3:C3"/>
    <mergeCell ref="A1:F1"/>
    <mergeCell ref="A23:F23"/>
    <mergeCell ref="C26:F26"/>
    <mergeCell ref="C27:F27"/>
    <mergeCell ref="C25:F25"/>
    <mergeCell ref="C24:F24"/>
    <mergeCell ref="A27:B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Сводка по ролям за 3 дня</t>
        </is>
      </c>
    </row>
    <row r="2">
      <c r="A2" s="23" t="inlineStr">
        <is>
          <t>Часы подтягиваются автоматически с дневных листов. Добавь выводы внизу.</t>
        </is>
      </c>
    </row>
    <row r="4">
      <c r="A4" s="7" t="inlineStr">
        <is>
          <t>№</t>
        </is>
      </c>
      <c r="B4" s="7" t="inlineStr">
        <is>
          <t>Роль</t>
        </is>
      </c>
      <c r="C4" s="7" t="inlineStr">
        <is>
          <t>6 окт (вт)</t>
        </is>
      </c>
      <c r="D4" s="7" t="inlineStr">
        <is>
          <t>7 окт (ср)</t>
        </is>
      </c>
      <c r="E4" s="7" t="inlineStr">
        <is>
          <t>8 окт (чт)</t>
        </is>
      </c>
      <c r="F4" s="7" t="inlineStr">
        <is>
          <t>Всего часов</t>
        </is>
      </c>
      <c r="G4" s="7" t="inlineStr">
        <is>
          <t>Доля от суммы</t>
        </is>
      </c>
    </row>
    <row r="5" ht="22" customHeight="1">
      <c r="A5" s="28" t="n">
        <v>1</v>
      </c>
      <c r="B5" s="29" t="inlineStr">
        <is>
          <t>Зажигающий рост</t>
        </is>
      </c>
      <c r="C5" s="51">
        <f>'6 окт (вт)'!D6</f>
        <v/>
      </c>
      <c r="D5" s="51">
        <f>'7 окт (ср)'!D6</f>
        <v/>
      </c>
      <c r="E5" s="51">
        <f>'8 окт (чт)'!D6</f>
        <v/>
      </c>
      <c r="F5" s="52">
        <f>SUM(C5:E5)</f>
        <v/>
      </c>
      <c r="G5" s="31">
        <f>IF($F$18=0,"",F5/$F$18)</f>
        <v/>
      </c>
    </row>
    <row r="6" ht="22" customHeight="1">
      <c r="A6" s="33" t="n">
        <v>2</v>
      </c>
      <c r="B6" s="34" t="inlineStr">
        <is>
          <t>Архитектор плана</t>
        </is>
      </c>
      <c r="C6" s="51">
        <f>'6 окт (вт)'!D7</f>
        <v/>
      </c>
      <c r="D6" s="51">
        <f>'7 окт (ср)'!D7</f>
        <v/>
      </c>
      <c r="E6" s="51">
        <f>'8 окт (чт)'!D7</f>
        <v/>
      </c>
      <c r="F6" s="52">
        <f>SUM(C6:E6)</f>
        <v/>
      </c>
      <c r="G6" s="31">
        <f>IF($F$18=0,"",F6/$F$18)</f>
        <v/>
      </c>
    </row>
    <row r="7" ht="22" customHeight="1">
      <c r="A7" s="35" t="n">
        <v>3</v>
      </c>
      <c r="B7" s="36" t="inlineStr">
        <is>
          <t>Ловец отклонений</t>
        </is>
      </c>
      <c r="C7" s="51">
        <f>'6 окт (вт)'!D8</f>
        <v/>
      </c>
      <c r="D7" s="51">
        <f>'7 окт (ср)'!D8</f>
        <v/>
      </c>
      <c r="E7" s="51">
        <f>'8 окт (чт)'!D8</f>
        <v/>
      </c>
      <c r="F7" s="52">
        <f>SUM(C7:E7)</f>
        <v/>
      </c>
      <c r="G7" s="31">
        <f>IF($F$18=0,"",F7/$F$18)</f>
        <v/>
      </c>
    </row>
    <row r="8" ht="22" customHeight="1">
      <c r="A8" s="28" t="n">
        <v>4</v>
      </c>
      <c r="B8" s="29" t="inlineStr">
        <is>
          <t>Дающий обратную связь</t>
        </is>
      </c>
      <c r="C8" s="51">
        <f>'6 окт (вт)'!D9</f>
        <v/>
      </c>
      <c r="D8" s="51">
        <f>'7 окт (ср)'!D9</f>
        <v/>
      </c>
      <c r="E8" s="51">
        <f>'8 окт (чт)'!D9</f>
        <v/>
      </c>
      <c r="F8" s="52">
        <f>SUM(C8:E8)</f>
        <v/>
      </c>
      <c r="G8" s="31">
        <f>IF($F$18=0,"",F8/$F$18)</f>
        <v/>
      </c>
    </row>
    <row r="9" ht="22" customHeight="1">
      <c r="A9" s="28" t="n">
        <v>5</v>
      </c>
      <c r="B9" s="29" t="inlineStr">
        <is>
          <t>Защищающий команду</t>
        </is>
      </c>
      <c r="C9" s="51">
        <f>'6 окт (вт)'!D10</f>
        <v/>
      </c>
      <c r="D9" s="51">
        <f>'7 окт (ср)'!D10</f>
        <v/>
      </c>
      <c r="E9" s="51">
        <f>'8 окт (чт)'!D10</f>
        <v/>
      </c>
      <c r="F9" s="52">
        <f>SUM(C9:E9)</f>
        <v/>
      </c>
      <c r="G9" s="31">
        <f>IF($F$18=0,"",F9/$F$18)</f>
        <v/>
      </c>
    </row>
    <row r="10" ht="22" customHeight="1">
      <c r="A10" s="35" t="n">
        <v>6</v>
      </c>
      <c r="B10" s="36" t="inlineStr">
        <is>
          <t>Наставник</t>
        </is>
      </c>
      <c r="C10" s="51">
        <f>'6 окт (вт)'!D11</f>
        <v/>
      </c>
      <c r="D10" s="51">
        <f>'7 окт (ср)'!D11</f>
        <v/>
      </c>
      <c r="E10" s="51">
        <f>'8 окт (чт)'!D11</f>
        <v/>
      </c>
      <c r="F10" s="52">
        <f>SUM(C10:E10)</f>
        <v/>
      </c>
      <c r="G10" s="31">
        <f>IF($F$18=0,"",F10/$F$18)</f>
        <v/>
      </c>
    </row>
    <row r="11" ht="22" customHeight="1">
      <c r="A11" s="37" t="n">
        <v>7</v>
      </c>
      <c r="B11" s="38" t="inlineStr">
        <is>
          <t>Сопровождающий первые шаги</t>
        </is>
      </c>
      <c r="C11" s="51">
        <f>'6 окт (вт)'!D12</f>
        <v/>
      </c>
      <c r="D11" s="51">
        <f>'7 окт (ср)'!D12</f>
        <v/>
      </c>
      <c r="E11" s="51">
        <f>'8 окт (чт)'!D12</f>
        <v/>
      </c>
      <c r="F11" s="52">
        <f>SUM(C11:E11)</f>
        <v/>
      </c>
      <c r="G11" s="31">
        <f>IF($F$18=0,"",F11/$F$18)</f>
        <v/>
      </c>
    </row>
    <row r="12" ht="22" customHeight="1">
      <c r="A12" s="35" t="n">
        <v>8</v>
      </c>
      <c r="B12" s="36" t="inlineStr">
        <is>
          <t>Двигатель экспериментов</t>
        </is>
      </c>
      <c r="C12" s="51">
        <f>'6 окт (вт)'!D13</f>
        <v/>
      </c>
      <c r="D12" s="51">
        <f>'7 окт (ср)'!D13</f>
        <v/>
      </c>
      <c r="E12" s="51">
        <f>'8 окт (чт)'!D13</f>
        <v/>
      </c>
      <c r="F12" s="52">
        <f>SUM(C12:E12)</f>
        <v/>
      </c>
      <c r="G12" s="31">
        <f>IF($F$18=0,"",F12/$F$18)</f>
        <v/>
      </c>
    </row>
    <row r="13" ht="22" customHeight="1">
      <c r="A13" s="39" t="n">
        <v>9</v>
      </c>
      <c r="B13" s="40" t="inlineStr">
        <is>
          <t>Решатель инцидентов</t>
        </is>
      </c>
      <c r="C13" s="51">
        <f>'6 окт (вт)'!D14</f>
        <v/>
      </c>
      <c r="D13" s="51">
        <f>'7 окт (ср)'!D14</f>
        <v/>
      </c>
      <c r="E13" s="51">
        <f>'8 окт (чт)'!D14</f>
        <v/>
      </c>
      <c r="F13" s="52">
        <f>SUM(C13:E13)</f>
        <v/>
      </c>
      <c r="G13" s="31">
        <f>IF($F$18=0,"",F13/$F$18)</f>
        <v/>
      </c>
    </row>
    <row r="14" ht="22" customHeight="1">
      <c r="A14" s="39" t="n">
        <v>10</v>
      </c>
      <c r="B14" s="40" t="inlineStr">
        <is>
          <t>Мобилизатор</t>
        </is>
      </c>
      <c r="C14" s="51">
        <f>'6 окт (вт)'!D15</f>
        <v/>
      </c>
      <c r="D14" s="51">
        <f>'7 окт (ср)'!D15</f>
        <v/>
      </c>
      <c r="E14" s="51">
        <f>'8 окт (чт)'!D15</f>
        <v/>
      </c>
      <c r="F14" s="52">
        <f>SUM(C14:E14)</f>
        <v/>
      </c>
      <c r="G14" s="31">
        <f>IF($F$18=0,"",F14/$F$18)</f>
        <v/>
      </c>
    </row>
    <row r="15" ht="22" customHeight="1">
      <c r="A15" s="28" t="n">
        <v>11</v>
      </c>
      <c r="B15" s="29" t="inlineStr">
        <is>
          <t>Переводчик процессов в человеческий</t>
        </is>
      </c>
      <c r="C15" s="51">
        <f>'6 окт (вт)'!D16</f>
        <v/>
      </c>
      <c r="D15" s="51">
        <f>'7 окт (ср)'!D16</f>
        <v/>
      </c>
      <c r="E15" s="51">
        <f>'8 окт (чт)'!D16</f>
        <v/>
      </c>
      <c r="F15" s="52">
        <f>SUM(C15:E15)</f>
        <v/>
      </c>
      <c r="G15" s="31">
        <f>IF($F$18=0,"",F15/$F$18)</f>
        <v/>
      </c>
    </row>
    <row r="16" ht="22" customHeight="1">
      <c r="A16" s="28" t="n">
        <v>12</v>
      </c>
      <c r="B16" s="29" t="inlineStr">
        <is>
          <t>Открывающий сердца клиентов</t>
        </is>
      </c>
      <c r="C16" s="51">
        <f>'6 окт (вт)'!D17</f>
        <v/>
      </c>
      <c r="D16" s="51">
        <f>'7 окт (ср)'!D17</f>
        <v/>
      </c>
      <c r="E16" s="51">
        <f>'8 окт (чт)'!D17</f>
        <v/>
      </c>
      <c r="F16" s="52">
        <f>SUM(C16:E16)</f>
        <v/>
      </c>
      <c r="G16" s="31">
        <f>IF($F$18=0,"",F16/$F$18)</f>
        <v/>
      </c>
    </row>
    <row r="17" ht="22" customHeight="1">
      <c r="A17" s="41" t="inlineStr">
        <is>
          <t>—</t>
        </is>
      </c>
      <c r="B17" s="53" t="inlineStr">
        <is>
          <t>Другое / вне ролей</t>
        </is>
      </c>
      <c r="C17" s="51">
        <f>'6 окт (вт)'!D18</f>
        <v/>
      </c>
      <c r="D17" s="51">
        <f>'7 окт (ср)'!D18</f>
        <v/>
      </c>
      <c r="E17" s="51">
        <f>'8 окт (чт)'!D18</f>
        <v/>
      </c>
      <c r="F17" s="52">
        <f>SUM(C17:E17)</f>
        <v/>
      </c>
      <c r="G17" s="31">
        <f>IF($F$18=0,"",F17/$F$18)</f>
        <v/>
      </c>
    </row>
    <row r="18">
      <c r="A18" s="45" t="n"/>
      <c r="B18" s="44" t="inlineStr">
        <is>
          <t>ИТОГО</t>
        </is>
      </c>
      <c r="C18" s="54">
        <f>SUM(C5:C17)</f>
        <v/>
      </c>
      <c r="D18" s="54">
        <f>SUM(D5:D17)</f>
        <v/>
      </c>
      <c r="E18" s="54">
        <f>SUM(E5:E17)</f>
        <v/>
      </c>
      <c r="F18" s="54">
        <f>SUM(F5:F17)</f>
        <v/>
      </c>
      <c r="G18" s="45" t="inlineStr"/>
    </row>
    <row r="38">
      <c r="A38" s="55" t="inlineStr">
        <is>
          <t>Выводы эксперимента (свободная форма)</t>
        </is>
      </c>
    </row>
    <row r="39">
      <c r="A39" s="24" t="inlineStr">
        <is>
          <t>Какие роли реально «живут» в должности?</t>
        </is>
      </c>
    </row>
    <row r="40" ht="36" customHeight="1">
      <c r="A40" s="25" t="inlineStr"/>
      <c r="B40" s="50" t="n"/>
      <c r="C40" s="50" t="n"/>
      <c r="D40" s="50" t="n"/>
      <c r="E40" s="50" t="n"/>
      <c r="F40" s="50" t="n"/>
      <c r="G40" s="26" t="n"/>
    </row>
    <row r="41">
      <c r="A41" s="24" t="inlineStr">
        <is>
          <t>Каких ролей не хватает / почти нет?</t>
        </is>
      </c>
    </row>
    <row r="42" ht="36" customHeight="1">
      <c r="A42" s="25" t="inlineStr"/>
      <c r="B42" s="50" t="n"/>
      <c r="C42" s="50" t="n"/>
      <c r="D42" s="50" t="n"/>
      <c r="E42" s="50" t="n"/>
      <c r="F42" s="50" t="n"/>
      <c r="G42" s="26" t="n"/>
    </row>
    <row r="43">
      <c r="A43" s="24" t="inlineStr">
        <is>
          <t>Какие роли избыточны или пересекаются?</t>
        </is>
      </c>
    </row>
    <row r="44" ht="36" customHeight="1">
      <c r="A44" s="25" t="inlineStr"/>
      <c r="B44" s="50" t="n"/>
      <c r="C44" s="50" t="n"/>
      <c r="D44" s="50" t="n"/>
      <c r="E44" s="50" t="n"/>
      <c r="F44" s="50" t="n"/>
      <c r="G44" s="26" t="n"/>
    </row>
    <row r="45">
      <c r="A45" s="24" t="inlineStr">
        <is>
          <t>Что это меняет в понимании процессов группы?</t>
        </is>
      </c>
    </row>
    <row r="46" ht="36" customHeight="1">
      <c r="A46" s="25" t="inlineStr"/>
      <c r="B46" s="50" t="n"/>
      <c r="C46" s="50" t="n"/>
      <c r="D46" s="50" t="n"/>
      <c r="E46" s="50" t="n"/>
      <c r="F46" s="50" t="n"/>
      <c r="G46" s="26" t="n"/>
    </row>
    <row r="47">
      <c r="A47" s="24" t="inlineStr">
        <is>
          <t>Что хочется оставить / изменить / отдать?</t>
        </is>
      </c>
    </row>
    <row r="48" ht="36" customHeight="1">
      <c r="A48" s="25" t="inlineStr"/>
      <c r="B48" s="50" t="n"/>
      <c r="C48" s="50" t="n"/>
      <c r="D48" s="50" t="n"/>
      <c r="E48" s="50" t="n"/>
      <c r="F48" s="50" t="n"/>
      <c r="G48" s="26" t="n"/>
    </row>
  </sheetData>
  <mergeCells count="13">
    <mergeCell ref="A44:G44"/>
    <mergeCell ref="A1:G1"/>
    <mergeCell ref="A40:G40"/>
    <mergeCell ref="A45:G45"/>
    <mergeCell ref="A39:G39"/>
    <mergeCell ref="A48:G48"/>
    <mergeCell ref="A38:G38"/>
    <mergeCell ref="A2:G2"/>
    <mergeCell ref="A43:G43"/>
    <mergeCell ref="A41:G41"/>
    <mergeCell ref="A47:G47"/>
    <mergeCell ref="A42:G42"/>
    <mergeCell ref="A46:G4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28" customWidth="1" min="4" max="4"/>
    <col width="28" customWidth="1" min="5" max="5"/>
    <col width="30" customWidth="1" min="6" max="6"/>
  </cols>
  <sheetData>
    <row r="1">
      <c r="A1" s="56" t="inlineStr">
        <is>
          <t>Дневник по слотам (если удобнее фиксировать в течение дня, а потом перенести часы на дневные листы)</t>
        </is>
      </c>
    </row>
    <row r="2">
      <c r="A2" s="23" t="inlineStr">
        <is>
          <t>Необязательный лист. Можно коротко писать: время → что делала → какая роль(и).</t>
        </is>
      </c>
    </row>
    <row r="4">
      <c r="A4" s="7" t="inlineStr">
        <is>
          <t>Дата</t>
        </is>
      </c>
      <c r="B4" s="7" t="inlineStr">
        <is>
          <t>Время (с–по)</t>
        </is>
      </c>
      <c r="C4" s="7" t="inlineStr">
        <is>
          <t>Что делала</t>
        </is>
      </c>
      <c r="D4" s="7" t="inlineStr">
        <is>
          <t>Роль 1</t>
        </is>
      </c>
      <c r="E4" s="7" t="inlineStr">
        <is>
          <t>Роль 2 (если пересечение)</t>
        </is>
      </c>
      <c r="F4" s="7" t="inlineStr">
        <is>
          <t>Заметка</t>
        </is>
      </c>
    </row>
    <row r="5" ht="22" customHeight="1">
      <c r="A5" s="57" t="inlineStr">
        <is>
          <t>6 окт</t>
        </is>
      </c>
      <c r="B5" s="57" t="inlineStr">
        <is>
          <t>09:00–09:30</t>
        </is>
      </c>
      <c r="C5" s="57" t="inlineStr">
        <is>
          <t>Планёрка группы: сверка факта с планом</t>
        </is>
      </c>
      <c r="D5" s="57" t="inlineStr">
        <is>
          <t>Ловец отклонений</t>
        </is>
      </c>
      <c r="E5" s="57" t="inlineStr">
        <is>
          <t>Архитектор плана</t>
        </is>
      </c>
      <c r="F5" s="57" t="inlineStr"/>
    </row>
    <row r="6" ht="22" customHeight="1">
      <c r="A6" s="57" t="inlineStr">
        <is>
          <t>6 окт</t>
        </is>
      </c>
      <c r="B6" s="57" t="inlineStr">
        <is>
          <t>10:00–11:00</t>
        </is>
      </c>
      <c r="C6" s="57" t="inlineStr">
        <is>
          <t>Разбор звонка с менеджером после демо</t>
        </is>
      </c>
      <c r="D6" s="57" t="inlineStr">
        <is>
          <t>Дающий обратную связь</t>
        </is>
      </c>
      <c r="E6" s="57" t="inlineStr">
        <is>
          <t>Зажигающий рост</t>
        </is>
      </c>
      <c r="F6" s="57" t="inlineStr"/>
    </row>
    <row r="7" ht="22" customHeight="1">
      <c r="A7" s="57" t="inlineStr">
        <is>
          <t>6 окт</t>
        </is>
      </c>
      <c r="B7" s="57" t="inlineStr">
        <is>
          <t>14:00–14:40</t>
        </is>
      </c>
      <c r="C7" s="57" t="inlineStr">
        <is>
          <t>Клиент на финале «отваливается» — эскалация</t>
        </is>
      </c>
      <c r="D7" s="57" t="inlineStr">
        <is>
          <t>Решатель инцидентов</t>
        </is>
      </c>
      <c r="E7" s="57" t="inlineStr">
        <is>
          <t>Открывающий сердца клиентов</t>
        </is>
      </c>
      <c r="F7" s="57" t="inlineStr"/>
    </row>
    <row r="8">
      <c r="A8" s="48" t="inlineStr">
        <is>
          <t>↑ примеры (серым) — удали или перепиши. Ниже — твои записи:</t>
        </is>
      </c>
    </row>
    <row r="9" ht="20" customHeight="1">
      <c r="A9" s="25" t="inlineStr"/>
      <c r="B9" s="25" t="inlineStr"/>
      <c r="C9" s="25" t="inlineStr"/>
      <c r="D9" s="25" t="inlineStr"/>
      <c r="E9" s="25" t="inlineStr"/>
      <c r="F9" s="25" t="inlineStr"/>
    </row>
    <row r="10" ht="20" customHeight="1">
      <c r="A10" s="25" t="inlineStr"/>
      <c r="B10" s="25" t="inlineStr"/>
      <c r="C10" s="25" t="inlineStr"/>
      <c r="D10" s="25" t="inlineStr"/>
      <c r="E10" s="25" t="inlineStr"/>
      <c r="F10" s="25" t="inlineStr"/>
    </row>
    <row r="11" ht="20" customHeight="1">
      <c r="A11" s="25" t="inlineStr"/>
      <c r="B11" s="25" t="inlineStr"/>
      <c r="C11" s="25" t="inlineStr"/>
      <c r="D11" s="25" t="inlineStr"/>
      <c r="E11" s="25" t="inlineStr"/>
      <c r="F11" s="25" t="inlineStr"/>
    </row>
    <row r="12" ht="20" customHeight="1">
      <c r="A12" s="25" t="inlineStr"/>
      <c r="B12" s="25" t="inlineStr"/>
      <c r="C12" s="25" t="inlineStr"/>
      <c r="D12" s="25" t="inlineStr"/>
      <c r="E12" s="25" t="inlineStr"/>
      <c r="F12" s="25" t="inlineStr"/>
    </row>
    <row r="13" ht="20" customHeight="1">
      <c r="A13" s="25" t="inlineStr"/>
      <c r="B13" s="25" t="inlineStr"/>
      <c r="C13" s="25" t="inlineStr"/>
      <c r="D13" s="25" t="inlineStr"/>
      <c r="E13" s="25" t="inlineStr"/>
      <c r="F13" s="25" t="inlineStr"/>
    </row>
    <row r="14" ht="20" customHeight="1">
      <c r="A14" s="25" t="inlineStr"/>
      <c r="B14" s="25" t="inlineStr"/>
      <c r="C14" s="25" t="inlineStr"/>
      <c r="D14" s="25" t="inlineStr"/>
      <c r="E14" s="25" t="inlineStr"/>
      <c r="F14" s="25" t="inlineStr"/>
    </row>
    <row r="15" ht="20" customHeight="1">
      <c r="A15" s="25" t="inlineStr"/>
      <c r="B15" s="25" t="inlineStr"/>
      <c r="C15" s="25" t="inlineStr"/>
      <c r="D15" s="25" t="inlineStr"/>
      <c r="E15" s="25" t="inlineStr"/>
      <c r="F15" s="25" t="inlineStr"/>
    </row>
    <row r="16" ht="20" customHeight="1">
      <c r="A16" s="25" t="inlineStr"/>
      <c r="B16" s="25" t="inlineStr"/>
      <c r="C16" s="25" t="inlineStr"/>
      <c r="D16" s="25" t="inlineStr"/>
      <c r="E16" s="25" t="inlineStr"/>
      <c r="F16" s="25" t="inlineStr"/>
    </row>
    <row r="17" ht="20" customHeight="1">
      <c r="A17" s="25" t="inlineStr"/>
      <c r="B17" s="25" t="inlineStr"/>
      <c r="C17" s="25" t="inlineStr"/>
      <c r="D17" s="25" t="inlineStr"/>
      <c r="E17" s="25" t="inlineStr"/>
      <c r="F17" s="25" t="inlineStr"/>
    </row>
    <row r="18" ht="20" customHeight="1">
      <c r="A18" s="25" t="inlineStr"/>
      <c r="B18" s="25" t="inlineStr"/>
      <c r="C18" s="25" t="inlineStr"/>
      <c r="D18" s="25" t="inlineStr"/>
      <c r="E18" s="25" t="inlineStr"/>
      <c r="F18" s="25" t="inlineStr"/>
    </row>
    <row r="19" ht="20" customHeight="1">
      <c r="A19" s="25" t="inlineStr"/>
      <c r="B19" s="25" t="inlineStr"/>
      <c r="C19" s="25" t="inlineStr"/>
      <c r="D19" s="25" t="inlineStr"/>
      <c r="E19" s="25" t="inlineStr"/>
      <c r="F19" s="25" t="inlineStr"/>
    </row>
    <row r="20" ht="20" customHeight="1">
      <c r="A20" s="25" t="inlineStr"/>
      <c r="B20" s="25" t="inlineStr"/>
      <c r="C20" s="25" t="inlineStr"/>
      <c r="D20" s="25" t="inlineStr"/>
      <c r="E20" s="25" t="inlineStr"/>
      <c r="F20" s="25" t="inlineStr"/>
    </row>
    <row r="21" ht="20" customHeight="1">
      <c r="A21" s="25" t="inlineStr"/>
      <c r="B21" s="25" t="inlineStr"/>
      <c r="C21" s="25" t="inlineStr"/>
      <c r="D21" s="25" t="inlineStr"/>
      <c r="E21" s="25" t="inlineStr"/>
      <c r="F21" s="25" t="inlineStr"/>
    </row>
    <row r="22" ht="20" customHeight="1">
      <c r="A22" s="25" t="inlineStr"/>
      <c r="B22" s="25" t="inlineStr"/>
      <c r="C22" s="25" t="inlineStr"/>
      <c r="D22" s="25" t="inlineStr"/>
      <c r="E22" s="25" t="inlineStr"/>
      <c r="F22" s="25" t="inlineStr"/>
    </row>
    <row r="23" ht="20" customHeight="1">
      <c r="A23" s="25" t="inlineStr"/>
      <c r="B23" s="25" t="inlineStr"/>
      <c r="C23" s="25" t="inlineStr"/>
      <c r="D23" s="25" t="inlineStr"/>
      <c r="E23" s="25" t="inlineStr"/>
      <c r="F23" s="25" t="inlineStr"/>
    </row>
    <row r="24" ht="20" customHeight="1">
      <c r="A24" s="25" t="inlineStr"/>
      <c r="B24" s="25" t="inlineStr"/>
      <c r="C24" s="25" t="inlineStr"/>
      <c r="D24" s="25" t="inlineStr"/>
      <c r="E24" s="25" t="inlineStr"/>
      <c r="F24" s="25" t="inlineStr"/>
    </row>
    <row r="25" ht="20" customHeight="1">
      <c r="A25" s="25" t="inlineStr"/>
      <c r="B25" s="25" t="inlineStr"/>
      <c r="C25" s="25" t="inlineStr"/>
      <c r="D25" s="25" t="inlineStr"/>
      <c r="E25" s="25" t="inlineStr"/>
      <c r="F25" s="25" t="inlineStr"/>
    </row>
    <row r="26" ht="20" customHeight="1">
      <c r="A26" s="25" t="inlineStr"/>
      <c r="B26" s="25" t="inlineStr"/>
      <c r="C26" s="25" t="inlineStr"/>
      <c r="D26" s="25" t="inlineStr"/>
      <c r="E26" s="25" t="inlineStr"/>
      <c r="F26" s="25" t="inlineStr"/>
    </row>
    <row r="27" ht="20" customHeight="1">
      <c r="A27" s="25" t="inlineStr"/>
      <c r="B27" s="25" t="inlineStr"/>
      <c r="C27" s="25" t="inlineStr"/>
      <c r="D27" s="25" t="inlineStr"/>
      <c r="E27" s="25" t="inlineStr"/>
      <c r="F27" s="25" t="inlineStr"/>
    </row>
    <row r="28" ht="20" customHeight="1">
      <c r="A28" s="25" t="inlineStr"/>
      <c r="B28" s="25" t="inlineStr"/>
      <c r="C28" s="25" t="inlineStr"/>
      <c r="D28" s="25" t="inlineStr"/>
      <c r="E28" s="25" t="inlineStr"/>
      <c r="F28" s="25" t="inlineStr"/>
    </row>
    <row r="29" ht="20" customHeight="1">
      <c r="A29" s="25" t="inlineStr"/>
      <c r="B29" s="25" t="inlineStr"/>
      <c r="C29" s="25" t="inlineStr"/>
      <c r="D29" s="25" t="inlineStr"/>
      <c r="E29" s="25" t="inlineStr"/>
      <c r="F29" s="25" t="inlineStr"/>
    </row>
    <row r="30" ht="20" customHeight="1">
      <c r="A30" s="25" t="inlineStr"/>
      <c r="B30" s="25" t="inlineStr"/>
      <c r="C30" s="25" t="inlineStr"/>
      <c r="D30" s="25" t="inlineStr"/>
      <c r="E30" s="25" t="inlineStr"/>
      <c r="F30" s="25" t="inlineStr"/>
    </row>
    <row r="31" ht="20" customHeight="1">
      <c r="A31" s="25" t="inlineStr"/>
      <c r="B31" s="25" t="inlineStr"/>
      <c r="C31" s="25" t="inlineStr"/>
      <c r="D31" s="25" t="inlineStr"/>
      <c r="E31" s="25" t="inlineStr"/>
      <c r="F31" s="25" t="inlineStr"/>
    </row>
    <row r="32" ht="20" customHeight="1">
      <c r="A32" s="25" t="inlineStr"/>
      <c r="B32" s="25" t="inlineStr"/>
      <c r="C32" s="25" t="inlineStr"/>
      <c r="D32" s="25" t="inlineStr"/>
      <c r="E32" s="25" t="inlineStr"/>
      <c r="F32" s="25" t="inlineStr"/>
    </row>
    <row r="33" ht="20" customHeight="1">
      <c r="A33" s="25" t="inlineStr"/>
      <c r="B33" s="25" t="inlineStr"/>
      <c r="C33" s="25" t="inlineStr"/>
      <c r="D33" s="25" t="inlineStr"/>
      <c r="E33" s="25" t="inlineStr"/>
      <c r="F33" s="25" t="inlineStr"/>
    </row>
    <row r="34" ht="20" customHeight="1">
      <c r="A34" s="25" t="inlineStr"/>
      <c r="B34" s="25" t="inlineStr"/>
      <c r="C34" s="25" t="inlineStr"/>
      <c r="D34" s="25" t="inlineStr"/>
      <c r="E34" s="25" t="inlineStr"/>
      <c r="F34" s="25" t="inlineStr"/>
    </row>
    <row r="35" ht="20" customHeight="1">
      <c r="A35" s="25" t="inlineStr"/>
      <c r="B35" s="25" t="inlineStr"/>
      <c r="C35" s="25" t="inlineStr"/>
      <c r="D35" s="25" t="inlineStr"/>
      <c r="E35" s="25" t="inlineStr"/>
      <c r="F35" s="25" t="inlineStr"/>
    </row>
    <row r="36" ht="20" customHeight="1">
      <c r="A36" s="25" t="inlineStr"/>
      <c r="B36" s="25" t="inlineStr"/>
      <c r="C36" s="25" t="inlineStr"/>
      <c r="D36" s="25" t="inlineStr"/>
      <c r="E36" s="25" t="inlineStr"/>
      <c r="F36" s="25" t="inlineStr"/>
    </row>
    <row r="37" ht="20" customHeight="1">
      <c r="A37" s="25" t="inlineStr"/>
      <c r="B37" s="25" t="inlineStr"/>
      <c r="C37" s="25" t="inlineStr"/>
      <c r="D37" s="25" t="inlineStr"/>
      <c r="E37" s="25" t="inlineStr"/>
      <c r="F37" s="25" t="inlineStr"/>
    </row>
    <row r="38" ht="20" customHeight="1">
      <c r="A38" s="25" t="inlineStr"/>
      <c r="B38" s="25" t="inlineStr"/>
      <c r="C38" s="25" t="inlineStr"/>
      <c r="D38" s="25" t="inlineStr"/>
      <c r="E38" s="25" t="inlineStr"/>
      <c r="F38" s="25" t="inlineStr"/>
    </row>
    <row r="39" ht="20" customHeight="1">
      <c r="A39" s="25" t="inlineStr"/>
      <c r="B39" s="25" t="inlineStr"/>
      <c r="C39" s="25" t="inlineStr"/>
      <c r="D39" s="25" t="inlineStr"/>
      <c r="E39" s="25" t="inlineStr"/>
      <c r="F39" s="25" t="inlineStr"/>
    </row>
  </sheetData>
  <mergeCells count="3">
    <mergeCell ref="A8:F8"/>
    <mergeCell ref="A2:F2"/>
    <mergeCell ref="A1:F1"/>
  </mergeCells>
  <dataValidations count="1">
    <dataValidation sqref="D5:E50" showDropDown="0" showInputMessage="0" showErrorMessage="0" allowBlank="1" errorTitle="Роль" error="Выбери роль из списка" type="list">
      <formula1>"Зажигающий рост,Архитектор плана,Ловец отклонений,Дающий обратную связь,Защищающий команду,Наставник,Сопровождающий первые шаги,Двигатель экспериментов,Решатель инцидентов,Мобилизатор,Переводчик процессов в человеческий,Открывающий сердца клиентов,Другое / вне ролей"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2026-10-09T05:30:27Z</dcterms:created>
  <dcterms:modified xsi:type="dcterms:W3CDTF">2026-10-09T05:30:27Z</dcterms:modified>
</cp:coreProperties>
</file>