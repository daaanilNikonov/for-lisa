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Журнал" sheetId="1" state="visible" r:id="rId1"/>
    <sheet name="Итоги" sheetId="2" state="visible" r:id="rId2"/>
    <sheet name="Списки" sheetId="3" state="visible" r:id="rId3"/>
  </sheets>
  <definedNames>
    <definedName name="СписокМенеджеров">OFFSET(Списки!$A$2,0,0,COUNTA(Списки!$A$2:$A$30),1)</definedName>
    <definedName name="_xlnm._FilterDatabase" localSheetId="0" hidden="1">'Журнал'!$A$4:$K$124</definedName>
    <definedName name="_xlnm.Print_Titles" localSheetId="0">'Журнал'!$1:$4</definedName>
    <definedName name="_xlnm.Print_Area" localSheetId="0">'Журнал'!$A$1:$K$124</definedName>
    <definedName name="_xlnm.Print_Titles" localSheetId="1">'Итоги'!$1:$4</definedName>
    <definedName name="_xlnm.Print_Area" localSheetId="1">'Итоги'!$A$1:$N$9</definedName>
    <definedName name="_xlnm.Print_Titles" localSheetId="2">'Списки'!$1:$1</definedName>
    <definedName name="_xlnm.Print_Area" localSheetId="2">'Списки'!$A$1:$F$12</definedName>
  </definedNames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1C2833"/>
      <sz val="12"/>
    </font>
    <font>
      <name val="Calibri"/>
      <b val="1"/>
      <color rgb="001B4F72"/>
      <sz val="16"/>
    </font>
    <font>
      <name val="Calibri"/>
      <color rgb="001C2833"/>
      <sz val="11"/>
    </font>
    <font>
      <name val="Calibri"/>
      <b val="1"/>
      <color rgb="00FFFFFF"/>
      <sz val="20"/>
    </font>
    <font>
      <name val="Calibri"/>
      <b val="1"/>
      <color rgb="001B4F72"/>
      <sz val="11"/>
    </font>
    <font>
      <name val="Calibri"/>
      <b val="1"/>
      <color rgb="00FFFFFF"/>
      <sz val="16"/>
    </font>
    <font>
      <name val="Calibri"/>
      <b val="1"/>
      <color rgb="0014364F"/>
      <sz val="11"/>
    </font>
    <font>
      <name val="Calibri"/>
      <i val="1"/>
      <color rgb="007B241C"/>
      <sz val="10"/>
    </font>
  </fonts>
  <fills count="10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FF4CC"/>
      </patternFill>
    </fill>
    <fill>
      <patternFill patternType="solid">
        <fgColor rgb="00F7F9FB"/>
      </patternFill>
    </fill>
    <fill>
      <patternFill patternType="solid">
        <fgColor rgb="00EAF2F8"/>
      </patternFill>
    </fill>
    <fill>
      <patternFill patternType="solid">
        <fgColor rgb="00F0B429"/>
      </patternFill>
    </fill>
    <fill>
      <patternFill patternType="solid">
        <fgColor rgb="00FFFFFF"/>
      </patternFill>
    </fill>
    <fill>
      <patternFill patternType="solid">
        <fgColor rgb="000E7A45"/>
      </patternFill>
    </fill>
    <fill>
      <patternFill patternType="solid">
        <fgColor rgb="00D6EAF8"/>
      </patternFill>
    </fill>
  </fills>
  <borders count="5">
    <border>
      <left/>
      <right/>
      <top/>
      <bottom/>
      <diagonal/>
    </border>
    <border>
      <left style="thin">
        <color rgb="0014364F"/>
      </left>
      <right style="thin">
        <color rgb="0014364F"/>
      </right>
      <top style="thin">
        <color rgb="0014364F"/>
      </top>
      <bottom style="medium">
        <color rgb="00F0B429"/>
      </bottom>
    </border>
    <border>
      <left style="thin">
        <color rgb="00E6C35C"/>
      </left>
      <right style="thin">
        <color rgb="00E6C35C"/>
      </right>
      <top style="thin">
        <color rgb="00D5DDE5"/>
      </top>
      <bottom style="thin">
        <color rgb="00D5DDE5"/>
      </bottom>
    </border>
    <border/>
    <border>
      <left style="thin">
        <color rgb="00D5DDE5"/>
      </left>
      <right style="thin">
        <color rgb="00D5DDE5"/>
      </right>
      <top style="thin">
        <color rgb="00D5DDE5"/>
      </top>
      <bottom style="thin">
        <color rgb="00D5DDE5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5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4" fillId="5" borderId="3" applyAlignment="1" pivotButton="0" quotePrefix="0" xfId="0">
      <alignment horizontal="left" vertical="center" wrapText="1" indent="1"/>
    </xf>
    <xf numFmtId="0" fontId="0" fillId="5" borderId="3" pivotButton="0" quotePrefix="0" xfId="0"/>
    <xf numFmtId="0" fontId="0" fillId="6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indent="1"/>
    </xf>
    <xf numFmtId="164" fontId="4" fillId="7" borderId="4" applyAlignment="1" pivotButton="0" quotePrefix="0" xfId="0">
      <alignment horizontal="center" vertical="center" wrapText="1"/>
    </xf>
    <xf numFmtId="3" fontId="4" fillId="7" borderId="4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indent="1"/>
    </xf>
    <xf numFmtId="0" fontId="0" fillId="8" borderId="0" pivotButton="0" quotePrefix="0" xfId="0"/>
    <xf numFmtId="0" fontId="4" fillId="5" borderId="0" applyAlignment="1" pivotButton="0" quotePrefix="0" xfId="0">
      <alignment horizontal="left" vertical="center" wrapText="1" indent="1"/>
    </xf>
    <xf numFmtId="0" fontId="0" fillId="5" borderId="0" pivotButton="0" quotePrefix="0" xfId="0"/>
    <xf numFmtId="165" fontId="4" fillId="7" borderId="4" applyAlignment="1" pivotButton="0" quotePrefix="0" xfId="0">
      <alignment horizontal="center" vertical="center" wrapText="1"/>
    </xf>
    <xf numFmtId="0" fontId="8" fillId="9" borderId="4" applyAlignment="1" pivotButton="0" quotePrefix="0" xfId="0">
      <alignment horizontal="left" vertical="center" indent="1"/>
    </xf>
    <xf numFmtId="3" fontId="8" fillId="9" borderId="4" applyAlignment="1" pivotButton="0" quotePrefix="0" xfId="0">
      <alignment horizontal="center" vertical="center" wrapText="1"/>
    </xf>
    <xf numFmtId="165" fontId="8" fillId="9" borderId="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 indent="1"/>
    </xf>
    <xf numFmtId="0" fontId="3" fillId="0" borderId="0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left" vertical="center" indent="1"/>
    </xf>
  </cellXfs>
  <cellStyles count="1">
    <cellStyle name="Normal" xfId="0" builtinId="0" hidden="0"/>
  </cellStyles>
  <dxfs count="3">
    <dxf>
      <font>
        <name val="Calibri"/>
        <b val="1"/>
        <color rgb="007B241C"/>
        <sz val="11"/>
      </font>
      <fill>
        <patternFill patternType="solid">
          <fgColor rgb="00F5B7B1"/>
        </patternFill>
      </fill>
    </dxf>
    <dxf>
      <fill>
        <patternFill patternType="solid">
          <fgColor rgb="00F4F8FB"/>
        </patternFill>
      </fill>
    </dxf>
    <dxf>
      <font>
        <name val="Calibri"/>
        <i val="1"/>
        <color rgb="007B241C"/>
        <sz val="10"/>
      </font>
      <fill>
        <patternFill patternType="solid">
          <fgColor rgb="00FDED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Учет</author>
  </authors>
  <commentList>
    <comment ref="A4" authorId="0" shapeId="0">
      <text>
        <t>Нажмите на ячейку и выберите фамилию из списка:
Гурков или Юнусова.</t>
      </text>
    </comment>
    <comment ref="E4" authorId="0" shapeId="0">
      <text>
        <t>Эфирное время указывается в минутах.
Пример: 45 — сорок пять минут, 90 — полтора часа.</t>
      </text>
    </comment>
  </commentList>
</comments>
</file>

<file path=xl/comments/comment2.xml><?xml version="1.0" encoding="utf-8"?>
<comments xmlns="http://schemas.openxmlformats.org/spreadsheetml/2006/main">
  <authors>
    <author>Учет</author>
  </authors>
  <commentList>
    <comment ref="A4" authorId="0" shapeId="0">
      <text>
        <t>Впишите новую фамилию в первую пустую ячейку.
Не оставляйте пустых строк между фамилиями.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1B4F72"/>
    <outlinePr summaryBelow="1" summaryRight="1"/>
    <pageSetUpPr fitToPage="1"/>
  </sheetPr>
  <dimension ref="A1:K124"/>
  <sheetViews>
    <sheetView showGridLines="0" zoomScale="110" workbookViewId="0">
      <pane ySplit="4" topLeftCell="A5" activePane="bottomLeft" state="frozen"/>
      <selection pane="bottomLeft" activeCell="A5" sqref="A5"/>
    </sheetView>
  </sheetViews>
  <sheetFormatPr baseColWidth="8" defaultRowHeight="15"/>
  <cols>
    <col width="20" customWidth="1" min="1" max="1"/>
    <col width="14" customWidth="1" min="2" max="2"/>
    <col width="15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22" customWidth="1" min="9" max="9"/>
    <col width="16" customWidth="1" min="10" max="10"/>
    <col width="16" customWidth="1" min="11" max="11"/>
  </cols>
  <sheetData>
    <row r="1" ht="36" customHeight="1">
      <c r="A1" s="1" t="inlineStr">
        <is>
          <t>Учет активности менеджеров</t>
        </is>
      </c>
    </row>
    <row r="2" ht="58" customHeight="1">
      <c r="A2" s="3" t="inlineStr">
        <is>
          <t>Менеджер — выпадающий список: Гурков или Юнусова. Новую фамилию сначала добавьте на лист «Списки». Эфирное время — в минутах, целое число: 45 это 45 минут. Подготовлено 120 строк; новую строку вставляйте между заполненными, чтобы сохранились список и оформление. Красным подсвечивается ячейка, если успешных звонков больше, чем всех звонков, проведённых встреч больше назначенных или оплаченных счетов больше выставленных.</t>
        </is>
      </c>
    </row>
    <row r="3" ht="6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</row>
    <row r="4" ht="48" customHeight="1">
      <c r="A4" s="6" t="inlineStr">
        <is>
          <t>Менеджер</t>
        </is>
      </c>
      <c r="B4" s="6" t="inlineStr">
        <is>
          <t>Дата</t>
        </is>
      </c>
      <c r="C4" s="6" t="inlineStr">
        <is>
          <t>Количество звонков</t>
        </is>
      </c>
      <c r="D4" s="6" t="inlineStr">
        <is>
          <t>Количество успешных звонков</t>
        </is>
      </c>
      <c r="E4" s="6" t="inlineStr">
        <is>
          <t>Эфирное время, мин</t>
        </is>
      </c>
      <c r="F4" s="6" t="inlineStr">
        <is>
          <t>Назначено встреч</t>
        </is>
      </c>
      <c r="G4" s="6" t="inlineStr">
        <is>
          <t>Проведено встреч</t>
        </is>
      </c>
      <c r="H4" s="6" t="inlineStr">
        <is>
          <t>Получено отказов</t>
        </is>
      </c>
      <c r="I4" s="6" t="inlineStr">
        <is>
          <t>Получено согласий на следующий шаг</t>
        </is>
      </c>
      <c r="J4" s="6" t="inlineStr">
        <is>
          <t>Выставленных счетов</t>
        </is>
      </c>
      <c r="K4" s="6" t="inlineStr">
        <is>
          <t>Оплаченных счетов</t>
        </is>
      </c>
    </row>
    <row r="5" ht="20" customHeight="1">
      <c r="A5" s="7" t="n"/>
      <c r="B5" s="8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</row>
    <row r="6" ht="20" customHeight="1">
      <c r="A6" s="7" t="n"/>
      <c r="B6" s="8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 ht="20" customHeight="1">
      <c r="A7" s="7" t="n"/>
      <c r="B7" s="8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</row>
    <row r="8" ht="20" customHeight="1">
      <c r="A8" s="7" t="n"/>
      <c r="B8" s="8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 ht="20" customHeight="1">
      <c r="A9" s="7" t="n"/>
      <c r="B9" s="8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</row>
    <row r="10" ht="20" customHeight="1">
      <c r="A10" s="7" t="n"/>
      <c r="B10" s="8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 ht="20" customHeight="1">
      <c r="A11" s="7" t="n"/>
      <c r="B11" s="8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</row>
    <row r="12" ht="20" customHeight="1">
      <c r="A12" s="7" t="n"/>
      <c r="B12" s="8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 ht="20" customHeight="1">
      <c r="A13" s="7" t="n"/>
      <c r="B13" s="8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</row>
    <row r="14" ht="20" customHeight="1">
      <c r="A14" s="7" t="n"/>
      <c r="B14" s="8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 ht="20" customHeight="1">
      <c r="A15" s="7" t="n"/>
      <c r="B15" s="8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</row>
    <row r="16" ht="20" customHeight="1">
      <c r="A16" s="7" t="n"/>
      <c r="B16" s="8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20" customHeight="1">
      <c r="A17" s="7" t="n"/>
      <c r="B17" s="8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</row>
    <row r="18" ht="20" customHeight="1">
      <c r="A18" s="7" t="n"/>
      <c r="B18" s="8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 ht="20" customHeight="1">
      <c r="A19" s="7" t="n"/>
      <c r="B19" s="8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</row>
    <row r="20" ht="20" customHeight="1">
      <c r="A20" s="7" t="n"/>
      <c r="B20" s="8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 ht="20" customHeight="1">
      <c r="A21" s="7" t="n"/>
      <c r="B21" s="8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</row>
    <row r="22" ht="20" customHeight="1">
      <c r="A22" s="7" t="n"/>
      <c r="B22" s="8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 ht="20" customHeight="1">
      <c r="A23" s="7" t="n"/>
      <c r="B23" s="8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</row>
    <row r="24" ht="20" customHeight="1">
      <c r="A24" s="7" t="n"/>
      <c r="B24" s="8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 ht="20" customHeight="1">
      <c r="A25" s="7" t="n"/>
      <c r="B25" s="8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</row>
    <row r="26" ht="20" customHeight="1">
      <c r="A26" s="7" t="n"/>
      <c r="B26" s="8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 ht="20" customHeight="1">
      <c r="A27" s="7" t="n"/>
      <c r="B27" s="8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</row>
    <row r="28" ht="20" customHeight="1">
      <c r="A28" s="7" t="n"/>
      <c r="B28" s="8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 ht="20" customHeight="1">
      <c r="A29" s="7" t="n"/>
      <c r="B29" s="8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</row>
    <row r="30" ht="20" customHeight="1">
      <c r="A30" s="7" t="n"/>
      <c r="B30" s="8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 ht="20" customHeight="1">
      <c r="A31" s="7" t="n"/>
      <c r="B31" s="8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</row>
    <row r="32" ht="20" customHeight="1">
      <c r="A32" s="7" t="n"/>
      <c r="B32" s="8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</row>
    <row r="33" ht="20" customHeight="1">
      <c r="A33" s="7" t="n"/>
      <c r="B33" s="8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</row>
    <row r="34" ht="20" customHeight="1">
      <c r="A34" s="7" t="n"/>
      <c r="B34" s="8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</row>
    <row r="35" ht="20" customHeight="1">
      <c r="A35" s="7" t="n"/>
      <c r="B35" s="8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</row>
    <row r="36" ht="20" customHeight="1">
      <c r="A36" s="7" t="n"/>
      <c r="B36" s="8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</row>
    <row r="37" ht="20" customHeight="1">
      <c r="A37" s="7" t="n"/>
      <c r="B37" s="8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</row>
    <row r="38" ht="20" customHeight="1">
      <c r="A38" s="7" t="n"/>
      <c r="B38" s="8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</row>
    <row r="39" ht="20" customHeight="1">
      <c r="A39" s="7" t="n"/>
      <c r="B39" s="8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</row>
    <row r="40" ht="20" customHeight="1">
      <c r="A40" s="7" t="n"/>
      <c r="B40" s="8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</row>
    <row r="41" ht="20" customHeight="1">
      <c r="A41" s="7" t="n"/>
      <c r="B41" s="8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</row>
    <row r="42" ht="20" customHeight="1">
      <c r="A42" s="7" t="n"/>
      <c r="B42" s="8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</row>
    <row r="43" ht="20" customHeight="1">
      <c r="A43" s="7" t="n"/>
      <c r="B43" s="8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</row>
    <row r="44" ht="20" customHeight="1">
      <c r="A44" s="7" t="n"/>
      <c r="B44" s="8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</row>
    <row r="45" ht="20" customHeight="1">
      <c r="A45" s="7" t="n"/>
      <c r="B45" s="8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</row>
    <row r="46" ht="20" customHeight="1">
      <c r="A46" s="7" t="n"/>
      <c r="B46" s="8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</row>
    <row r="47" ht="20" customHeight="1">
      <c r="A47" s="7" t="n"/>
      <c r="B47" s="8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</row>
    <row r="48" ht="20" customHeight="1">
      <c r="A48" s="7" t="n"/>
      <c r="B48" s="8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</row>
    <row r="49" ht="20" customHeight="1">
      <c r="A49" s="7" t="n"/>
      <c r="B49" s="8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</row>
    <row r="50" ht="20" customHeight="1">
      <c r="A50" s="7" t="n"/>
      <c r="B50" s="8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</row>
    <row r="51" ht="20" customHeight="1">
      <c r="A51" s="7" t="n"/>
      <c r="B51" s="8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</row>
    <row r="52" ht="20" customHeight="1">
      <c r="A52" s="7" t="n"/>
      <c r="B52" s="8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</row>
    <row r="53" ht="20" customHeight="1">
      <c r="A53" s="7" t="n"/>
      <c r="B53" s="8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</row>
    <row r="54" ht="20" customHeight="1">
      <c r="A54" s="7" t="n"/>
      <c r="B54" s="8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</row>
    <row r="55" ht="20" customHeight="1">
      <c r="A55" s="7" t="n"/>
      <c r="B55" s="8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</row>
    <row r="56" ht="20" customHeight="1">
      <c r="A56" s="7" t="n"/>
      <c r="B56" s="8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</row>
    <row r="57" ht="20" customHeight="1">
      <c r="A57" s="7" t="n"/>
      <c r="B57" s="8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</row>
    <row r="58" ht="20" customHeight="1">
      <c r="A58" s="7" t="n"/>
      <c r="B58" s="8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</row>
    <row r="59" ht="20" customHeight="1">
      <c r="A59" s="7" t="n"/>
      <c r="B59" s="8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</row>
    <row r="60" ht="20" customHeight="1">
      <c r="A60" s="7" t="n"/>
      <c r="B60" s="8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</row>
    <row r="61" ht="20" customHeight="1">
      <c r="A61" s="7" t="n"/>
      <c r="B61" s="8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</row>
    <row r="62" ht="20" customHeight="1">
      <c r="A62" s="7" t="n"/>
      <c r="B62" s="8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</row>
    <row r="63" ht="20" customHeight="1">
      <c r="A63" s="7" t="n"/>
      <c r="B63" s="8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</row>
    <row r="64" ht="20" customHeight="1">
      <c r="A64" s="7" t="n"/>
      <c r="B64" s="8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</row>
    <row r="65" ht="20" customHeight="1">
      <c r="A65" s="7" t="n"/>
      <c r="B65" s="8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</row>
    <row r="66" ht="20" customHeight="1">
      <c r="A66" s="7" t="n"/>
      <c r="B66" s="8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</row>
    <row r="67" ht="20" customHeight="1">
      <c r="A67" s="7" t="n"/>
      <c r="B67" s="8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</row>
    <row r="68" ht="20" customHeight="1">
      <c r="A68" s="7" t="n"/>
      <c r="B68" s="8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</row>
    <row r="69" ht="20" customHeight="1">
      <c r="A69" s="7" t="n"/>
      <c r="B69" s="8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</row>
    <row r="70" ht="20" customHeight="1">
      <c r="A70" s="7" t="n"/>
      <c r="B70" s="8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</row>
    <row r="71" ht="20" customHeight="1">
      <c r="A71" s="7" t="n"/>
      <c r="B71" s="8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</row>
    <row r="72" ht="20" customHeight="1">
      <c r="A72" s="7" t="n"/>
      <c r="B72" s="8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</row>
    <row r="73" ht="20" customHeight="1">
      <c r="A73" s="7" t="n"/>
      <c r="B73" s="8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</row>
    <row r="74" ht="20" customHeight="1">
      <c r="A74" s="7" t="n"/>
      <c r="B74" s="8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</row>
    <row r="75" ht="20" customHeight="1">
      <c r="A75" s="7" t="n"/>
      <c r="B75" s="8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</row>
    <row r="76" ht="20" customHeight="1">
      <c r="A76" s="7" t="n"/>
      <c r="B76" s="8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</row>
    <row r="77" ht="20" customHeight="1">
      <c r="A77" s="7" t="n"/>
      <c r="B77" s="8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</row>
    <row r="78" ht="20" customHeight="1">
      <c r="A78" s="7" t="n"/>
      <c r="B78" s="8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</row>
    <row r="79" ht="20" customHeight="1">
      <c r="A79" s="7" t="n"/>
      <c r="B79" s="8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</row>
    <row r="80" ht="20" customHeight="1">
      <c r="A80" s="7" t="n"/>
      <c r="B80" s="8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</row>
    <row r="81" ht="20" customHeight="1">
      <c r="A81" s="7" t="n"/>
      <c r="B81" s="8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</row>
    <row r="82" ht="20" customHeight="1">
      <c r="A82" s="7" t="n"/>
      <c r="B82" s="8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</row>
    <row r="83" ht="20" customHeight="1">
      <c r="A83" s="7" t="n"/>
      <c r="B83" s="8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</row>
    <row r="84" ht="20" customHeight="1">
      <c r="A84" s="7" t="n"/>
      <c r="B84" s="8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</row>
    <row r="85" ht="20" customHeight="1">
      <c r="A85" s="7" t="n"/>
      <c r="B85" s="8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</row>
    <row r="86" ht="20" customHeight="1">
      <c r="A86" s="7" t="n"/>
      <c r="B86" s="8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</row>
    <row r="87" ht="20" customHeight="1">
      <c r="A87" s="7" t="n"/>
      <c r="B87" s="8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</row>
    <row r="88" ht="20" customHeight="1">
      <c r="A88" s="7" t="n"/>
      <c r="B88" s="8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</row>
    <row r="89" ht="20" customHeight="1">
      <c r="A89" s="7" t="n"/>
      <c r="B89" s="8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</row>
    <row r="90" ht="20" customHeight="1">
      <c r="A90" s="7" t="n"/>
      <c r="B90" s="8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</row>
    <row r="91" ht="20" customHeight="1">
      <c r="A91" s="7" t="n"/>
      <c r="B91" s="8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</row>
    <row r="92" ht="20" customHeight="1">
      <c r="A92" s="7" t="n"/>
      <c r="B92" s="8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</row>
    <row r="93" ht="20" customHeight="1">
      <c r="A93" s="7" t="n"/>
      <c r="B93" s="8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</row>
    <row r="94" ht="20" customHeight="1">
      <c r="A94" s="7" t="n"/>
      <c r="B94" s="8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</row>
    <row r="95" ht="20" customHeight="1">
      <c r="A95" s="7" t="n"/>
      <c r="B95" s="8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</row>
    <row r="96" ht="20" customHeight="1">
      <c r="A96" s="7" t="n"/>
      <c r="B96" s="8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</row>
    <row r="97" ht="20" customHeight="1">
      <c r="A97" s="7" t="n"/>
      <c r="B97" s="8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</row>
    <row r="98" ht="20" customHeight="1">
      <c r="A98" s="7" t="n"/>
      <c r="B98" s="8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</row>
    <row r="99" ht="20" customHeight="1">
      <c r="A99" s="7" t="n"/>
      <c r="B99" s="8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</row>
    <row r="100" ht="20" customHeight="1">
      <c r="A100" s="7" t="n"/>
      <c r="B100" s="8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</row>
    <row r="101" ht="20" customHeight="1">
      <c r="A101" s="7" t="n"/>
      <c r="B101" s="8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</row>
    <row r="102" ht="20" customHeight="1">
      <c r="A102" s="7" t="n"/>
      <c r="B102" s="8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</row>
    <row r="103" ht="20" customHeight="1">
      <c r="A103" s="7" t="n"/>
      <c r="B103" s="8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</row>
    <row r="104" ht="20" customHeight="1">
      <c r="A104" s="7" t="n"/>
      <c r="B104" s="8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</row>
    <row r="105" ht="20" customHeight="1">
      <c r="A105" s="7" t="n"/>
      <c r="B105" s="8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</row>
    <row r="106" ht="20" customHeight="1">
      <c r="A106" s="7" t="n"/>
      <c r="B106" s="8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</row>
    <row r="107" ht="20" customHeight="1">
      <c r="A107" s="7" t="n"/>
      <c r="B107" s="8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</row>
    <row r="108" ht="20" customHeight="1">
      <c r="A108" s="7" t="n"/>
      <c r="B108" s="8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</row>
    <row r="109" ht="20" customHeight="1">
      <c r="A109" s="7" t="n"/>
      <c r="B109" s="8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</row>
    <row r="110" ht="20" customHeight="1">
      <c r="A110" s="7" t="n"/>
      <c r="B110" s="8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</row>
    <row r="111" ht="20" customHeight="1">
      <c r="A111" s="7" t="n"/>
      <c r="B111" s="8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</row>
    <row r="112" ht="20" customHeight="1">
      <c r="A112" s="7" t="n"/>
      <c r="B112" s="8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</row>
    <row r="113" ht="20" customHeight="1">
      <c r="A113" s="7" t="n"/>
      <c r="B113" s="8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</row>
    <row r="114" ht="20" customHeight="1">
      <c r="A114" s="7" t="n"/>
      <c r="B114" s="8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</row>
    <row r="115" ht="20" customHeight="1">
      <c r="A115" s="7" t="n"/>
      <c r="B115" s="8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</row>
    <row r="116" ht="20" customHeight="1">
      <c r="A116" s="7" t="n"/>
      <c r="B116" s="8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</row>
    <row r="117" ht="20" customHeight="1">
      <c r="A117" s="7" t="n"/>
      <c r="B117" s="8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</row>
    <row r="118" ht="20" customHeight="1">
      <c r="A118" s="7" t="n"/>
      <c r="B118" s="8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</row>
    <row r="119" ht="20" customHeight="1">
      <c r="A119" s="7" t="n"/>
      <c r="B119" s="8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</row>
    <row r="120" ht="20" customHeight="1">
      <c r="A120" s="7" t="n"/>
      <c r="B120" s="8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</row>
    <row r="121" ht="20" customHeight="1">
      <c r="A121" s="7" t="n"/>
      <c r="B121" s="8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</row>
    <row r="122" ht="20" customHeight="1">
      <c r="A122" s="7" t="n"/>
      <c r="B122" s="8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</row>
    <row r="123" ht="20" customHeight="1">
      <c r="A123" s="7" t="n"/>
      <c r="B123" s="8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</row>
    <row r="124" ht="20" customHeight="1">
      <c r="A124" s="7" t="n"/>
      <c r="B124" s="8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</row>
  </sheetData>
  <autoFilter ref="A4:K124"/>
  <mergeCells count="2">
    <mergeCell ref="A2:K2"/>
    <mergeCell ref="A1:K1"/>
  </mergeCells>
  <conditionalFormatting sqref="D5:D124">
    <cfRule type="expression" priority="1" dxfId="0" stopIfTrue="1">
      <formula>AND(ISNUMBER(C5),ISNUMBER(D5),D5&gt;C5)</formula>
    </cfRule>
  </conditionalFormatting>
  <conditionalFormatting sqref="G5:G124">
    <cfRule type="expression" priority="2" dxfId="0" stopIfTrue="1">
      <formula>AND(ISNUMBER(F5),ISNUMBER(G5),G5&gt;F5)</formula>
    </cfRule>
  </conditionalFormatting>
  <conditionalFormatting sqref="K5:K124">
    <cfRule type="expression" priority="3" dxfId="0" stopIfTrue="1">
      <formula>AND(ISNUMBER(J5),ISNUMBER(K5),K5&gt;J5)</formula>
    </cfRule>
  </conditionalFormatting>
  <conditionalFormatting sqref="B5:K124">
    <cfRule type="expression" priority="4" dxfId="1">
      <formula>AND(MOD(ROW(),2)=0,COUNTA($A5:$K5)&gt;0)</formula>
    </cfRule>
  </conditionalFormatting>
  <dataValidations count="4">
    <dataValidation sqref="A5:A124" showDropDown="0" showInputMessage="1" showErrorMessage="1" allowBlank="1" errorTitle="Менеджер" error="Выберите фамилию из списка: Гурков или Юнусова. Новую фамилию сначала добавьте на лист «Списки»." promptTitle="Менеджер" prompt="Выберите: Гурков или Юнусова" type="list" errorStyle="stop">
      <formula1>=СписокМенеджеров</formula1>
    </dataValidation>
    <dataValidation sqref="B5:B124" showDropDown="0" showInputMessage="1" showErrorMessage="1" allowBlank="1" errorTitle="Дата" error="Введите дату, например 30.10.2026." promptTitle="Дата" prompt="Введите дату, например 30.10.2026" type="date" errorStyle="stop" operator="between">
      <formula1>DATE(2024,1,1)</formula1>
      <formula2>DATE(2035,12,31)</formula2>
    </dataValidation>
    <dataValidation sqref="C5:D124 F5:K124" showDropDown="0" showInputMessage="0" showErrorMessage="1" allowBlank="1" errorTitle="Число" error="Введите целое число от 0 или оставьте ячейку пустой." type="whole" errorStyle="stop" operator="greaterThanOrEqual">
      <formula1>0</formula1>
    </dataValidation>
    <dataValidation sqref="E5:E124" showDropDown="0" showInputMessage="1" showErrorMessage="1" allowBlank="1" errorTitle="Эфирное время" error="Введите эфирное время в минутах: целое число от 0. Например, 45." promptTitle="Эфирное время" prompt="Минуты, целое число. Например, 45" type="whole" errorStyle="stop" operator="greaterThanOrEqual">
      <formula1>0</formula1>
    </dataValidation>
  </dataValidations>
  <printOptions horizontalCentered="1"/>
  <pageMargins left="0.4" right="0.4" top="0.7" bottom="0.5" header="0.25" footer="0.25"/>
  <pageSetup orientation="landscape" paperSize="9" scale="100" fitToHeight="0" fitToWidth="1"/>
  <headerFooter>
    <oddHeader>&amp;L&amp;9 Учет активности менеджеров&amp;R&amp;9 &amp;D</oddHeader>
    <oddFooter>&amp;L&amp;9 Журнал&amp;R&amp;9 Страница &amp;P из 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0E7A45"/>
    <outlinePr summaryBelow="1" summaryRight="1"/>
    <pageSetUpPr fitToPage="1"/>
  </sheetPr>
  <dimension ref="A1:N9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6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0" customWidth="1" min="11" max="11"/>
    <col width="14" customWidth="1" min="12" max="12"/>
    <col width="14" customWidth="1" min="13" max="13"/>
    <col width="14" customWidth="1" min="14" max="14"/>
  </cols>
  <sheetData>
    <row r="1" ht="34" customHeight="1">
      <c r="A1" s="10" t="inlineStr">
        <is>
          <t>Итоги по менеджерам</t>
        </is>
      </c>
    </row>
    <row r="2" ht="44" customHeight="1">
      <c r="A2" s="12" t="inlineStr">
        <is>
          <t>Считается по листу «Журнал». Доля успешных — успешные звонки от всех звонков. Доля проведённых — проведённые встречи от назначенных. Доля оплаченных — оплаченные счета от выставленных. Эфирное время суммируется в минутах. Строка «Итого по журналу» включает все записи, в том числе с фамилией не из списка.</t>
        </is>
      </c>
    </row>
    <row r="3" ht="6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 ht="46" customHeight="1">
      <c r="A4" s="6" t="inlineStr">
        <is>
          <t>Менеджер</t>
        </is>
      </c>
      <c r="B4" s="6" t="inlineStr">
        <is>
          <t>Записей</t>
        </is>
      </c>
      <c r="C4" s="6" t="inlineStr">
        <is>
          <t>Количество звонков</t>
        </is>
      </c>
      <c r="D4" s="6" t="inlineStr">
        <is>
          <t>Количество успешных звонков</t>
        </is>
      </c>
      <c r="E4" s="6" t="inlineStr">
        <is>
          <t>Доля успешных</t>
        </is>
      </c>
      <c r="F4" s="6" t="inlineStr">
        <is>
          <t>Эфирное время, мин</t>
        </is>
      </c>
      <c r="G4" s="6" t="inlineStr">
        <is>
          <t>Назначено встреч</t>
        </is>
      </c>
      <c r="H4" s="6" t="inlineStr">
        <is>
          <t>Проведено встреч</t>
        </is>
      </c>
      <c r="I4" s="6" t="inlineStr">
        <is>
          <t>Доля проведённых</t>
        </is>
      </c>
      <c r="J4" s="6" t="inlineStr">
        <is>
          <t>Получено отказов</t>
        </is>
      </c>
      <c r="K4" s="6" t="inlineStr">
        <is>
          <t>Получено согласий на следующий шаг</t>
        </is>
      </c>
      <c r="L4" s="6" t="inlineStr">
        <is>
          <t>Выставленных счетов</t>
        </is>
      </c>
      <c r="M4" s="6" t="inlineStr">
        <is>
          <t>Оплаченных счетов</t>
        </is>
      </c>
      <c r="N4" s="6" t="inlineStr">
        <is>
          <t>Доля оплаченных</t>
        </is>
      </c>
    </row>
    <row r="5" ht="24" customHeight="1">
      <c r="A5" s="7">
        <f>IF(Списки!A2="","",Списки!A2)</f>
        <v/>
      </c>
      <c r="B5" s="9">
        <f>IF(OR(A5="",COUNTIF(Журнал!$A$5:$A$124,A5)=0),"",COUNTIF(Журнал!$A$5:$A$124,A5))</f>
        <v/>
      </c>
      <c r="C5" s="9">
        <f>IF(OR(A5="",B5=0),"",SUMIF(Журнал!$A$5:$A$124,A5,Журнал!$C$5:$C$124))</f>
        <v/>
      </c>
      <c r="D5" s="9">
        <f>IF(OR(A5="",B5=0),"",SUMIF(Журнал!$A$5:$A$124,A5,Журнал!$D$5:$D$124))</f>
        <v/>
      </c>
      <c r="E5" s="14">
        <f>IF(OR(A5="",C5="",C5=0),"",D5/C5)</f>
        <v/>
      </c>
      <c r="F5" s="9">
        <f>IF(OR(A5="",B5=0),"",SUMIF(Журнал!$A$5:$A$124,A5,Журнал!$E$5:$E$124))</f>
        <v/>
      </c>
      <c r="G5" s="9">
        <f>IF(OR(A5="",B5=0),"",SUMIF(Журнал!$A$5:$A$124,A5,Журнал!$F$5:$F$124))</f>
        <v/>
      </c>
      <c r="H5" s="9">
        <f>IF(OR(A5="",B5=0),"",SUMIF(Журнал!$A$5:$A$124,A5,Журнал!$G$5:$G$124))</f>
        <v/>
      </c>
      <c r="I5" s="14">
        <f>IF(OR(A5="",G5="",G5=0),"",H5/G5)</f>
        <v/>
      </c>
      <c r="J5" s="9">
        <f>IF(OR(A5="",B5=0),"",SUMIF(Журнал!$A$5:$A$124,A5,Журнал!$H$5:$H$124))</f>
        <v/>
      </c>
      <c r="K5" s="9">
        <f>IF(OR(A5="",B5=0),"",SUMIF(Журнал!$A$5:$A$124,A5,Журнал!$I$5:$I$124))</f>
        <v/>
      </c>
      <c r="L5" s="9">
        <f>IF(OR(A5="",B5=0),"",SUMIF(Журнал!$A$5:$A$124,A5,Журнал!$J$5:$J$124))</f>
        <v/>
      </c>
      <c r="M5" s="9">
        <f>IF(OR(A5="",B5=0),"",SUMIF(Журнал!$A$5:$A$124,A5,Журнал!$K$5:$K$124))</f>
        <v/>
      </c>
      <c r="N5" s="14">
        <f>IF(OR(A5="",L5="",L5=0),"",M5/L5)</f>
        <v/>
      </c>
    </row>
    <row r="6" ht="24" customHeight="1">
      <c r="A6" s="7">
        <f>IF(Списки!A3="","",Списки!A3)</f>
        <v/>
      </c>
      <c r="B6" s="9">
        <f>IF(OR(A6="",COUNTIF(Журнал!$A$5:$A$124,A6)=0),"",COUNTIF(Журнал!$A$5:$A$124,A6))</f>
        <v/>
      </c>
      <c r="C6" s="9">
        <f>IF(OR(A6="",B6=0),"",SUMIF(Журнал!$A$5:$A$124,A6,Журнал!$C$5:$C$124))</f>
        <v/>
      </c>
      <c r="D6" s="9">
        <f>IF(OR(A6="",B6=0),"",SUMIF(Журнал!$A$5:$A$124,A6,Журнал!$D$5:$D$124))</f>
        <v/>
      </c>
      <c r="E6" s="14">
        <f>IF(OR(A6="",C6="",C6=0),"",D6/C6)</f>
        <v/>
      </c>
      <c r="F6" s="9">
        <f>IF(OR(A6="",B6=0),"",SUMIF(Журнал!$A$5:$A$124,A6,Журнал!$E$5:$E$124))</f>
        <v/>
      </c>
      <c r="G6" s="9">
        <f>IF(OR(A6="",B6=0),"",SUMIF(Журнал!$A$5:$A$124,A6,Журнал!$F$5:$F$124))</f>
        <v/>
      </c>
      <c r="H6" s="9">
        <f>IF(OR(A6="",B6=0),"",SUMIF(Журнал!$A$5:$A$124,A6,Журнал!$G$5:$G$124))</f>
        <v/>
      </c>
      <c r="I6" s="14">
        <f>IF(OR(A6="",G6="",G6=0),"",H6/G6)</f>
        <v/>
      </c>
      <c r="J6" s="9">
        <f>IF(OR(A6="",B6=0),"",SUMIF(Журнал!$A$5:$A$124,A6,Журнал!$H$5:$H$124))</f>
        <v/>
      </c>
      <c r="K6" s="9">
        <f>IF(OR(A6="",B6=0),"",SUMIF(Журнал!$A$5:$A$124,A6,Журнал!$I$5:$I$124))</f>
        <v/>
      </c>
      <c r="L6" s="9">
        <f>IF(OR(A6="",B6=0),"",SUMIF(Журнал!$A$5:$A$124,A6,Журнал!$J$5:$J$124))</f>
        <v/>
      </c>
      <c r="M6" s="9">
        <f>IF(OR(A6="",B6=0),"",SUMIF(Журнал!$A$5:$A$124,A6,Журнал!$K$5:$K$124))</f>
        <v/>
      </c>
      <c r="N6" s="14">
        <f>IF(OR(A6="",L6="",L6=0),"",M6/L6)</f>
        <v/>
      </c>
    </row>
    <row r="7" ht="26" customHeight="1">
      <c r="A7" s="15" t="inlineStr">
        <is>
          <t>Итого по журналу</t>
        </is>
      </c>
      <c r="B7" s="16">
        <f>IF(COUNTA(Журнал!$A$5:$A$124)=0,"",COUNTA(Журнал!$A$5:$A$124))</f>
        <v/>
      </c>
      <c r="C7" s="16">
        <f>IF(B7="","",SUM(Журнал!$C$5:$C$124))</f>
        <v/>
      </c>
      <c r="D7" s="16">
        <f>IF(B7="","",SUM(Журнал!$D$5:$D$124))</f>
        <v/>
      </c>
      <c r="E7" s="17">
        <f>IF(OR(B7="",C7="",C7=0),"",D7/C7)</f>
        <v/>
      </c>
      <c r="F7" s="16">
        <f>IF(B7="","",SUM(Журнал!$E$5:$E$124))</f>
        <v/>
      </c>
      <c r="G7" s="16">
        <f>IF(B7="","",SUM(Журнал!$F$5:$F$124))</f>
        <v/>
      </c>
      <c r="H7" s="16">
        <f>IF(B7="","",SUM(Журнал!$G$5:$G$124))</f>
        <v/>
      </c>
      <c r="I7" s="17">
        <f>IF(OR(B7="",G7="",G7=0),"",H7/G7)</f>
        <v/>
      </c>
      <c r="J7" s="16">
        <f>IF(B7="","",SUM(Журнал!$H$5:$H$124))</f>
        <v/>
      </c>
      <c r="K7" s="16">
        <f>IF(B7="","",SUM(Журнал!$I$5:$I$124))</f>
        <v/>
      </c>
      <c r="L7" s="16">
        <f>IF(B7="","",SUM(Журнал!$J$5:$J$124))</f>
        <v/>
      </c>
      <c r="M7" s="16">
        <f>IF(B7="","",SUM(Журнал!$K$5:$K$124))</f>
        <v/>
      </c>
      <c r="N7" s="17">
        <f>IF(OR(B7="",L7="",L7=0),"",M7/L7)</f>
        <v/>
      </c>
    </row>
    <row r="8" ht="10" customHeight="1"/>
    <row r="9" ht="28" customHeight="1">
      <c r="A9" s="18">
        <f>IF(COUNTA(Журнал!$A$5:$A$124)=COUNTIF(Журнал!$A$5:$A$124,A5)+COUNTIF(Журнал!$A$5:$A$124,A6),"","В журнале есть записи с фамилией не из строк выше. Строка «Итого по журналу» их включает, а строки менеджеров — нет.")</f>
        <v/>
      </c>
    </row>
  </sheetData>
  <mergeCells count="3">
    <mergeCell ref="A9:N9"/>
    <mergeCell ref="A2:N2"/>
    <mergeCell ref="A1:N1"/>
  </mergeCells>
  <conditionalFormatting sqref="A9:N9">
    <cfRule type="expression" priority="1" dxfId="2">
      <formula>A9&lt;&gt;""</formula>
    </cfRule>
  </conditionalFormatting>
  <pageMargins left="0.4" right="0.4" top="0.7" bottom="0.5" header="0.25" footer="0.25"/>
  <pageSetup orientation="landscape" paperSize="9" fitToHeight="1" fitToWidth="1"/>
  <headerFooter>
    <oddHeader>&amp;L&amp;9 Учет активности менеджеров</oddHeader>
    <oddFooter>&amp;L&amp;9 Итоги&amp;R&amp;9 Страница &amp;P из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7F8C8D"/>
    <outlinePr summaryBelow="1" summaryRight="1"/>
    <pageSetUpPr fitToPage="1"/>
  </sheetPr>
  <dimension ref="A1:F12"/>
  <sheetViews>
    <sheetView showGridLines="0" view="normal" zoomScale="12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" customWidth="1" min="2" max="2"/>
    <col width="28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6" t="inlineStr">
        <is>
          <t>Фамилия</t>
        </is>
      </c>
      <c r="C1" s="19" t="inlineStr">
        <is>
          <t>Кого можно выбрать в журнале</t>
        </is>
      </c>
    </row>
    <row r="2" ht="32" customHeight="1">
      <c r="A2" s="20" t="inlineStr">
        <is>
          <t>Гурков</t>
        </is>
      </c>
      <c r="C2" s="21" t="inlineStr">
        <is>
          <t>В колонке «Менеджер» на листе «Журнал» открывается этот список.
Сейчас в нём две фамилии: Гурков и Юнусова.
Чтобы добавить человека, впишите фамилию в первую пустую жёлтую ячейку столбца A. Пустую строку между фамилиями оставлять не нужно — иначе новая фамилия не попадёт в список.
Итоги по Гуркову и Юнусовой считаются на листе «Итоги». Строка «Итого по журналу» включает все записи.</t>
        </is>
      </c>
    </row>
    <row r="3" ht="32" customHeight="1">
      <c r="A3" s="20" t="inlineStr">
        <is>
          <t>Юнусова</t>
        </is>
      </c>
    </row>
    <row r="4" ht="32" customHeight="1">
      <c r="A4" s="22" t="n"/>
    </row>
    <row r="5" ht="32" customHeight="1">
      <c r="A5" s="22" t="n"/>
    </row>
    <row r="6" ht="36" customHeight="1">
      <c r="A6" s="22" t="n"/>
    </row>
    <row r="7" ht="24" customHeight="1">
      <c r="A7" s="22" t="n"/>
    </row>
    <row r="8" ht="24" customHeight="1">
      <c r="A8" s="22" t="n"/>
    </row>
    <row r="9" ht="24" customHeight="1">
      <c r="A9" s="22" t="n"/>
    </row>
    <row r="10" ht="24" customHeight="1">
      <c r="A10" s="22" t="n"/>
    </row>
    <row r="11" ht="24" customHeight="1">
      <c r="A11" s="22" t="n"/>
    </row>
    <row r="12" ht="24" customHeight="1">
      <c r="A12" s="22" t="n"/>
    </row>
  </sheetData>
  <mergeCells count="3">
    <mergeCell ref="C1:F1"/>
    <mergeCell ref="C2:F6"/>
    <mergeCell ref="A1"/>
  </mergeCells>
  <pageMargins left="0.6" right="0.6" top="0.6" bottom="0.6" header="0.5" footer="0.5"/>
  <pageSetup orientation="portrait" paperSize="9" fitToHeight="1" fitToWidth="1"/>
  <headerFooter>
    <oddHeader>&amp;L&amp;9 Учет активности менеджеров</oddHeader>
    <oddFooter>&amp;L&amp;9 Список менеджеров&amp;R&amp;9 Страница &amp;P из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Forus</dc:creator>
  <dc:title>Учет активности менеджеров</dc:title>
  <dc:description>Ежедневный учет активности. Менеджер выбирается из списка: Гурков или Юнусова.</dc:description>
  <dc:subject>Журнал звонков, встреч и счетов</dc:subject>
  <dcterms:created xsi:type="dcterms:W3CDTF">2026-10-30T09:20:29Z</dcterms:created>
  <dcterms:modified xsi:type="dcterms:W3CDTF">2026-10-30T09:33:00Z</dcterms:modified>
  <cp:category>Учет</cp:category>
</cp:coreProperties>
</file>