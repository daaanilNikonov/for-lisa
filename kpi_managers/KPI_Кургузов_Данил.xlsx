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месяц" sheetId="1" state="visible" r:id="rId1"/>
    <sheet name="Инструкция" sheetId="2" state="visible" r:id="rId2"/>
  </sheets>
  <definedNames>
    <definedName name="_xlnm.Print_Titles" localSheetId="0">'KPI месяц'!$1:$5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A1A1A"/>
      <sz val="11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b val="1"/>
      <color rgb="009C5700"/>
      <sz val="12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6" borderId="1" applyAlignment="1" pivotButton="0" quotePrefix="0" xfId="0">
      <alignment vertical="center"/>
    </xf>
    <xf numFmtId="0" fontId="0" fillId="6" borderId="1" pivotButton="0" quotePrefix="0" xfId="0"/>
    <xf numFmtId="165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KPI</author>
  </authors>
  <commentList>
    <comment ref="E6" authorId="0" shapeId="0">
      <text>
        <t>Количество проведённых демо</t>
      </text>
    </comment>
    <comment ref="E7" authorId="0" shapeId="0">
      <text>
        <t>Количество подключений по пилоту</t>
      </text>
    </comment>
    <comment ref="E8" authorId="0" shapeId="0">
      <text>
        <t>Кол-во успешных звонков</t>
      </text>
    </comment>
    <comment ref="E9" authorId="0" shapeId="0">
      <text>
        <t>1 = всё в порядке, 0 = нет</t>
      </text>
    </comment>
    <comment ref="E10" authorId="0" shapeId="0">
      <text>
        <t>1 = соблюдаются, 0 = нет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 ht="28" customHeight="1">
      <c r="B1" s="1" t="inlineStr">
        <is>
          <t>КИПИАЙ — Кургузов Данил</t>
        </is>
      </c>
      <c r="C1" s="2" t="n"/>
      <c r="D1" s="2" t="n"/>
      <c r="E1" s="2" t="n"/>
      <c r="F1" s="2" t="n"/>
      <c r="G1" s="2" t="n"/>
      <c r="H1" s="2" t="n"/>
      <c r="I1" s="2" t="n"/>
    </row>
    <row r="2" ht="22" customHeight="1">
      <c r="B2" s="3" t="inlineStr">
        <is>
          <t>Менеджер по продажам</t>
        </is>
      </c>
      <c r="C2" s="4" t="n"/>
      <c r="D2" s="4" t="n"/>
      <c r="E2" s="4" t="n"/>
      <c r="F2" s="4" t="n"/>
      <c r="G2" s="4" t="n"/>
      <c r="H2" s="4" t="n"/>
      <c r="I2" s="4" t="n"/>
    </row>
    <row r="3" ht="22" customHeight="1">
      <c r="B3" s="5" t="inlineStr">
        <is>
          <t>Период (месяц):</t>
        </is>
      </c>
      <c r="C3" s="6" t="inlineStr"/>
      <c r="D3" s="7" t="n"/>
      <c r="E3" s="8" t="inlineStr">
        <is>
          <t>← впишите месяц, например: Сентябрь 2026</t>
        </is>
      </c>
    </row>
    <row r="4" ht="10" customHeight="1"/>
    <row r="5" ht="24" customHeight="1">
      <c r="B5" s="9" t="inlineStr">
        <is>
          <t>Показатель КИПИАЙ</t>
        </is>
      </c>
      <c r="C5" s="9" t="inlineStr">
        <is>
          <t>Ед.</t>
        </is>
      </c>
      <c r="D5" s="9" t="inlineStr">
        <is>
          <t>План</t>
        </is>
      </c>
      <c r="E5" s="9" t="inlineStr">
        <is>
          <t>Факт</t>
        </is>
      </c>
      <c r="F5" s="9" t="inlineStr">
        <is>
          <t>% выполнения</t>
        </is>
      </c>
      <c r="G5" s="9" t="inlineStr">
        <is>
          <t>Бонус, ₽</t>
        </is>
      </c>
      <c r="H5" s="9" t="inlineStr">
        <is>
          <t>Начислено, ₽</t>
        </is>
      </c>
      <c r="I5" s="9" t="inlineStr">
        <is>
          <t>Статус</t>
        </is>
      </c>
      <c r="J5" s="9" t="inlineStr">
        <is>
          <t>Комментарий менеджера</t>
        </is>
      </c>
    </row>
    <row r="6" ht="36" customHeight="1">
      <c r="B6" s="10" t="inlineStr">
        <is>
          <t>Демо по Кабинету сотрудника</t>
        </is>
      </c>
      <c r="C6" s="11" t="inlineStr">
        <is>
          <t>шт</t>
        </is>
      </c>
      <c r="D6" s="12" t="n">
        <v>10</v>
      </c>
      <c r="E6" s="13" t="n"/>
      <c r="F6" s="14">
        <f>IF(OR(E6="",D6=0),"",MIN(1,E6/D6))</f>
        <v/>
      </c>
      <c r="G6" s="15" t="n">
        <v>5000</v>
      </c>
      <c r="H6" s="16">
        <f>IF(E6="","",ROUND(MIN(1,E6/D6)*G6,0))</f>
        <v/>
      </c>
      <c r="I6" s="17">
        <f>IF(E6="","ожидает ввода",IF(E6&gt;=D6,"выполнено","не выполнено"))</f>
        <v/>
      </c>
      <c r="J6" s="18" t="inlineStr"/>
    </row>
    <row r="7" ht="36" customHeight="1">
      <c r="B7" s="19" t="inlineStr">
        <is>
          <t>Подключения Кабинета сотрудника по пилоту</t>
        </is>
      </c>
      <c r="C7" s="20" t="inlineStr">
        <is>
          <t>шт</t>
        </is>
      </c>
      <c r="D7" s="21" t="n">
        <v>3</v>
      </c>
      <c r="E7" s="13" t="n"/>
      <c r="F7" s="22">
        <f>IF(OR(E7="",D7=0),"",MIN(1,E7/D7))</f>
        <v/>
      </c>
      <c r="G7" s="23" t="n">
        <v>5000</v>
      </c>
      <c r="H7" s="24">
        <f>IF(E7="","",ROUND(MIN(1,E7/D7)*G7,0))</f>
        <v/>
      </c>
      <c r="I7" s="25">
        <f>IF(E7="","ожидает ввода",IF(E7&gt;=D7,"выполнено","не выполнено"))</f>
        <v/>
      </c>
      <c r="J7" s="18" t="inlineStr"/>
    </row>
    <row r="8" ht="36" customHeight="1">
      <c r="B8" s="10" t="inlineStr">
        <is>
          <t>Успешные звонки в месяц</t>
        </is>
      </c>
      <c r="C8" s="11" t="inlineStr">
        <is>
          <t>шт</t>
        </is>
      </c>
      <c r="D8" s="12" t="n">
        <v>350</v>
      </c>
      <c r="E8" s="13" t="n"/>
      <c r="F8" s="14">
        <f>IF(OR(E8="",D8=0),"",MIN(1,E8/D8))</f>
        <v/>
      </c>
      <c r="G8" s="15" t="n">
        <v>5000</v>
      </c>
      <c r="H8" s="16">
        <f>IF(E8="","",ROUND(MIN(1,E8/D8)*G8,0))</f>
        <v/>
      </c>
      <c r="I8" s="17">
        <f>IF(E8="","ожидает ввода",IF(E8&gt;=D8,"выполнено","не выполнено"))</f>
        <v/>
      </c>
      <c r="J8" s="18" t="inlineStr"/>
    </row>
    <row r="9" ht="36" customHeight="1">
      <c r="B9" s="19" t="inlineStr">
        <is>
          <t>Заполнение показателей, ведение сделок, канбан и таблицы</t>
        </is>
      </c>
      <c r="C9" s="20" t="inlineStr">
        <is>
          <t>да/нет</t>
        </is>
      </c>
      <c r="D9" s="21" t="n">
        <v>1</v>
      </c>
      <c r="E9" s="13" t="n"/>
      <c r="F9" s="22">
        <f>IF(OR(E9="",D9=0),"",MIN(1,E9/D9))</f>
        <v/>
      </c>
      <c r="G9" s="23" t="n">
        <v>2500</v>
      </c>
      <c r="H9" s="24">
        <f>IF(E9="","",IF(E9&gt;=1,G9,0))</f>
        <v/>
      </c>
      <c r="I9" s="25">
        <f>IF(E9="","ожидает ввода",IF(E9&gt;=D9,"выполнено","не выполнено"))</f>
        <v/>
      </c>
      <c r="J9" s="18" t="inlineStr"/>
    </row>
    <row r="10" ht="36" customHeight="1">
      <c r="B10" s="10" t="inlineStr">
        <is>
          <t>Соблюдение скриптов в звонках</t>
        </is>
      </c>
      <c r="C10" s="11" t="inlineStr">
        <is>
          <t>да/нет</t>
        </is>
      </c>
      <c r="D10" s="12" t="n">
        <v>1</v>
      </c>
      <c r="E10" s="13" t="n"/>
      <c r="F10" s="14">
        <f>IF(OR(E10="",D10=0),"",MIN(1,E10/D10))</f>
        <v/>
      </c>
      <c r="G10" s="15" t="n">
        <v>2500</v>
      </c>
      <c r="H10" s="16">
        <f>IF(E10="","",IF(E10&gt;=1,G10,0))</f>
        <v/>
      </c>
      <c r="I10" s="17">
        <f>IF(E10="","ожидает ввода",IF(E10&gt;=D10,"выполнено","не выполнено"))</f>
        <v/>
      </c>
      <c r="J10" s="18" t="inlineStr"/>
    </row>
    <row r="12" ht="26" customHeight="1">
      <c r="B12" s="26" t="inlineStr">
        <is>
          <t>ИТОГО за месяц</t>
        </is>
      </c>
      <c r="C12" s="27" t="n"/>
      <c r="D12" s="27" t="n"/>
      <c r="E12" s="28" t="inlineStr">
        <is>
          <t>Макс. бонус:</t>
        </is>
      </c>
      <c r="F12" s="29">
        <f>SUM(G6:G10)</f>
        <v/>
      </c>
      <c r="G12" s="30" t="inlineStr">
        <is>
          <t>Начислено:</t>
        </is>
      </c>
      <c r="H12" s="31">
        <f>SUM(H6:H10)</f>
        <v/>
      </c>
      <c r="I12" s="32">
        <f>IF(COUNTBLANK(E6:E10)=ROWS(E6:E10),"заполните факт",IF(COUNTIF(I6:I10,"выполнено")=ROWS(E6:E10),"все KPI выполнены","есть недовыполнение"))</f>
        <v/>
      </c>
      <c r="J12" s="33" t="n"/>
    </row>
    <row r="13">
      <c r="B13" s="34" t="inlineStr">
        <is>
          <t>Средний % выполнения плана</t>
        </is>
      </c>
      <c r="C13" s="35" t="n"/>
      <c r="D13" s="35" t="n"/>
      <c r="E13" s="36">
        <f>IF(COUNT(E6:E10)=0,"",AVERAGE(F6:F10))</f>
        <v/>
      </c>
      <c r="F13" s="35" t="n"/>
      <c r="G13" s="35" t="n"/>
      <c r="H13" s="35" t="n"/>
      <c r="I13" s="35" t="n"/>
      <c r="J13" s="35" t="n"/>
    </row>
  </sheetData>
  <mergeCells count="7">
    <mergeCell ref="E3:I3"/>
    <mergeCell ref="C3:D3"/>
    <mergeCell ref="B2:I2"/>
    <mergeCell ref="B13:D13"/>
    <mergeCell ref="E13:F13"/>
    <mergeCell ref="B12:D12"/>
    <mergeCell ref="B1:I1"/>
  </mergeCells>
  <conditionalFormatting sqref="F6:F10">
    <cfRule type="cellIs" priority="1" operator="greaterThanOrEqual" dxfId="0">
      <formula>1</formula>
    </cfRule>
    <cfRule type="cellIs" priority="2" operator="between" dxfId="1">
      <formula>0.7</formula>
      <formula>0.999</formula>
    </cfRule>
    <cfRule type="cellIs" priority="3" operator="lessThan" dxfId="2">
      <formula>0.7</formula>
    </cfRule>
  </conditionalFormatting>
  <conditionalFormatting sqref="I6:I10">
    <cfRule type="expression" priority="4" dxfId="0">
      <formula>I6="выполнено"</formula>
    </cfRule>
    <cfRule type="expression" priority="5" dxfId="2">
      <formula>I6="не выполнено"</formula>
    </cfRule>
  </conditionalFormatting>
  <dataValidations count="1">
    <dataValidation sqref="E9 E10" showDropDown="0" showInputMessage="1" showErrorMessage="1" allowBlank="1" errorTitle="Ввод" error="Введите 0 (нет) или 1 (да)" promptTitle="Да / Нет" prompt="1 = выполнено, 0 = не выполнено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7" t="inlineStr">
        <is>
          <t>Как пользоваться файлом</t>
        </is>
      </c>
    </row>
    <row r="2">
      <c r="A2" s="38" t="inlineStr"/>
    </row>
    <row r="3">
      <c r="A3" s="38" t="inlineStr">
        <is>
          <t>1. На листе «KPI месяц» в жёлтой ячейке укажите период (например: Сентябрь 2026).</t>
        </is>
      </c>
    </row>
    <row r="4">
      <c r="A4" s="38" t="inlineStr">
        <is>
          <t>2. В колонке «Факт» (жёлтые ячейки) впишите фактические показатели за месяц.</t>
        </is>
      </c>
    </row>
    <row r="5">
      <c r="A5" s="38" t="inlineStr">
        <is>
          <t>3. Для показателей «да/нет» введите 1 (выполнено) или 0 (не выполнено) — есть выпадающий список.</t>
        </is>
      </c>
    </row>
    <row r="6">
      <c r="A6" s="38" t="inlineStr">
        <is>
          <t>4. Колонки «% выполнения», «Начислено, ₽» и «Статус» считаются автоматически.</t>
        </is>
      </c>
    </row>
    <row r="7">
      <c r="A7" s="38" t="inlineStr">
        <is>
          <t>5. Бонус по числовым KPI начисляется пропорционально выполнению плана (не более 100%).</t>
        </is>
      </c>
    </row>
    <row r="8">
      <c r="A8" s="38" t="inlineStr">
        <is>
          <t>6. По KPI «да/нет» бонус начисляется полностью только при факте = 1.</t>
        </is>
      </c>
    </row>
    <row r="9">
      <c r="A9" s="38" t="inlineStr">
        <is>
          <t>7. В колонке «Комментарий менеджера» можно кратко пояснить результат.</t>
        </is>
      </c>
    </row>
    <row r="10">
      <c r="A10" s="38" t="inlineStr">
        <is>
          <t>8. Итоговая сумма бонуса — в зелёной ячейке «Начислено» внизу таблицы.</t>
        </is>
      </c>
    </row>
    <row r="11">
      <c r="A11" s="38" t="inlineStr"/>
    </row>
    <row r="12">
      <c r="A12" s="38" t="inlineStr">
        <is>
          <t>Не изменяйте формулы в белых колонках — только жёлтые ячейки для ввода.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2026-09-02T05:27:22Z</dcterms:created>
  <dcterms:modified xsi:type="dcterms:W3CDTF">2026-09-02T05:27:22Z</dcterms:modified>
</cp:coreProperties>
</file>