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savinskaia\Desktop\Новые деньги\Зарплата сотрудники\"/>
    </mc:Choice>
  </mc:AlternateContent>
  <xr:revisionPtr revIDLastSave="0" documentId="13_ncr:1_{219954AD-B30B-4336-A1DC-E4C79B62C1D1}" xr6:coauthVersionLast="47" xr6:coauthVersionMax="47" xr10:uidLastSave="{00000000-0000-0000-0000-000000000000}"/>
  <bookViews>
    <workbookView xWindow="-23148" yWindow="-108" windowWidth="23256" windowHeight="13896" firstSheet="3" activeTab="8" xr2:uid="{00000000-000D-0000-FFFF-FFFF00000000}"/>
  </bookViews>
  <sheets>
    <sheet name="Сотрудники" sheetId="1" r:id="rId1"/>
    <sheet name="Зарплата" sheetId="2" state="hidden" r:id="rId2"/>
    <sheet name="тест" sheetId="7" state="hidden" r:id="rId3"/>
    <sheet name="МД и эффективность 2026" sheetId="4" r:id="rId4"/>
    <sheet name="конверсия" sheetId="8" r:id="rId5"/>
    <sheet name="РК ЭПД" sheetId="9" r:id="rId6"/>
    <sheet name="планы ЭПД" sheetId="10" r:id="rId7"/>
    <sheet name="Отпуска" sheetId="6" r:id="rId8"/>
    <sheet name="контроль лидов Б24" sheetId="11" r:id="rId9"/>
  </sheets>
  <calcPr calcId="191029"/>
  <pivotCaches>
    <pivotCache cacheId="0" r:id="rId10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11" l="1"/>
  <c r="J2" i="11"/>
  <c r="C68" i="9"/>
  <c r="C38" i="9"/>
  <c r="C16" i="9"/>
  <c r="C17" i="9"/>
  <c r="C40" i="9"/>
  <c r="C39" i="9"/>
  <c r="C69" i="9"/>
  <c r="C83" i="9"/>
  <c r="G14" i="4"/>
  <c r="D17" i="10"/>
  <c r="C17" i="10"/>
  <c r="B17" i="10"/>
  <c r="G11" i="4"/>
  <c r="G13" i="4" l="1"/>
  <c r="G12" i="4"/>
  <c r="G15" i="4" l="1"/>
  <c r="C74" i="4"/>
  <c r="H49" i="4"/>
  <c r="H44" i="4"/>
  <c r="H28" i="4"/>
  <c r="H32" i="4"/>
  <c r="H36" i="4"/>
  <c r="H40" i="4"/>
  <c r="H24" i="4"/>
  <c r="H20" i="4"/>
  <c r="I20" i="4"/>
  <c r="E71" i="4"/>
  <c r="D70" i="4"/>
  <c r="I49" i="4"/>
  <c r="F52" i="4"/>
  <c r="F49" i="4"/>
  <c r="J49" i="4" s="1"/>
  <c r="F50" i="4"/>
  <c r="F51" i="4"/>
  <c r="F53" i="4"/>
  <c r="I44" i="4" l="1"/>
  <c r="I40" i="4"/>
  <c r="I24" i="4"/>
  <c r="I28" i="4"/>
  <c r="C75" i="4" s="1"/>
  <c r="I32" i="4"/>
  <c r="I36" i="4"/>
  <c r="E36" i="8"/>
  <c r="D36" i="8"/>
  <c r="E70" i="7"/>
  <c r="D69" i="7"/>
  <c r="F72" i="7" s="1"/>
  <c r="F48" i="7"/>
  <c r="G48" i="7" s="1"/>
  <c r="G47" i="7"/>
  <c r="F47" i="7"/>
  <c r="F46" i="7"/>
  <c r="F45" i="7"/>
  <c r="G45" i="7" s="1"/>
  <c r="F44" i="7"/>
  <c r="G44" i="7" s="1"/>
  <c r="F43" i="7"/>
  <c r="G43" i="7" s="1"/>
  <c r="F42" i="7"/>
  <c r="G46" i="7" s="1"/>
  <c r="F41" i="7"/>
  <c r="G41" i="7" s="1"/>
  <c r="F40" i="7"/>
  <c r="G40" i="7" s="1"/>
  <c r="G39" i="7"/>
  <c r="F39" i="7"/>
  <c r="F38" i="7"/>
  <c r="G38" i="7" s="1"/>
  <c r="F37" i="7"/>
  <c r="G37" i="7" s="1"/>
  <c r="F36" i="7"/>
  <c r="G36" i="7" s="1"/>
  <c r="F35" i="7"/>
  <c r="G35" i="7" s="1"/>
  <c r="F34" i="7"/>
  <c r="G34" i="7" s="1"/>
  <c r="F33" i="7"/>
  <c r="G33" i="7" s="1"/>
  <c r="G32" i="7"/>
  <c r="F32" i="7"/>
  <c r="F31" i="7"/>
  <c r="G31" i="7" s="1"/>
  <c r="F30" i="7"/>
  <c r="G30" i="7" s="1"/>
  <c r="F29" i="7"/>
  <c r="G29" i="7" s="1"/>
  <c r="F28" i="7"/>
  <c r="G28" i="7" s="1"/>
  <c r="F27" i="7"/>
  <c r="G27" i="7" s="1"/>
  <c r="F26" i="7"/>
  <c r="G26" i="7" s="1"/>
  <c r="G25" i="7"/>
  <c r="F25" i="7"/>
  <c r="F24" i="7"/>
  <c r="G24" i="7" s="1"/>
  <c r="F23" i="7"/>
  <c r="F22" i="7"/>
  <c r="F21" i="7"/>
  <c r="F20" i="7"/>
  <c r="D15" i="7"/>
  <c r="D14" i="7"/>
  <c r="D13" i="7"/>
  <c r="D12" i="7"/>
  <c r="D11" i="7"/>
  <c r="S7" i="7"/>
  <c r="P7" i="7"/>
  <c r="M7" i="7"/>
  <c r="J7" i="7"/>
  <c r="G7" i="7"/>
  <c r="D7" i="7"/>
  <c r="S6" i="7"/>
  <c r="P6" i="7"/>
  <c r="M6" i="7"/>
  <c r="J6" i="7"/>
  <c r="G6" i="7"/>
  <c r="D6" i="7"/>
  <c r="S5" i="7"/>
  <c r="P5" i="7"/>
  <c r="M5" i="7"/>
  <c r="J5" i="7"/>
  <c r="G5" i="7"/>
  <c r="D5" i="7"/>
  <c r="S4" i="7"/>
  <c r="P4" i="7"/>
  <c r="M4" i="7"/>
  <c r="J4" i="7"/>
  <c r="G4" i="7"/>
  <c r="D4" i="7"/>
  <c r="D4" i="4"/>
  <c r="F47" i="4"/>
  <c r="G51" i="4" s="1"/>
  <c r="F48" i="4"/>
  <c r="G53" i="4" s="1"/>
  <c r="F46" i="4"/>
  <c r="G50" i="4" s="1"/>
  <c r="F45" i="4"/>
  <c r="G49" i="4" s="1"/>
  <c r="F44" i="4"/>
  <c r="J44" i="4" s="1"/>
  <c r="F43" i="4"/>
  <c r="F42" i="4"/>
  <c r="F41" i="4"/>
  <c r="F40" i="4"/>
  <c r="F39" i="4"/>
  <c r="F38" i="4"/>
  <c r="F37" i="4"/>
  <c r="F36" i="4"/>
  <c r="F35" i="4"/>
  <c r="F34" i="4"/>
  <c r="J34" i="4" s="1"/>
  <c r="F33" i="4"/>
  <c r="F32" i="4"/>
  <c r="F31" i="4"/>
  <c r="F30" i="4"/>
  <c r="F29" i="4"/>
  <c r="J29" i="4" s="1"/>
  <c r="F28" i="4"/>
  <c r="F27" i="4"/>
  <c r="F26" i="4"/>
  <c r="F25" i="4"/>
  <c r="F24" i="4"/>
  <c r="F22" i="4"/>
  <c r="F20" i="4"/>
  <c r="F21" i="4"/>
  <c r="F23" i="4"/>
  <c r="D20" i="2"/>
  <c r="D19" i="2"/>
  <c r="D17" i="2"/>
  <c r="D16" i="2"/>
  <c r="D18" i="2"/>
  <c r="D15" i="4"/>
  <c r="D14" i="4"/>
  <c r="D13" i="4"/>
  <c r="D12" i="4"/>
  <c r="D11" i="4"/>
  <c r="T7" i="4"/>
  <c r="T6" i="4"/>
  <c r="T5" i="4"/>
  <c r="T4" i="4"/>
  <c r="Q7" i="4"/>
  <c r="Q6" i="4"/>
  <c r="Q5" i="4"/>
  <c r="Q4" i="4"/>
  <c r="N7" i="4"/>
  <c r="N6" i="4"/>
  <c r="N5" i="4"/>
  <c r="N4" i="4"/>
  <c r="K7" i="4"/>
  <c r="K6" i="4"/>
  <c r="K5" i="4"/>
  <c r="K4" i="4"/>
  <c r="G7" i="4"/>
  <c r="G6" i="4"/>
  <c r="G5" i="4"/>
  <c r="G4" i="4"/>
  <c r="D7" i="4"/>
  <c r="D6" i="4"/>
  <c r="D5" i="4"/>
  <c r="E7" i="2"/>
  <c r="J20" i="4" l="1"/>
  <c r="J24" i="4"/>
  <c r="J39" i="4"/>
  <c r="G52" i="4"/>
  <c r="G48" i="4"/>
  <c r="G33" i="4"/>
  <c r="G37" i="4"/>
  <c r="G38" i="4"/>
  <c r="G46" i="4"/>
  <c r="G32" i="4"/>
  <c r="I57" i="7"/>
  <c r="G42" i="7"/>
  <c r="G26" i="4"/>
  <c r="G24" i="4"/>
  <c r="G42" i="4"/>
  <c r="G30" i="4"/>
  <c r="G29" i="4"/>
  <c r="G43" i="4"/>
  <c r="G31" i="4"/>
  <c r="G27" i="4"/>
  <c r="G34" i="4"/>
  <c r="G47" i="4"/>
  <c r="G41" i="4"/>
  <c r="G44" i="4"/>
  <c r="G25" i="4"/>
  <c r="G35" i="4"/>
  <c r="G40" i="4"/>
  <c r="G28" i="4"/>
  <c r="G45" i="4"/>
  <c r="G36" i="4"/>
  <c r="G39" i="4"/>
  <c r="F73" i="4"/>
  <c r="M5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Савинская Евгения</author>
  </authors>
  <commentList>
    <comment ref="I57" authorId="0" shapeId="0" xr:uid="{99957846-13F4-4955-A059-93EBE3B229AA}">
      <text>
        <r>
          <rPr>
            <b/>
            <sz val="9"/>
            <color indexed="81"/>
            <rFont val="Tahoma"/>
            <charset val="1"/>
          </rPr>
          <t>Савинская Евгения:</t>
        </r>
        <r>
          <rPr>
            <sz val="9"/>
            <color indexed="81"/>
            <rFont val="Tahoma"/>
            <charset val="1"/>
          </rPr>
          <t xml:space="preserve">
Средняя конверсия за 6 мес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Савинская Евгения</author>
  </authors>
  <commentList>
    <comment ref="M58" authorId="0" shapeId="0" xr:uid="{A97B34B1-49D8-454A-B9C3-33B2A83C5DD7}">
      <text>
        <r>
          <rPr>
            <b/>
            <sz val="9"/>
            <color indexed="81"/>
            <rFont val="Tahoma"/>
            <charset val="1"/>
          </rPr>
          <t>Савинская Евгения:</t>
        </r>
        <r>
          <rPr>
            <sz val="9"/>
            <color indexed="81"/>
            <rFont val="Tahoma"/>
            <charset val="1"/>
          </rPr>
          <t xml:space="preserve">
Средняя конверсия за 6 мес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Савинская Евгения</author>
  </authors>
  <commentList>
    <comment ref="B18" authorId="0" shapeId="0" xr:uid="{DA167DA9-9B71-4722-85C4-E4B24A9B8A6E}">
      <text>
        <r>
          <rPr>
            <b/>
            <sz val="9"/>
            <color indexed="81"/>
            <rFont val="Tahoma"/>
            <charset val="1"/>
          </rPr>
          <t>Савинская Евгения:</t>
        </r>
        <r>
          <rPr>
            <sz val="9"/>
            <color indexed="81"/>
            <rFont val="Tahoma"/>
            <charset val="1"/>
          </rPr>
          <t xml:space="preserve">
за счёт какого сегмента, этапа и процесса он получился </t>
        </r>
      </text>
    </comment>
  </commentList>
</comments>
</file>

<file path=xl/sharedStrings.xml><?xml version="1.0" encoding="utf-8"?>
<sst xmlns="http://schemas.openxmlformats.org/spreadsheetml/2006/main" count="725" uniqueCount="336">
  <si>
    <t>ID</t>
  </si>
  <si>
    <t>ФИО</t>
  </si>
  <si>
    <t>Дата рождения</t>
  </si>
  <si>
    <t>Телефон</t>
  </si>
  <si>
    <t>Email</t>
  </si>
  <si>
    <t>Дата найма</t>
  </si>
  <si>
    <t>Статус</t>
  </si>
  <si>
    <t>Менеджер по продажам</t>
  </si>
  <si>
    <t>ivanov@company.ru</t>
  </si>
  <si>
    <t>Активен</t>
  </si>
  <si>
    <t>petrova@company.ru</t>
  </si>
  <si>
    <t>sidorov@company.ru</t>
  </si>
  <si>
    <t>kuznetsova@company.ru</t>
  </si>
  <si>
    <t>morozov@company.ru</t>
  </si>
  <si>
    <t>Оклад (руб)</t>
  </si>
  <si>
    <t>План продаж (руб/мес)</t>
  </si>
  <si>
    <t>Доп. бонусы</t>
  </si>
  <si>
    <t>Общий доход (прогноз, руб)</t>
  </si>
  <si>
    <t>Средний чек (руб)</t>
  </si>
  <si>
    <t>Звонки (в день)</t>
  </si>
  <si>
    <t>Встречи (в неделю)</t>
  </si>
  <si>
    <t>Оценка качества звонков</t>
  </si>
  <si>
    <t>Рейтинг в команде</t>
  </si>
  <si>
    <t>-</t>
  </si>
  <si>
    <t>Отпуск (дней в год)</t>
  </si>
  <si>
    <t>Отпуск (использовано)</t>
  </si>
  <si>
    <t>Отпуск (остаток)</t>
  </si>
  <si>
    <t>Следующий отпуск (план)</t>
  </si>
  <si>
    <t>Больничные (дней в год)</t>
  </si>
  <si>
    <t>Опоздания (в мес)</t>
  </si>
  <si>
    <t>Россинский Вадим Олегович</t>
  </si>
  <si>
    <t>Федосеев Максим Андреевич</t>
  </si>
  <si>
    <t>Фёдорова Анастасия Андреевна</t>
  </si>
  <si>
    <t>Багланова Антонина Михайловна</t>
  </si>
  <si>
    <t>Соболев Максим Андреевич</t>
  </si>
  <si>
    <t>Должность/Грейд</t>
  </si>
  <si>
    <t>Младший менеджер</t>
  </si>
  <si>
    <t>Старший менеджер по продажам</t>
  </si>
  <si>
    <t xml:space="preserve">Старший менеджер по продажам </t>
  </si>
  <si>
    <t>Савинская Евгения Николаевна</t>
  </si>
  <si>
    <t xml:space="preserve">Тимлид </t>
  </si>
  <si>
    <t>Базовый процент от продаж (%)</t>
  </si>
  <si>
    <t xml:space="preserve">январь </t>
  </si>
  <si>
    <t>нк</t>
  </si>
  <si>
    <t>февраль</t>
  </si>
  <si>
    <t xml:space="preserve">нк </t>
  </si>
  <si>
    <t xml:space="preserve">март </t>
  </si>
  <si>
    <t>апрель</t>
  </si>
  <si>
    <t>май</t>
  </si>
  <si>
    <t xml:space="preserve">июнь </t>
  </si>
  <si>
    <t xml:space="preserve">Багланова </t>
  </si>
  <si>
    <t xml:space="preserve">Соболев </t>
  </si>
  <si>
    <t>Россинский</t>
  </si>
  <si>
    <t>МПП</t>
  </si>
  <si>
    <t>Федосеев</t>
  </si>
  <si>
    <t>Фёдорова</t>
  </si>
  <si>
    <t>июль</t>
  </si>
  <si>
    <t>МД</t>
  </si>
  <si>
    <t>Гороскоп:)</t>
  </si>
  <si>
    <t>Рыбы</t>
  </si>
  <si>
    <t>Весы</t>
  </si>
  <si>
    <t>Овен</t>
  </si>
  <si>
    <t>Козерог</t>
  </si>
  <si>
    <t>Дева</t>
  </si>
  <si>
    <t>Выполнение плана ср МД</t>
  </si>
  <si>
    <t>% выполнения плана МД</t>
  </si>
  <si>
    <t>План МД</t>
  </si>
  <si>
    <t>%</t>
  </si>
  <si>
    <t>31.08 - 14.08</t>
  </si>
  <si>
    <t>23.11 - 27.11</t>
  </si>
  <si>
    <t>10.09 - 24.09</t>
  </si>
  <si>
    <t xml:space="preserve">август </t>
  </si>
  <si>
    <t>сентябрь</t>
  </si>
  <si>
    <t>октябрь</t>
  </si>
  <si>
    <t>ноябрь</t>
  </si>
  <si>
    <t>декабрь</t>
  </si>
  <si>
    <t>КПИ</t>
  </si>
  <si>
    <t>Сделки и конверсия</t>
  </si>
  <si>
    <t>месяц</t>
  </si>
  <si>
    <t xml:space="preserve">конв из сделки в оплату % </t>
  </si>
  <si>
    <t>колич усп.сд (шт)</t>
  </si>
  <si>
    <t xml:space="preserve">колич сделок (шт) </t>
  </si>
  <si>
    <t>июнь</t>
  </si>
  <si>
    <t>август</t>
  </si>
  <si>
    <t xml:space="preserve">ноябрь </t>
  </si>
  <si>
    <t xml:space="preserve">декабрь </t>
  </si>
  <si>
    <t>отклонение</t>
  </si>
  <si>
    <t>конверсия из сд в оплату %</t>
  </si>
  <si>
    <t>Всего сделок</t>
  </si>
  <si>
    <t>Успешные сделки</t>
  </si>
  <si>
    <t xml:space="preserve">Сделки в работе </t>
  </si>
  <si>
    <t>Неусп.сделки</t>
  </si>
  <si>
    <t>Ср.колич сд в мес</t>
  </si>
  <si>
    <t>Ср.колич Усп. Сд/ мес</t>
  </si>
  <si>
    <t xml:space="preserve">Самая низкая конверсия </t>
  </si>
  <si>
    <t xml:space="preserve">свой контакт </t>
  </si>
  <si>
    <t>звонок</t>
  </si>
  <si>
    <t xml:space="preserve">холодный обзвон </t>
  </si>
  <si>
    <t>мероприятия Форус</t>
  </si>
  <si>
    <t xml:space="preserve">успешная регистрация </t>
  </si>
  <si>
    <t xml:space="preserve">сайт итс </t>
  </si>
  <si>
    <t xml:space="preserve">по рекомендации </t>
  </si>
  <si>
    <t xml:space="preserve">срм форма </t>
  </si>
  <si>
    <t xml:space="preserve">лендинг 1С </t>
  </si>
  <si>
    <t>квиз</t>
  </si>
  <si>
    <t xml:space="preserve">Источники </t>
  </si>
  <si>
    <t xml:space="preserve">авито </t>
  </si>
  <si>
    <t xml:space="preserve">причина отвала </t>
  </si>
  <si>
    <t>регулярная сделка(Возврат Фреш, КП + продление каспера)</t>
  </si>
  <si>
    <t xml:space="preserve">Этап отвала </t>
  </si>
  <si>
    <t>количество</t>
  </si>
  <si>
    <t>Необработанные, уточнить потребности</t>
  </si>
  <si>
    <t xml:space="preserve">необработанные, контроль сделки , отправить счет </t>
  </si>
  <si>
    <t>дубль,1с не пользуется , подключили тестовый, финанс.сложн,приостановка деятельности, перешли на аутсорс, ушел к др.партнеру, проблемы с согласованием</t>
  </si>
  <si>
    <t xml:space="preserve">неверный номер, клиент не РФ, проходил обучение, НДЗ, случ оставил заявку, отказ от перехода на 1С Фреш , работает с др.партнером по 1С </t>
  </si>
  <si>
    <t xml:space="preserve">Самая высокая конверсия </t>
  </si>
  <si>
    <t>Успешные сделки 92шт</t>
  </si>
  <si>
    <t xml:space="preserve">Успешные сделки 102 </t>
  </si>
  <si>
    <t xml:space="preserve">сумма </t>
  </si>
  <si>
    <t>Форус.Биллинг</t>
  </si>
  <si>
    <t>Другое</t>
  </si>
  <si>
    <t>агент</t>
  </si>
  <si>
    <t xml:space="preserve">визит в офис </t>
  </si>
  <si>
    <t>Продукты</t>
  </si>
  <si>
    <t xml:space="preserve">Фреш базовый, рутокен </t>
  </si>
  <si>
    <t xml:space="preserve">продажа лицензий ЕРП  - 1 большая </t>
  </si>
  <si>
    <t xml:space="preserve">продления Соболев М, ФН, часы ЛК, 1С лицензии, КП, Фреш </t>
  </si>
  <si>
    <t>Комментарий</t>
  </si>
  <si>
    <t xml:space="preserve">сделок в 5 раз меньше, но по деньгам принесли больше вх.звонков. Подумать как можно развивать источник </t>
  </si>
  <si>
    <t xml:space="preserve">1. Торговля прочая 2.Перевозки/логистика/склад 3. Торговля продукты питания </t>
  </si>
  <si>
    <t xml:space="preserve">Лидирующий Сегмент </t>
  </si>
  <si>
    <t xml:space="preserve">ПП 1С, КП, Фреш  - главный продуктовый драйвер </t>
  </si>
  <si>
    <t>Торговля прочая</t>
  </si>
  <si>
    <t>Услуги. Перевозки, логистика, склад</t>
  </si>
  <si>
    <t xml:space="preserve">Торговля продукты питания </t>
  </si>
  <si>
    <t>Выручка</t>
  </si>
  <si>
    <t>Ср.чек</t>
  </si>
  <si>
    <t>Сделки</t>
  </si>
  <si>
    <t xml:space="preserve">Успешные сделки по группе </t>
  </si>
  <si>
    <t xml:space="preserve">2 человека были в отпуске Соболев/Багланова </t>
  </si>
  <si>
    <t>РК ЭПД</t>
  </si>
  <si>
    <t xml:space="preserve">дата создания </t>
  </si>
  <si>
    <t xml:space="preserve">дата первого контакта МПП </t>
  </si>
  <si>
    <t xml:space="preserve">ЭПД Квиз </t>
  </si>
  <si>
    <t>Заполнение CRM-формы "ЦП. Контактные данные открытых линий"</t>
  </si>
  <si>
    <t>Заполнение CRM-формы "Внедрение и поддержка 1С:ЭПД"</t>
  </si>
  <si>
    <t>Заявка с сайта - 1С-ЭПД | Обмен электронными перевозочными документами | Цена</t>
  </si>
  <si>
    <t>Показатель</t>
  </si>
  <si>
    <t>Результат</t>
  </si>
  <si>
    <t>Количество заявок</t>
  </si>
  <si>
    <t>Среднее время реакции</t>
  </si>
  <si>
    <t>13 ч 57 мин</t>
  </si>
  <si>
    <t>Медиана</t>
  </si>
  <si>
    <t>10 ч 34 мин</t>
  </si>
  <si>
    <t>Минимальное время</t>
  </si>
  <si>
    <t>4 ч 01 мин</t>
  </si>
  <si>
    <t>Максимальное время</t>
  </si>
  <si>
    <t>36 ч 15 мин</t>
  </si>
  <si>
    <t>Обработано в пределах 1 часа</t>
  </si>
  <si>
    <t>0 из 9</t>
  </si>
  <si>
    <t>Обработано в пределах 4 часов</t>
  </si>
  <si>
    <t>Обработано в пределах одного рабочего дня, до 9 часов</t>
  </si>
  <si>
    <r>
      <t xml:space="preserve">3 из 9 — </t>
    </r>
    <r>
      <rPr>
        <b/>
        <sz val="11"/>
        <color theme="1"/>
        <rFont val="Arial"/>
        <family val="2"/>
        <charset val="204"/>
      </rPr>
      <t>33,3%</t>
    </r>
  </si>
  <si>
    <t>Ожидали более двух рабочих дней, свыше 18 часов</t>
  </si>
  <si>
    <r>
      <t xml:space="preserve">1 из 9 — </t>
    </r>
    <r>
      <rPr>
        <b/>
        <sz val="11"/>
        <color theme="1"/>
        <rFont val="Arial"/>
        <family val="2"/>
        <charset val="204"/>
      </rPr>
      <t>11,1%</t>
    </r>
  </si>
  <si>
    <t xml:space="preserve">Среднее фактическое время ожидания составило 13 ч 57 мин рабочего времени, медианное — 10 ч 34 мин. Исключила выходные и нерабочее время </t>
  </si>
  <si>
    <t>С учётом только рабочих часов — будни, 09:00–18:00 — среднее время до первого контакта составляет 1 ч 38 мин, а медианное — всего 24 минуты</t>
  </si>
  <si>
    <t>Значение</t>
  </si>
  <si>
    <t>1 ч 38 мин</t>
  </si>
  <si>
    <t>Медианное время реакции</t>
  </si>
  <si>
    <t>24 мин</t>
  </si>
  <si>
    <t>1 мин</t>
  </si>
  <si>
    <t>7 ч 35 мин</t>
  </si>
  <si>
    <t>Контакт до 15 минут</t>
  </si>
  <si>
    <r>
      <t xml:space="preserve">4 из 12 — </t>
    </r>
    <r>
      <rPr>
        <b/>
        <sz val="11"/>
        <color theme="1"/>
        <rFont val="Arial"/>
        <family val="2"/>
        <charset val="204"/>
      </rPr>
      <t>33,3%</t>
    </r>
  </si>
  <si>
    <t>Контакт до 30 минут</t>
  </si>
  <si>
    <r>
      <t xml:space="preserve">7 из 12 — </t>
    </r>
    <r>
      <rPr>
        <b/>
        <sz val="11"/>
        <color theme="1"/>
        <rFont val="Arial"/>
        <family val="2"/>
        <charset val="204"/>
      </rPr>
      <t>58,3%</t>
    </r>
  </si>
  <si>
    <t>Контакт до 1 часа</t>
  </si>
  <si>
    <r>
      <t xml:space="preserve">8 из 12 — </t>
    </r>
    <r>
      <rPr>
        <b/>
        <sz val="11"/>
        <color theme="1"/>
        <rFont val="Arial"/>
        <family val="2"/>
        <charset val="204"/>
      </rPr>
      <t>66,7%</t>
    </r>
  </si>
  <si>
    <t>Контакт до 4 часов</t>
  </si>
  <si>
    <r>
      <t xml:space="preserve">10 из 12 — </t>
    </r>
    <r>
      <rPr>
        <b/>
        <sz val="11"/>
        <color theme="1"/>
        <rFont val="Arial"/>
        <family val="2"/>
        <charset val="204"/>
      </rPr>
      <t>83,3%</t>
    </r>
  </si>
  <si>
    <t>Контакт в течение рабочего дня, до 9 часов</t>
  </si>
  <si>
    <r>
      <t xml:space="preserve">12 из 12 — </t>
    </r>
    <r>
      <rPr>
        <b/>
        <sz val="11"/>
        <color theme="1"/>
        <rFont val="Arial"/>
        <family val="2"/>
        <charset val="204"/>
      </rPr>
      <t>100%</t>
    </r>
  </si>
  <si>
    <t>Заявки с ожиданием более рабочего дня</t>
  </si>
  <si>
    <t>Всего заявок</t>
  </si>
  <si>
    <t>Есть первый контакт</t>
  </si>
  <si>
    <r>
      <t xml:space="preserve">14 — </t>
    </r>
    <r>
      <rPr>
        <b/>
        <sz val="11"/>
        <color theme="1"/>
        <rFont val="Arial"/>
        <family val="2"/>
        <charset val="204"/>
      </rPr>
      <t>82,4%</t>
    </r>
  </si>
  <si>
    <t>Нет первого контакта</t>
  </si>
  <si>
    <r>
      <t xml:space="preserve">3 — </t>
    </r>
    <r>
      <rPr>
        <b/>
        <sz val="11"/>
        <color theme="1"/>
        <rFont val="Arial"/>
        <family val="2"/>
        <charset val="204"/>
      </rPr>
      <t>17,6%</t>
    </r>
  </si>
  <si>
    <t>11 ч 08 мин</t>
  </si>
  <si>
    <t>5 ч 42 мин</t>
  </si>
  <si>
    <t>Минимальное время реакции</t>
  </si>
  <si>
    <t>35 мин</t>
  </si>
  <si>
    <t>Максимальное время реакции</t>
  </si>
  <si>
    <t>26 ч 05 мин</t>
  </si>
  <si>
    <r>
      <t xml:space="preserve">1 из 14 — </t>
    </r>
    <r>
      <rPr>
        <b/>
        <sz val="11"/>
        <color theme="1"/>
        <rFont val="Arial"/>
        <family val="2"/>
        <charset val="204"/>
      </rPr>
      <t>7,1%</t>
    </r>
  </si>
  <si>
    <r>
      <t xml:space="preserve">4 из 14 — </t>
    </r>
    <r>
      <rPr>
        <b/>
        <sz val="11"/>
        <color theme="1"/>
        <rFont val="Arial"/>
        <family val="2"/>
        <charset val="204"/>
      </rPr>
      <t>28,6%</t>
    </r>
  </si>
  <si>
    <t>Контакт в пределах рабочего дня, до 9 часов</t>
  </si>
  <si>
    <r>
      <t xml:space="preserve">8 из 14 — </t>
    </r>
    <r>
      <rPr>
        <b/>
        <sz val="11"/>
        <color theme="1"/>
        <rFont val="Arial"/>
        <family val="2"/>
        <charset val="204"/>
      </rPr>
      <t>57,1%</t>
    </r>
  </si>
  <si>
    <t>Контакт позже рабочего дня</t>
  </si>
  <si>
    <r>
      <t xml:space="preserve">6 из 14 — </t>
    </r>
    <r>
      <rPr>
        <b/>
        <sz val="11"/>
        <color theme="1"/>
        <rFont val="Arial"/>
        <family val="2"/>
        <charset val="204"/>
      </rPr>
      <t>42,9%</t>
    </r>
  </si>
  <si>
    <t>Ожидание более 2 рабочих дней, свыше 18 часов</t>
  </si>
  <si>
    <t>Открытые линии</t>
  </si>
  <si>
    <t>1С:ЭПД</t>
  </si>
  <si>
    <t>В пределах 1 рабочего часа</t>
  </si>
  <si>
    <t>В пределах рабочего дня</t>
  </si>
  <si>
    <t>57,1%*</t>
  </si>
  <si>
    <t>Нет данных</t>
  </si>
  <si>
    <t>Нет</t>
  </si>
  <si>
    <t xml:space="preserve">Квиз ЭПД </t>
  </si>
  <si>
    <t>6 ч 55 мин</t>
  </si>
  <si>
    <t>5 ч 54 мин</t>
  </si>
  <si>
    <t>17 ч 30 мин</t>
  </si>
  <si>
    <r>
      <t xml:space="preserve">1 из 6 — </t>
    </r>
    <r>
      <rPr>
        <b/>
        <sz val="11"/>
        <color theme="1"/>
        <rFont val="Arial"/>
        <family val="2"/>
        <charset val="204"/>
      </rPr>
      <t>16,7%</t>
    </r>
  </si>
  <si>
    <r>
      <t xml:space="preserve">3 из 6 — </t>
    </r>
    <r>
      <rPr>
        <b/>
        <sz val="11"/>
        <color theme="1"/>
        <rFont val="Arial"/>
        <family val="2"/>
        <charset val="204"/>
      </rPr>
      <t>50%</t>
    </r>
  </si>
  <si>
    <t>Контакт позже одного рабочего дня</t>
  </si>
  <si>
    <t>Без контакта</t>
  </si>
  <si>
    <t>Среднее время</t>
  </si>
  <si>
    <t>До 1 часа</t>
  </si>
  <si>
    <t>До 4 часов</t>
  </si>
  <si>
    <t>В пределах смены, до 9 ч</t>
  </si>
  <si>
    <t>Максимум</t>
  </si>
  <si>
    <t>25 мин</t>
  </si>
  <si>
    <t>Сайт 1С:ЭПД — цена</t>
  </si>
  <si>
    <t>5 ч 55 мин</t>
  </si>
  <si>
    <t>Внедрение и поддержка 1С:ЭПД</t>
  </si>
  <si>
    <t>Итого</t>
  </si>
  <si>
    <t>8 ч 21 мин</t>
  </si>
  <si>
    <t>5 ч 27 мин</t>
  </si>
  <si>
    <t>Место</t>
  </si>
  <si>
    <t>Источник</t>
  </si>
  <si>
    <t>Оценка процесса</t>
  </si>
  <si>
    <t>Быстрая и стабильная обработка</t>
  </si>
  <si>
    <t>Средняя скорость, есть существенные задержки</t>
  </si>
  <si>
    <t>Нестабильная обработка и заявки без контакта</t>
  </si>
  <si>
    <t>Критически медленная реакция</t>
  </si>
  <si>
    <t xml:space="preserve">Рейтинг источников </t>
  </si>
  <si>
    <t>Квиз ЭПД</t>
  </si>
  <si>
    <t xml:space="preserve">лендинг 1С (Елизавета Бакелова) </t>
  </si>
  <si>
    <t>квиз УНФ</t>
  </si>
  <si>
    <t xml:space="preserve">Фёдорова </t>
  </si>
  <si>
    <t>Ср конверсия мес %</t>
  </si>
  <si>
    <t xml:space="preserve">Колич сд/мес </t>
  </si>
  <si>
    <t>Менеджер</t>
  </si>
  <si>
    <t>План на период (шт.)</t>
  </si>
  <si>
    <t>Факт оплаченных сделок (шт.)</t>
  </si>
  <si>
    <t>Факт выручка (руб.)</t>
  </si>
  <si>
    <t>Выполнение плана (%)</t>
  </si>
  <si>
    <t>Фёдорова Н</t>
  </si>
  <si>
    <t>Багланова Т</t>
  </si>
  <si>
    <t>Соболев М</t>
  </si>
  <si>
    <t>Федосеев М</t>
  </si>
  <si>
    <t>Успешные сделки 83шт</t>
  </si>
  <si>
    <t xml:space="preserve">в отвале 141 шт </t>
  </si>
  <si>
    <t>Названия строк</t>
  </si>
  <si>
    <t>Сумма по полю Количество</t>
  </si>
  <si>
    <t>Возврат документов</t>
  </si>
  <si>
    <t>Задача/ЛПР/Бюджет/Сроки</t>
  </si>
  <si>
    <t>Заказать</t>
  </si>
  <si>
    <t>Контроль оплаты</t>
  </si>
  <si>
    <t>Контроль сделки</t>
  </si>
  <si>
    <t>Необработанные</t>
  </si>
  <si>
    <t>Обсуждение сделки</t>
  </si>
  <si>
    <t>Оплачено</t>
  </si>
  <si>
    <t>Отгрузка/Оформление в сервисе</t>
  </si>
  <si>
    <t>Отправить КП/cчёт</t>
  </si>
  <si>
    <t>Отправить счет / договор</t>
  </si>
  <si>
    <t>Отправить счет/договор</t>
  </si>
  <si>
    <t>Оформить подписку / отгрузка</t>
  </si>
  <si>
    <t>Подготовка КП</t>
  </si>
  <si>
    <t>Презентация</t>
  </si>
  <si>
    <t>Уточнить потребности</t>
  </si>
  <si>
    <t>Уточнить потребности / Дать тест. доступ</t>
  </si>
  <si>
    <t>Общий итог</t>
  </si>
  <si>
    <t>188 сделок в работе по Б24</t>
  </si>
  <si>
    <t xml:space="preserve">Конверсия из лида в сделку </t>
  </si>
  <si>
    <t xml:space="preserve">Конверсия из сделки в оплату </t>
  </si>
  <si>
    <t>Ожидаем 2 оплаты</t>
  </si>
  <si>
    <t xml:space="preserve">Дата создания </t>
  </si>
  <si>
    <t xml:space="preserve">Дата первого контакта МПП </t>
  </si>
  <si>
    <t>Ожидаем  оплаты</t>
  </si>
  <si>
    <t xml:space="preserve">6 сделок </t>
  </si>
  <si>
    <t xml:space="preserve">2 оплаты на 19 500 </t>
  </si>
  <si>
    <t>2 оплаты на 58 800</t>
  </si>
  <si>
    <t>1 из 9 — 11,1%</t>
  </si>
  <si>
    <t>2 оплаты на 5400</t>
  </si>
  <si>
    <t xml:space="preserve">Валидность </t>
  </si>
  <si>
    <t>8 из 11</t>
  </si>
  <si>
    <t>Валидность</t>
  </si>
  <si>
    <t xml:space="preserve">13 из 14 </t>
  </si>
  <si>
    <t>18 из 24</t>
  </si>
  <si>
    <t xml:space="preserve">7 из 7 </t>
  </si>
  <si>
    <t xml:space="preserve">	
268409</t>
  </si>
  <si>
    <t xml:space="preserve">оценка готовности к покупке </t>
  </si>
  <si>
    <t xml:space="preserve">Время создания </t>
  </si>
  <si>
    <t>Стадия лида</t>
  </si>
  <si>
    <t xml:space="preserve">Время взятия в работу  </t>
  </si>
  <si>
    <t xml:space="preserve">есть ли сделка </t>
  </si>
  <si>
    <t xml:space="preserve">источник </t>
  </si>
  <si>
    <t xml:space="preserve">сайт ИТС </t>
  </si>
  <si>
    <t xml:space="preserve">вход.звонок </t>
  </si>
  <si>
    <t>Комментарии</t>
  </si>
  <si>
    <t>автозабраковка</t>
  </si>
  <si>
    <t xml:space="preserve">хотели восстановить текущую 1С, покупали не у нас </t>
  </si>
  <si>
    <t xml:space="preserve">	
268363</t>
  </si>
  <si>
    <t>автозабраковка (повторный лид)</t>
  </si>
  <si>
    <t>письмо на почту срм форус, актуальная сделка https://crm.forus.ru/crm/deal/details/317388/</t>
  </si>
  <si>
    <t>Квиз УНФ</t>
  </si>
  <si>
    <t>ошибочно оставили заявка</t>
  </si>
  <si>
    <t xml:space="preserve">не заинтересовало наше предложение </t>
  </si>
  <si>
    <t xml:space="preserve">Входящий звонок </t>
  </si>
  <si>
    <t xml:space="preserve">автозабраковка, покупка текущая </t>
  </si>
  <si>
    <t xml:space="preserve">	
268317</t>
  </si>
  <si>
    <t>клиент Максима Федосеева, уже покупали ранее у нас , отработала</t>
  </si>
  <si>
    <t>оплата</t>
  </si>
  <si>
    <t>отправили кп</t>
  </si>
  <si>
    <t>CRM-форма</t>
  </si>
  <si>
    <t xml:space="preserve">лид сконвертирован </t>
  </si>
  <si>
    <t xml:space="preserve">продажа лицензий 1с </t>
  </si>
  <si>
    <t xml:space="preserve">	
268248</t>
  </si>
  <si>
    <t>нужно создать сделку, просили счет на лицензии фитнес</t>
  </si>
  <si>
    <t>Являются партнерами 1С. Нужно было проконсультировать оформления апгрейда как партнера. Продиктовала номер телефона ЦРД</t>
  </si>
  <si>
    <t>автозабраковка/общие вопросы</t>
  </si>
  <si>
    <t xml:space="preserve">автозабраковка /обращение поставщика </t>
  </si>
  <si>
    <t xml:space="preserve">	
268195</t>
  </si>
  <si>
    <t xml:space="preserve">
10:34</t>
  </si>
  <si>
    <t xml:space="preserve">НДЗ более 3х раз </t>
  </si>
  <si>
    <t>вопрос по ТО(ТСД) , бюджет до 35 тыс</t>
  </si>
  <si>
    <t xml:space="preserve">новое обращение </t>
  </si>
  <si>
    <t xml:space="preserve">не взяли в работу </t>
  </si>
  <si>
    <t xml:space="preserve">квиз УНФ </t>
  </si>
  <si>
    <t xml:space="preserve">квиз был на Максе С , он не взял в работу вчера, сегодня перевела на Вадима </t>
  </si>
  <si>
    <t>Из сделки в оплату</t>
  </si>
  <si>
    <t xml:space="preserve">Наблюдения : </t>
  </si>
  <si>
    <r>
      <t>часовой пояс наш (есть денег на Урале,</t>
    </r>
    <r>
      <rPr>
        <b/>
        <sz val="11"/>
        <color theme="1"/>
        <rFont val="Calibri"/>
        <family val="2"/>
        <charset val="204"/>
        <scheme val="minor"/>
      </rPr>
      <t xml:space="preserve"> Дальнем Восток</t>
    </r>
    <r>
      <rPr>
        <sz val="11"/>
        <color theme="1"/>
        <rFont val="Calibri"/>
        <family val="2"/>
        <scheme val="minor"/>
      </rPr>
      <t xml:space="preserve">, Камчатка, </t>
    </r>
    <r>
      <rPr>
        <b/>
        <sz val="11"/>
        <color theme="1"/>
        <rFont val="Calibri"/>
        <family val="2"/>
        <charset val="204"/>
        <scheme val="minor"/>
      </rPr>
      <t>Красноярск, Новосиб</t>
    </r>
    <r>
      <rPr>
        <sz val="11"/>
        <color theme="1"/>
        <rFont val="Calibri"/>
        <family val="2"/>
        <scheme val="minor"/>
      </rPr>
      <t>)</t>
    </r>
  </si>
  <si>
    <t xml:space="preserve">Нет денег: Омск(общение с клиентами, до 50 тыс нет), Удмуртия (Ижевск), Бурятия, Улан-Удэ, Забайкальский край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</si>
</sst>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₽&quot;;[Red]\-#,##0.00\ &quot;₽&quot;"/>
    <numFmt numFmtId="44" formatCode="_-* #,##0.00\ &quot;₽&quot;_-;\-* #,##0.00\ &quot;₽&quot;_-;_-* &quot;-&quot;??\ &quot;₽&quot;_-;_-@_-"/>
    <numFmt numFmtId="164" formatCode="#,##0.00\ &quot;₽&quot;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00000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sz val="14"/>
      <color theme="1"/>
      <name val="Arial"/>
      <family val="2"/>
      <charset val="204"/>
    </font>
  </fonts>
  <fills count="1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theme="7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98">
    <xf numFmtId="0" fontId="0" fillId="0" borderId="0" xfId="0"/>
    <xf numFmtId="0" fontId="6" fillId="0" borderId="1" xfId="0" applyFont="1" applyBorder="1" applyAlignment="1">
      <alignment horizontal="center" vertical="top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Fill="1" applyBorder="1"/>
    <xf numFmtId="0" fontId="6" fillId="0" borderId="1" xfId="0" applyFont="1" applyBorder="1" applyAlignment="1">
      <alignment horizontal="center" vertical="top" wrapText="1"/>
    </xf>
    <xf numFmtId="0" fontId="8" fillId="0" borderId="0" xfId="0" applyFont="1"/>
    <xf numFmtId="0" fontId="5" fillId="0" borderId="0" xfId="0" applyFont="1"/>
    <xf numFmtId="0" fontId="9" fillId="0" borderId="1" xfId="0" applyFont="1" applyFill="1" applyBorder="1"/>
    <xf numFmtId="0" fontId="5" fillId="0" borderId="1" xfId="0" applyFont="1" applyBorder="1"/>
    <xf numFmtId="0" fontId="9" fillId="0" borderId="3" xfId="0" applyFont="1" applyBorder="1"/>
    <xf numFmtId="0" fontId="9" fillId="0" borderId="1" xfId="0" applyFont="1" applyBorder="1"/>
    <xf numFmtId="0" fontId="5" fillId="0" borderId="4" xfId="0" applyFont="1" applyBorder="1"/>
    <xf numFmtId="0" fontId="0" fillId="0" borderId="7" xfId="0" applyBorder="1"/>
    <xf numFmtId="0" fontId="9" fillId="2" borderId="1" xfId="0" applyFont="1" applyFill="1" applyBorder="1"/>
    <xf numFmtId="8" fontId="9" fillId="0" borderId="1" xfId="0" applyNumberFormat="1" applyFont="1" applyBorder="1"/>
    <xf numFmtId="0" fontId="9" fillId="0" borderId="9" xfId="0" applyFont="1" applyBorder="1"/>
    <xf numFmtId="0" fontId="9" fillId="2" borderId="2" xfId="0" applyFont="1" applyFill="1" applyBorder="1"/>
    <xf numFmtId="8" fontId="9" fillId="0" borderId="2" xfId="0" applyNumberFormat="1" applyFont="1" applyBorder="1"/>
    <xf numFmtId="0" fontId="9" fillId="0" borderId="2" xfId="0" applyFont="1" applyBorder="1"/>
    <xf numFmtId="0" fontId="5" fillId="2" borderId="1" xfId="0" applyFont="1" applyFill="1" applyBorder="1"/>
    <xf numFmtId="0" fontId="10" fillId="0" borderId="1" xfId="0" applyFont="1" applyBorder="1" applyAlignment="1">
      <alignment horizontal="center" vertical="top"/>
    </xf>
    <xf numFmtId="164" fontId="5" fillId="0" borderId="2" xfId="0" applyNumberFormat="1" applyFont="1" applyBorder="1"/>
    <xf numFmtId="9" fontId="9" fillId="0" borderId="1" xfId="1" applyFont="1" applyBorder="1"/>
    <xf numFmtId="9" fontId="9" fillId="0" borderId="1" xfId="1" applyFont="1" applyBorder="1" applyAlignment="1">
      <alignment wrapText="1"/>
    </xf>
    <xf numFmtId="164" fontId="5" fillId="0" borderId="1" xfId="0" applyNumberFormat="1" applyFont="1" applyBorder="1"/>
    <xf numFmtId="9" fontId="9" fillId="0" borderId="9" xfId="1" applyFont="1" applyBorder="1"/>
    <xf numFmtId="164" fontId="0" fillId="0" borderId="7" xfId="0" applyNumberFormat="1" applyBorder="1"/>
    <xf numFmtId="164" fontId="0" fillId="0" borderId="0" xfId="0" applyNumberFormat="1"/>
    <xf numFmtId="9" fontId="9" fillId="0" borderId="2" xfId="1" applyFont="1" applyBorder="1"/>
    <xf numFmtId="9" fontId="5" fillId="0" borderId="1" xfId="1" applyFont="1" applyBorder="1"/>
    <xf numFmtId="0" fontId="0" fillId="0" borderId="1" xfId="0" applyBorder="1" applyAlignment="1">
      <alignment horizontal="center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0" fontId="0" fillId="2" borderId="1" xfId="0" applyFill="1" applyBorder="1"/>
    <xf numFmtId="0" fontId="6" fillId="2" borderId="9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10" fillId="2" borderId="3" xfId="0" applyFont="1" applyFill="1" applyBorder="1" applyAlignment="1">
      <alignment horizontal="center" vertical="top"/>
    </xf>
    <xf numFmtId="0" fontId="10" fillId="2" borderId="3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8" xfId="0" applyFont="1" applyFill="1" applyBorder="1" applyAlignment="1">
      <alignment horizontal="center" vertical="top" wrapText="1"/>
    </xf>
    <xf numFmtId="0" fontId="0" fillId="2" borderId="2" xfId="0" applyFill="1" applyBorder="1"/>
    <xf numFmtId="0" fontId="0" fillId="2" borderId="1" xfId="0" applyFill="1" applyBorder="1" applyAlignment="1">
      <alignment wrapText="1"/>
    </xf>
    <xf numFmtId="164" fontId="0" fillId="2" borderId="1" xfId="0" applyNumberFormat="1" applyFill="1" applyBorder="1" applyAlignment="1">
      <alignment wrapText="1"/>
    </xf>
    <xf numFmtId="164" fontId="0" fillId="2" borderId="1" xfId="0" applyNumberFormat="1" applyFill="1" applyBorder="1"/>
    <xf numFmtId="0" fontId="0" fillId="2" borderId="11" xfId="0" applyFill="1" applyBorder="1"/>
    <xf numFmtId="0" fontId="0" fillId="2" borderId="6" xfId="0" applyFill="1" applyBorder="1"/>
    <xf numFmtId="0" fontId="0" fillId="2" borderId="12" xfId="0" applyFill="1" applyBorder="1" applyAlignment="1">
      <alignment wrapText="1"/>
    </xf>
    <xf numFmtId="0" fontId="0" fillId="2" borderId="12" xfId="0" applyFill="1" applyBorder="1"/>
    <xf numFmtId="0" fontId="0" fillId="2" borderId="5" xfId="0" applyFill="1" applyBorder="1"/>
    <xf numFmtId="0" fontId="0" fillId="3" borderId="1" xfId="0" applyFill="1" applyBorder="1" applyAlignment="1">
      <alignment wrapText="1"/>
    </xf>
    <xf numFmtId="164" fontId="0" fillId="3" borderId="1" xfId="0" applyNumberFormat="1" applyFill="1" applyBorder="1" applyAlignment="1">
      <alignment wrapText="1"/>
    </xf>
    <xf numFmtId="164" fontId="0" fillId="3" borderId="1" xfId="0" applyNumberFormat="1" applyFill="1" applyBorder="1"/>
    <xf numFmtId="0" fontId="0" fillId="3" borderId="1" xfId="0" applyFill="1" applyBorder="1"/>
    <xf numFmtId="0" fontId="0" fillId="3" borderId="11" xfId="0" applyFill="1" applyBorder="1"/>
    <xf numFmtId="164" fontId="0" fillId="2" borderId="12" xfId="0" applyNumberFormat="1" applyFill="1" applyBorder="1"/>
    <xf numFmtId="9" fontId="0" fillId="2" borderId="1" xfId="0" applyNumberFormat="1" applyFill="1" applyBorder="1"/>
    <xf numFmtId="9" fontId="0" fillId="3" borderId="1" xfId="0" applyNumberFormat="1" applyFill="1" applyBorder="1"/>
    <xf numFmtId="9" fontId="0" fillId="2" borderId="12" xfId="0" applyNumberFormat="1" applyFill="1" applyBorder="1"/>
    <xf numFmtId="9" fontId="0" fillId="2" borderId="1" xfId="1" applyFont="1" applyFill="1" applyBorder="1"/>
    <xf numFmtId="0" fontId="8" fillId="0" borderId="0" xfId="0" applyFont="1" applyAlignment="1">
      <alignment wrapText="1"/>
    </xf>
    <xf numFmtId="0" fontId="9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9" fontId="0" fillId="0" borderId="1" xfId="1" applyFont="1" applyBorder="1"/>
    <xf numFmtId="9" fontId="0" fillId="0" borderId="1" xfId="0" applyNumberFormat="1" applyBorder="1"/>
    <xf numFmtId="9" fontId="0" fillId="0" borderId="0" xfId="0" applyNumberFormat="1"/>
    <xf numFmtId="0" fontId="14" fillId="0" borderId="1" xfId="0" applyFont="1" applyFill="1" applyBorder="1"/>
    <xf numFmtId="0" fontId="14" fillId="0" borderId="1" xfId="0" applyFont="1" applyFill="1" applyBorder="1" applyAlignment="1">
      <alignment wrapText="1"/>
    </xf>
    <xf numFmtId="0" fontId="0" fillId="4" borderId="1" xfId="0" applyFill="1" applyBorder="1"/>
    <xf numFmtId="0" fontId="15" fillId="0" borderId="0" xfId="0" applyFont="1"/>
    <xf numFmtId="0" fontId="0" fillId="5" borderId="1" xfId="0" applyFill="1" applyBorder="1"/>
    <xf numFmtId="10" fontId="16" fillId="5" borderId="0" xfId="0" applyNumberFormat="1" applyFont="1" applyFill="1"/>
    <xf numFmtId="14" fontId="5" fillId="0" borderId="0" xfId="0" applyNumberFormat="1" applyFont="1"/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10" fontId="17" fillId="6" borderId="1" xfId="0" applyNumberFormat="1" applyFont="1" applyFill="1" applyBorder="1"/>
    <xf numFmtId="17" fontId="17" fillId="6" borderId="1" xfId="0" applyNumberFormat="1" applyFont="1" applyFill="1" applyBorder="1"/>
    <xf numFmtId="0" fontId="8" fillId="0" borderId="1" xfId="0" applyFont="1" applyBorder="1"/>
    <xf numFmtId="0" fontId="4" fillId="0" borderId="1" xfId="0" applyFont="1" applyBorder="1" applyAlignment="1">
      <alignment wrapText="1"/>
    </xf>
    <xf numFmtId="0" fontId="8" fillId="0" borderId="0" xfId="0" applyFont="1" applyAlignment="1">
      <alignment horizontal="left" vertical="top" wrapText="1"/>
    </xf>
    <xf numFmtId="10" fontId="16" fillId="5" borderId="0" xfId="0" applyNumberFormat="1" applyFont="1" applyFill="1" applyAlignment="1">
      <alignment horizontal="left" vertical="top"/>
    </xf>
    <xf numFmtId="14" fontId="4" fillId="5" borderId="0" xfId="0" applyNumberFormat="1" applyFont="1" applyFill="1" applyAlignment="1">
      <alignment horizontal="left" vertical="top"/>
    </xf>
    <xf numFmtId="0" fontId="5" fillId="0" borderId="0" xfId="0" applyFont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10" fontId="17" fillId="6" borderId="1" xfId="0" applyNumberFormat="1" applyFont="1" applyFill="1" applyBorder="1" applyAlignment="1">
      <alignment horizontal="left" vertical="top"/>
    </xf>
    <xf numFmtId="17" fontId="17" fillId="6" borderId="1" xfId="0" applyNumberFormat="1" applyFont="1" applyFill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0" fontId="16" fillId="7" borderId="0" xfId="0" applyNumberFormat="1" applyFont="1" applyFill="1" applyAlignment="1">
      <alignment horizontal="left" vertical="top"/>
    </xf>
    <xf numFmtId="14" fontId="3" fillId="7" borderId="0" xfId="0" applyNumberFormat="1" applyFont="1" applyFill="1" applyAlignment="1">
      <alignment horizontal="left" vertical="top"/>
    </xf>
    <xf numFmtId="0" fontId="0" fillId="8" borderId="1" xfId="0" applyFill="1" applyBorder="1" applyAlignment="1">
      <alignment horizontal="left" vertical="top"/>
    </xf>
    <xf numFmtId="0" fontId="4" fillId="8" borderId="1" xfId="0" applyFont="1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left" vertical="top" wrapText="1"/>
    </xf>
    <xf numFmtId="0" fontId="3" fillId="7" borderId="0" xfId="0" applyFont="1" applyFill="1" applyAlignment="1">
      <alignment horizontal="left" vertical="top"/>
    </xf>
    <xf numFmtId="0" fontId="3" fillId="9" borderId="0" xfId="0" applyFont="1" applyFill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0" fontId="0" fillId="7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/>
    </xf>
    <xf numFmtId="164" fontId="0" fillId="7" borderId="1" xfId="0" applyNumberFormat="1" applyFill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 wrapText="1"/>
    </xf>
    <xf numFmtId="0" fontId="8" fillId="0" borderId="1" xfId="0" applyFont="1" applyFill="1" applyBorder="1"/>
    <xf numFmtId="164" fontId="0" fillId="0" borderId="1" xfId="0" applyNumberFormat="1" applyBorder="1"/>
    <xf numFmtId="0" fontId="2" fillId="10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22" fontId="18" fillId="0" borderId="14" xfId="0" applyNumberFormat="1" applyFont="1" applyBorder="1" applyAlignment="1">
      <alignment horizontal="right" wrapText="1"/>
    </xf>
    <xf numFmtId="0" fontId="8" fillId="11" borderId="0" xfId="0" applyFont="1" applyFill="1"/>
    <xf numFmtId="0" fontId="8" fillId="11" borderId="0" xfId="0" applyFont="1" applyFill="1" applyAlignment="1">
      <alignment wrapText="1"/>
    </xf>
    <xf numFmtId="0" fontId="18" fillId="0" borderId="14" xfId="0" applyFont="1" applyBorder="1" applyAlignment="1">
      <alignment wrapText="1"/>
    </xf>
    <xf numFmtId="22" fontId="18" fillId="11" borderId="14" xfId="0" applyNumberFormat="1" applyFont="1" applyFill="1" applyBorder="1" applyAlignment="1">
      <alignment horizontal="right" wrapText="1"/>
    </xf>
    <xf numFmtId="0" fontId="19" fillId="12" borderId="15" xfId="0" applyFont="1" applyFill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9" fontId="20" fillId="0" borderId="15" xfId="0" applyNumberFormat="1" applyFont="1" applyBorder="1" applyAlignment="1">
      <alignment horizontal="left" vertical="center" wrapText="1"/>
    </xf>
    <xf numFmtId="10" fontId="19" fillId="0" borderId="15" xfId="0" applyNumberFormat="1" applyFont="1" applyBorder="1" applyAlignment="1">
      <alignment horizontal="left" vertical="center" wrapText="1"/>
    </xf>
    <xf numFmtId="10" fontId="20" fillId="0" borderId="15" xfId="0" applyNumberFormat="1" applyFont="1" applyBorder="1" applyAlignment="1">
      <alignment horizontal="left" vertical="center" wrapText="1"/>
    </xf>
    <xf numFmtId="9" fontId="19" fillId="0" borderId="15" xfId="0" applyNumberFormat="1" applyFont="1" applyBorder="1" applyAlignment="1">
      <alignment horizontal="left" vertical="center" wrapText="1"/>
    </xf>
    <xf numFmtId="0" fontId="20" fillId="11" borderId="0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9" fillId="3" borderId="15" xfId="0" applyFont="1" applyFill="1" applyBorder="1" applyAlignment="1">
      <alignment horizontal="left" vertical="center" wrapText="1"/>
    </xf>
    <xf numFmtId="10" fontId="0" fillId="0" borderId="1" xfId="0" applyNumberFormat="1" applyBorder="1"/>
    <xf numFmtId="0" fontId="0" fillId="6" borderId="1" xfId="0" applyFill="1" applyBorder="1" applyAlignment="1">
      <alignment wrapText="1"/>
    </xf>
    <xf numFmtId="9" fontId="0" fillId="6" borderId="1" xfId="0" applyNumberFormat="1" applyFill="1" applyBorder="1"/>
    <xf numFmtId="44" fontId="0" fillId="0" borderId="1" xfId="0" applyNumberFormat="1" applyBorder="1"/>
    <xf numFmtId="0" fontId="21" fillId="13" borderId="16" xfId="0" applyFont="1" applyFill="1" applyBorder="1" applyAlignment="1">
      <alignment wrapText="1"/>
    </xf>
    <xf numFmtId="0" fontId="21" fillId="13" borderId="17" xfId="0" applyFont="1" applyFill="1" applyBorder="1" applyAlignment="1">
      <alignment wrapText="1"/>
    </xf>
    <xf numFmtId="0" fontId="22" fillId="14" borderId="18" xfId="0" applyFont="1" applyFill="1" applyBorder="1" applyAlignment="1">
      <alignment wrapText="1"/>
    </xf>
    <xf numFmtId="0" fontId="22" fillId="14" borderId="19" xfId="0" applyFont="1" applyFill="1" applyBorder="1" applyAlignment="1">
      <alignment horizontal="right" wrapText="1"/>
    </xf>
    <xf numFmtId="10" fontId="22" fillId="14" borderId="19" xfId="0" applyNumberFormat="1" applyFont="1" applyFill="1" applyBorder="1" applyAlignment="1">
      <alignment horizontal="right" wrapText="1"/>
    </xf>
    <xf numFmtId="0" fontId="22" fillId="0" borderId="19" xfId="0" applyFont="1" applyBorder="1" applyAlignment="1">
      <alignment horizontal="right" wrapText="1"/>
    </xf>
    <xf numFmtId="0" fontId="22" fillId="15" borderId="18" xfId="0" applyFont="1" applyFill="1" applyBorder="1" applyAlignment="1">
      <alignment wrapText="1"/>
    </xf>
    <xf numFmtId="0" fontId="22" fillId="15" borderId="19" xfId="0" applyFont="1" applyFill="1" applyBorder="1" applyAlignment="1">
      <alignment horizontal="right" wrapText="1"/>
    </xf>
    <xf numFmtId="0" fontId="22" fillId="16" borderId="19" xfId="0" applyFont="1" applyFill="1" applyBorder="1" applyAlignment="1">
      <alignment horizontal="right" wrapText="1"/>
    </xf>
    <xf numFmtId="10" fontId="22" fillId="17" borderId="19" xfId="0" applyNumberFormat="1" applyFont="1" applyFill="1" applyBorder="1" applyAlignment="1">
      <alignment horizontal="right" wrapText="1"/>
    </xf>
    <xf numFmtId="17" fontId="0" fillId="0" borderId="0" xfId="0" applyNumberFormat="1"/>
    <xf numFmtId="17" fontId="8" fillId="0" borderId="0" xfId="0" applyNumberFormat="1" applyFont="1"/>
    <xf numFmtId="14" fontId="1" fillId="5" borderId="0" xfId="0" applyNumberFormat="1" applyFont="1" applyFill="1" applyAlignment="1">
      <alignment horizontal="left" vertical="top"/>
    </xf>
    <xf numFmtId="0" fontId="1" fillId="7" borderId="0" xfId="0" applyFont="1" applyFill="1" applyAlignment="1">
      <alignment horizontal="left" vertical="top"/>
    </xf>
    <xf numFmtId="0" fontId="1" fillId="10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1" xfId="0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NumberFormat="1" applyBorder="1" applyAlignment="1">
      <alignment horizontal="center"/>
    </xf>
    <xf numFmtId="0" fontId="0" fillId="0" borderId="13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6" borderId="1" xfId="0" applyNumberFormat="1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2" xfId="0" applyBorder="1" applyAlignment="1">
      <alignment horizontal="right"/>
    </xf>
    <xf numFmtId="0" fontId="0" fillId="0" borderId="3" xfId="0" applyBorder="1" applyAlignment="1">
      <alignment horizontal="right"/>
    </xf>
    <xf numFmtId="0" fontId="19" fillId="12" borderId="20" xfId="0" applyFont="1" applyFill="1" applyBorder="1" applyAlignment="1">
      <alignment horizontal="left" vertical="center" wrapText="1"/>
    </xf>
    <xf numFmtId="0" fontId="20" fillId="0" borderId="20" xfId="0" applyFont="1" applyBorder="1" applyAlignment="1">
      <alignment horizontal="left" vertical="center" wrapText="1"/>
    </xf>
    <xf numFmtId="0" fontId="8" fillId="11" borderId="1" xfId="0" applyFont="1" applyFill="1" applyBorder="1"/>
    <xf numFmtId="0" fontId="8" fillId="11" borderId="1" xfId="0" applyFont="1" applyFill="1" applyBorder="1" applyAlignment="1">
      <alignment wrapText="1"/>
    </xf>
    <xf numFmtId="22" fontId="18" fillId="0" borderId="1" xfId="0" applyNumberFormat="1" applyFont="1" applyBorder="1" applyAlignment="1">
      <alignment horizontal="right" wrapText="1"/>
    </xf>
    <xf numFmtId="22" fontId="0" fillId="0" borderId="1" xfId="0" applyNumberFormat="1" applyBorder="1"/>
    <xf numFmtId="0" fontId="0" fillId="11" borderId="1" xfId="0" applyFill="1" applyBorder="1" applyAlignment="1">
      <alignment wrapText="1"/>
    </xf>
    <xf numFmtId="9" fontId="0" fillId="11" borderId="1" xfId="0" applyNumberFormat="1" applyFill="1" applyBorder="1"/>
    <xf numFmtId="0" fontId="0" fillId="7" borderId="1" xfId="0" applyFill="1" applyBorder="1" applyAlignment="1">
      <alignment wrapText="1"/>
    </xf>
    <xf numFmtId="9" fontId="0" fillId="7" borderId="1" xfId="1" applyFont="1" applyFill="1" applyBorder="1"/>
    <xf numFmtId="22" fontId="18" fillId="0" borderId="1" xfId="0" applyNumberFormat="1" applyFont="1" applyBorder="1" applyAlignment="1">
      <alignment horizontal="left" wrapText="1"/>
    </xf>
    <xf numFmtId="0" fontId="18" fillId="0" borderId="1" xfId="0" applyFont="1" applyBorder="1" applyAlignment="1">
      <alignment horizontal="left" wrapText="1"/>
    </xf>
    <xf numFmtId="22" fontId="18" fillId="6" borderId="1" xfId="0" applyNumberFormat="1" applyFont="1" applyFill="1" applyBorder="1" applyAlignment="1">
      <alignment horizontal="left" wrapText="1"/>
    </xf>
    <xf numFmtId="0" fontId="8" fillId="11" borderId="1" xfId="0" applyFont="1" applyFill="1" applyBorder="1" applyAlignment="1">
      <alignment vertical="center"/>
    </xf>
    <xf numFmtId="0" fontId="8" fillId="11" borderId="1" xfId="0" applyFont="1" applyFill="1" applyBorder="1" applyAlignment="1">
      <alignment vertical="center" wrapText="1"/>
    </xf>
    <xf numFmtId="22" fontId="18" fillId="0" borderId="0" xfId="0" applyNumberFormat="1" applyFont="1" applyBorder="1" applyAlignment="1">
      <alignment horizontal="right" wrapText="1"/>
    </xf>
    <xf numFmtId="0" fontId="0" fillId="6" borderId="1" xfId="0" applyFill="1" applyBorder="1"/>
    <xf numFmtId="164" fontId="0" fillId="6" borderId="1" xfId="0" applyNumberFormat="1" applyFill="1" applyBorder="1"/>
    <xf numFmtId="0" fontId="19" fillId="6" borderId="15" xfId="0" applyFont="1" applyFill="1" applyBorder="1" applyAlignment="1">
      <alignment horizontal="left" vertical="center" wrapText="1"/>
    </xf>
    <xf numFmtId="16" fontId="0" fillId="0" borderId="0" xfId="0" applyNumberFormat="1"/>
    <xf numFmtId="16" fontId="0" fillId="0" borderId="1" xfId="0" applyNumberFormat="1" applyBorder="1"/>
    <xf numFmtId="20" fontId="0" fillId="0" borderId="1" xfId="0" applyNumberFormat="1" applyBorder="1"/>
    <xf numFmtId="9" fontId="8" fillId="0" borderId="12" xfId="1" applyFont="1" applyBorder="1" applyAlignment="1">
      <alignment horizontal="center" vertical="center"/>
    </xf>
    <xf numFmtId="9" fontId="8" fillId="0" borderId="13" xfId="1" applyFont="1" applyBorder="1" applyAlignment="1">
      <alignment horizontal="center" vertical="center"/>
    </xf>
    <xf numFmtId="9" fontId="8" fillId="0" borderId="3" xfId="1" applyFont="1" applyBorder="1" applyAlignment="1">
      <alignment horizontal="center" vertical="center"/>
    </xf>
    <xf numFmtId="0" fontId="8" fillId="3" borderId="1" xfId="0" applyFont="1" applyFill="1" applyBorder="1" applyAlignment="1">
      <alignment vertical="top"/>
    </xf>
    <xf numFmtId="0" fontId="8" fillId="3" borderId="1" xfId="0" applyFont="1" applyFill="1" applyBorder="1" applyAlignment="1">
      <alignment vertical="top" wrapText="1"/>
    </xf>
    <xf numFmtId="0" fontId="0" fillId="6" borderId="1" xfId="0" applyFill="1" applyBorder="1" applyAlignment="1">
      <alignment horizontal="left" vertical="top"/>
    </xf>
    <xf numFmtId="0" fontId="4" fillId="6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left" vertical="top" wrapText="1"/>
    </xf>
    <xf numFmtId="0" fontId="0" fillId="18" borderId="1" xfId="0" applyFill="1" applyBorder="1"/>
  </cellXfs>
  <cellStyles count="2">
    <cellStyle name="Обычный" xfId="0" builtinId="0"/>
    <cellStyle name="Процентный" xfId="1" builtinId="5"/>
  </cellStyles>
  <dxfs count="15">
    <dxf>
      <fill>
        <patternFill>
          <fgColor indexed="64"/>
          <bgColor theme="5" tint="0.79998168889431442"/>
        </patternFill>
      </fill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>
          <fgColor indexed="64"/>
          <bgColor theme="5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theme="5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theme="5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theme="5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3" formatCode="0%"/>
      <fill>
        <patternFill>
          <fgColor indexed="64"/>
          <bgColor theme="5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4" formatCode="#,##0.00\ &quot;₽&quot;"/>
      <fill>
        <patternFill>
          <fgColor indexed="64"/>
          <bgColor theme="5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4" formatCode="#,##0.00\ &quot;₽&quot;"/>
      <fill>
        <patternFill>
          <fgColor indexed="64"/>
          <bgColor theme="5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theme="5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theme="5" tint="0.79998168889431442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theme="5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>
          <fgColor indexed="64"/>
          <bgColor theme="5" tint="0.79998168889431442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esavinskaia/Downloads/DEAL_20260902_207389e6_6a97f2ebc9d24.xls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авинская Евгения" refreshedDate="46267.748222800925" createdVersion="8" refreshedVersion="8" minRefreshableVersion="3" recordCount="207" xr:uid="{00EDEB77-58B3-4CC5-A458-9A3405A2C339}">
  <cacheSource type="worksheet">
    <worksheetSource ref="A1:SQ208" sheet="DEAL_20260902_207389e6_6a97f2eb" r:id="rId2"/>
  </cacheSource>
  <cacheFields count="511">
    <cacheField name="ID" numFmtId="0">
      <sharedItems containsSemiMixedTypes="0" containsString="0" containsNumber="1" containsInteger="1" minValue="315294" maxValue="320462"/>
    </cacheField>
    <cacheField name="Воронка" numFmtId="0">
      <sharedItems/>
    </cacheField>
    <cacheField name="Повторная сделка" numFmtId="0">
      <sharedItems/>
    </cacheField>
    <cacheField name="Повторное обращение" numFmtId="0">
      <sharedItems/>
    </cacheField>
    <cacheField name="Стадия сделки" numFmtId="0">
      <sharedItems count="17">
        <s v="Контроль сделки"/>
        <s v="Отправить счет/договор"/>
        <s v="Оформить подписку / отгрузка"/>
        <s v="Контроль оплаты"/>
        <s v="Необработанные"/>
        <s v="Заказать"/>
        <s v="Уточнить потребности / Дать тест. доступ"/>
        <s v="Оплачено"/>
        <s v="Уточнить потребности"/>
        <s v="Отправить счет / договор"/>
        <s v="Отправить КП/cчёт"/>
        <s v="Задача/ЛПР/Бюджет/Сроки"/>
        <s v="Обсуждение сделки"/>
        <s v="Отгрузка/Оформление в сервисе"/>
        <s v="Подготовка КП"/>
        <s v="Возврат документов"/>
        <s v="Презентация"/>
      </sharedItems>
    </cacheField>
    <cacheField name="Предыдущая стадия" numFmtId="0">
      <sharedItems containsNonDate="0" containsString="0" containsBlank="1"/>
    </cacheField>
    <cacheField name="Наблюдатели" numFmtId="0">
      <sharedItems containsBlank="1"/>
    </cacheField>
    <cacheField name="Вероятность" numFmtId="0">
      <sharedItems containsNonDate="0" containsString="0" containsBlank="1"/>
    </cacheField>
    <cacheField name="Статус оплаты" numFmtId="0">
      <sharedItems containsNonDate="0" containsString="0" containsBlank="1"/>
    </cacheField>
    <cacheField name="Статус доставки" numFmtId="0">
      <sharedItems containsNonDate="0" containsString="0" containsBlank="1"/>
    </cacheField>
    <cacheField name="Ответственный" numFmtId="0">
      <sharedItems/>
    </cacheField>
    <cacheField name="Привязка" numFmtId="0">
      <sharedItems containsBlank="1"/>
    </cacheField>
    <cacheField name="Название сделки" numFmtId="0">
      <sharedItems/>
    </cacheField>
    <cacheField name="Тип" numFmtId="0">
      <sharedItems/>
    </cacheField>
    <cacheField name="Источник" numFmtId="0">
      <sharedItems/>
    </cacheField>
    <cacheField name="Дополнительно об источнике" numFmtId="0">
      <sharedItems containsBlank="1"/>
    </cacheField>
    <cacheField name="Сумма" numFmtId="0">
      <sharedItems containsMixedTypes="1" containsNumber="1" containsInteger="1" minValue="850" maxValue="527200"/>
    </cacheField>
    <cacheField name="Валюта" numFmtId="0">
      <sharedItems/>
    </cacheField>
    <cacheField name="Компания" numFmtId="0">
      <sharedItems containsBlank="1"/>
    </cacheField>
    <cacheField name="Контакт" numFmtId="0">
      <sharedItems containsBlank="1"/>
    </cacheField>
    <cacheField name="Реквизиты вашей компании" numFmtId="0">
      <sharedItems containsNonDate="0" containsString="0" containsBlank="1"/>
    </cacheField>
    <cacheField name="Сделка закрыта" numFmtId="0">
      <sharedItems/>
    </cacheField>
    <cacheField name="Дата создания" numFmtId="22">
      <sharedItems containsSemiMixedTypes="0" containsNonDate="0" containsDate="1" containsString="0" minDate="2026-08-01T00:01:30" maxDate="2026-08-31T16:16:44"/>
    </cacheField>
    <cacheField name="Кем создана" numFmtId="0">
      <sharedItems containsBlank="1"/>
    </cacheField>
    <cacheField name="Дата изменения" numFmtId="22">
      <sharedItems containsSemiMixedTypes="0" containsNonDate="0" containsDate="1" containsString="0" minDate="2026-08-06T12:36:11" maxDate="2026-09-02T17:25:17"/>
    </cacheField>
    <cacheField name="Кем изменена" numFmtId="0">
      <sharedItems containsBlank="1"/>
    </cacheField>
    <cacheField name="Дата начала" numFmtId="14">
      <sharedItems containsSemiMixedTypes="0" containsNonDate="0" containsDate="1" containsString="0" minDate="2022-08-16T00:00:00" maxDate="2026-09-02T00:00:00"/>
    </cacheField>
    <cacheField name="Предполагаемая дата закрытия" numFmtId="14">
      <sharedItems containsSemiMixedTypes="0" containsNonDate="0" containsDate="1" containsString="0" minDate="2022-08-25T00:00:00" maxDate="2026-09-08T00:00:00"/>
    </cacheField>
    <cacheField name="Товар" numFmtId="0">
      <sharedItems containsBlank="1"/>
    </cacheField>
    <cacheField name="Цена" numFmtId="0">
      <sharedItems containsBlank="1" containsMixedTypes="1" containsNumber="1" containsInteger="1" minValue="85" maxValue="527200"/>
    </cacheField>
    <cacheField name="Количество" numFmtId="0">
      <sharedItems containsString="0" containsBlank="1" containsNumber="1" containsInteger="1" minValue="1" maxValue="20"/>
    </cacheField>
    <cacheField name="Комментарий" numFmtId="0">
      <sharedItems containsBlank="1" longText="1"/>
    </cacheField>
    <cacheField name="Дата события" numFmtId="0">
      <sharedItems containsNonDate="0" containsString="0" containsBlank="1"/>
    </cacheField>
    <cacheField name="Тип события" numFmtId="0">
      <sharedItems containsNonDate="0" containsString="0" containsBlank="1"/>
    </cacheField>
    <cacheField name="Описание события" numFmtId="0">
      <sharedItems containsNonDate="0" containsString="0" containsBlank="1"/>
    </cacheField>
    <cacheField name="Создана CRM-формой" numFmtId="0">
      <sharedItems containsString="0" containsBlank="1" containsNumber="1" containsInteger="1" minValue="42" maxValue="195"/>
    </cacheField>
    <cacheField name="Кто изменил стадию" numFmtId="0">
      <sharedItems containsSemiMixedTypes="0" containsString="0" containsNumber="1" containsInteger="1" minValue="0" maxValue="23689"/>
    </cacheField>
    <cacheField name="Дата изменения стадии" numFmtId="22">
      <sharedItems containsSemiMixedTypes="0" containsNonDate="0" containsDate="1" containsString="0" minDate="2026-08-03T10:02:01" maxDate="2026-09-02T16:43:15"/>
    </cacheField>
    <cacheField name="Путь клиента" numFmtId="0">
      <sharedItems containsNonDate="0" containsString="0" containsBlank="1"/>
    </cacheField>
    <cacheField name="UTM Source" numFmtId="0">
      <sharedItems containsBlank="1"/>
    </cacheField>
    <cacheField name="UTM Medium" numFmtId="0">
      <sharedItems containsBlank="1"/>
    </cacheField>
    <cacheField name="UTM Campaign" numFmtId="0">
      <sharedItems containsBlank="1"/>
    </cacheField>
    <cacheField name="UTM Content" numFmtId="0">
      <sharedItems containsString="0" containsBlank="1" containsNumber="1" containsInteger="1" minValue="17746581919" maxValue="1.9150061843406999E+18"/>
    </cacheField>
    <cacheField name="UTM Term" numFmtId="0">
      <sharedItems containsBlank="1"/>
    </cacheField>
    <cacheField name="Тип договора" numFmtId="0">
      <sharedItems containsBlank="1"/>
    </cacheField>
    <cacheField name="Важная сделка" numFmtId="0">
      <sharedItems/>
    </cacheField>
    <cacheField name="Цикл воронки продаж" numFmtId="0">
      <sharedItems containsString="0" containsBlank="1" containsNumber="1" containsInteger="1" minValue="0" maxValue="5"/>
    </cacheField>
    <cacheField name="Рабочий e-mail" numFmtId="0">
      <sharedItems containsBlank="1"/>
    </cacheField>
    <cacheField name="Рабочий телефон" numFmtId="0">
      <sharedItems containsBlank="1" containsMixedTypes="1" containsNumber="1" containsInteger="1" minValue="73852671789" maxValue="89631306410"/>
    </cacheField>
    <cacheField name="Архив_Родительская компания" numFmtId="0">
      <sharedItems containsBlank="1"/>
    </cacheField>
    <cacheField name="Город" numFmtId="0">
      <sharedItems containsBlank="1"/>
    </cacheField>
    <cacheField name="Подразделение (структура)" numFmtId="0">
      <sharedItems/>
    </cacheField>
    <cacheField name="Дата завершения по плану" numFmtId="0">
      <sharedItems containsNonDate="0" containsDate="1" containsString="0" containsBlank="1" minDate="2026-09-02T00:00:00" maxDate="2026-10-17T00:00:00"/>
    </cacheField>
    <cacheField name="Система налогообложения" numFmtId="0">
      <sharedItems containsNonDate="0" containsString="0" containsBlank="1"/>
    </cacheField>
    <cacheField name="АРХИВ_Резюме о компании" numFmtId="0">
      <sharedItems containsNonDate="0" containsString="0" containsBlank="1"/>
    </cacheField>
    <cacheField name="Дата подключения" numFmtId="0">
      <sharedItems containsNonDate="0" containsDate="1" containsString="0" containsBlank="1" minDate="2026-08-10T00:00:00" maxDate="2026-12-03T00:00:00"/>
    </cacheField>
    <cacheField name="Дата отключения" numFmtId="0">
      <sharedItems containsNonDate="0" containsDate="1" containsString="0" containsBlank="1" minDate="2026-09-03T00:00:00" maxDate="2027-12-02T00:00:00"/>
    </cacheField>
    <cacheField name="Покупка отложена до…" numFmtId="0">
      <sharedItems containsNonDate="0" containsString="0" containsBlank="1"/>
    </cacheField>
    <cacheField name="Недозвоны" numFmtId="0">
      <sharedItems containsString="0" containsBlank="1" containsNumber="1" containsInteger="1" minValue="0" maxValue="3"/>
    </cacheField>
    <cacheField name="Имя" numFmtId="0">
      <sharedItems containsBlank="1"/>
    </cacheField>
    <cacheField name="Комментарий. Начало сделки" numFmtId="0">
      <sharedItems containsBlank="1" longText="1"/>
    </cacheField>
    <cacheField name="Комментарий. Завершение сделки" numFmtId="0">
      <sharedItems containsNonDate="0" containsString="0" containsBlank="1"/>
    </cacheField>
    <cacheField name="Опыт работы клиента в 1С" numFmtId="0">
      <sharedItems containsBlank="1"/>
    </cacheField>
    <cacheField name="Количество касаний" numFmtId="0">
      <sharedItems containsString="0" containsBlank="1" containsNumber="1" containsInteger="1" minValue="0" maxValue="33"/>
    </cacheField>
    <cacheField name="Договор (скан)" numFmtId="0">
      <sharedItems containsBlank="1"/>
    </cacheField>
    <cacheField name="Номер заказа в 1С" numFmtId="0">
      <sharedItems containsBlank="1"/>
    </cacheField>
    <cacheField name="Связь сделок" numFmtId="0">
      <sharedItems containsBlank="1"/>
    </cacheField>
    <cacheField name="Подразделение" numFmtId="0">
      <sharedItems/>
    </cacheField>
    <cacheField name="Организация для Битрикс24" numFmtId="0">
      <sharedItems containsNonDate="0" containsString="0" containsBlank="1"/>
    </cacheField>
    <cacheField name="Количество сотрудников" numFmtId="0">
      <sharedItems containsBlank="1"/>
    </cacheField>
    <cacheField name="Основание сделки" numFmtId="0">
      <sharedItems containsNonDate="0" containsString="0" containsBlank="1"/>
    </cacheField>
    <cacheField name="Оператор клиента по ЭДО" numFmtId="0">
      <sharedItems containsBlank="1"/>
    </cacheField>
    <cacheField name="Дата заказа в 1С" numFmtId="0">
      <sharedItems containsNonDate="0" containsDate="1" containsString="0" containsBlank="1" minDate="2026-08-03T00:00:00" maxDate="2026-09-03T00:00:00"/>
    </cacheField>
    <cacheField name="Договор (оригинал/ЭДО)" numFmtId="0">
      <sharedItems containsBlank="1"/>
    </cacheField>
    <cacheField name="Документы прочие (файлы)" numFmtId="0">
      <sharedItems containsBlank="1"/>
    </cacheField>
    <cacheField name="Организация" numFmtId="0">
      <sharedItems containsBlank="1"/>
    </cacheField>
    <cacheField name="Вид взаиморасчетов" numFmtId="0">
      <sharedItems containsBlank="1"/>
    </cacheField>
    <cacheField name="Способ доставки документов" numFmtId="0">
      <sharedItems containsBlank="1"/>
    </cacheField>
    <cacheField name="Способ доставки продукта" numFmtId="0">
      <sharedItems containsBlank="1"/>
    </cacheField>
    <cacheField name="Архив_Вид компании" numFmtId="0">
      <sharedItems containsBlank="1"/>
    </cacheField>
    <cacheField name="Агент. Тип" numFmtId="0">
      <sharedItems containsBlank="1"/>
    </cacheField>
    <cacheField name="Агент. Наименование" numFmtId="0">
      <sharedItems containsBlank="1"/>
    </cacheField>
    <cacheField name="Приоритет для логистики" numFmtId="0">
      <sharedItems/>
    </cacheField>
    <cacheField name="Как клиент решил задачу" numFmtId="0">
      <sharedItems containsNonDate="0" containsString="0" containsBlank="1"/>
    </cacheField>
    <cacheField name="План обслуживания" numFmtId="0">
      <sharedItems containsBlank="1"/>
    </cacheField>
    <cacheField name="Комментарий. 1С" numFmtId="0">
      <sharedItems containsBlank="1"/>
    </cacheField>
    <cacheField name="Дата оплаты" numFmtId="0">
      <sharedItems containsNonDate="0" containsDate="1" containsString="0" containsBlank="1" minDate="2024-08-29T00:00:00" maxDate="2026-09-02T00:00:00"/>
    </cacheField>
    <cacheField name="Субподрядчик. Наименование" numFmtId="0">
      <sharedItems containsNonDate="0" containsString="0" containsBlank="1"/>
    </cacheField>
    <cacheField name="ЛИД. ID" numFmtId="0">
      <sharedItems containsString="0" containsBlank="1" containsNumber="1" containsInteger="1" minValue="235074" maxValue="267813"/>
    </cacheField>
    <cacheField name="Номенклатурная группа" numFmtId="0">
      <sharedItems containsBlank="1"/>
    </cacheField>
    <cacheField name="Источник сайта" numFmtId="0">
      <sharedItems containsBlank="1"/>
    </cacheField>
    <cacheField name="ID исходной сделки" numFmtId="0">
      <sharedItems containsString="0" containsBlank="1" containsNumber="1" containsInteger="1" minValue="308341" maxValue="318348"/>
    </cacheField>
    <cacheField name="Срок подписки(мес.)" numFmtId="0">
      <sharedItems containsString="0" containsBlank="1" containsNumber="1" containsInteger="1" minValue="3" maxValue="12"/>
    </cacheField>
    <cacheField name="Объем консультаций за 10 месяцев" numFmtId="0">
      <sharedItems containsNonDate="0" containsString="0" containsBlank="1"/>
    </cacheField>
    <cacheField name="Отгрузка(БУ)" numFmtId="0">
      <sharedItems containsString="0" containsBlank="1" containsNumber="1" containsInteger="1" minValue="1400" maxValue="60600"/>
    </cacheField>
    <cacheField name="Дата отгрузки(БУ)" numFmtId="0">
      <sharedItems containsNonDate="0" containsDate="1" containsString="0" containsBlank="1" minDate="2026-08-14T00:00:00" maxDate="2026-09-02T00:00:00"/>
    </cacheField>
    <cacheField name="Состояние отгрузки(БУ)" numFmtId="0">
      <sharedItems containsBlank="1"/>
    </cacheField>
    <cacheField name="Мероприятие. Формат обучения" numFmtId="0">
      <sharedItems containsNonDate="0" containsString="0" containsBlank="1"/>
    </cacheField>
    <cacheField name="Мероприятие. Дата начала обучения" numFmtId="0">
      <sharedItems containsNonDate="0" containsString="0" containsBlank="1"/>
    </cacheField>
    <cacheField name="Мероприятие. Дата окончания обучения" numFmtId="0">
      <sharedItems containsNonDate="0" containsString="0" containsBlank="1"/>
    </cacheField>
    <cacheField name="БО. Направление сделки" numFmtId="0">
      <sharedItems containsNonDate="0" containsString="0" containsBlank="1"/>
    </cacheField>
    <cacheField name="БО. Экспресс-аудит" numFmtId="0">
      <sharedItems/>
    </cacheField>
    <cacheField name="БО. Бонусы" numFmtId="0">
      <sharedItems containsBlank="1"/>
    </cacheField>
    <cacheField name="БО. Код ЛИДа УФА" numFmtId="0">
      <sharedItems containsBlank="1"/>
    </cacheField>
    <cacheField name="БО-продажи. Этап отвала сделки" numFmtId="0">
      <sharedItems containsBlank="1"/>
    </cacheField>
    <cacheField name="ФРЕШ. Направление сделки" numFmtId="0">
      <sharedItems containsBlank="1"/>
    </cacheField>
    <cacheField name="ФРЕШ. Приложение" numFmtId="0">
      <sharedItems containsBlank="1"/>
    </cacheField>
    <cacheField name="ФРЕШ. Код абонента" numFmtId="0">
      <sharedItems containsBlank="1" containsMixedTypes="1" containsNumber="1" containsInteger="1" minValue="280459" maxValue="836595"/>
    </cacheField>
    <cacheField name="ФРЕШ. Тип подписки" numFmtId="0">
      <sharedItems containsBlank="1"/>
    </cacheField>
    <cacheField name="ФРЕШ. АФ. Мун. образование" numFmtId="0">
      <sharedItems containsNonDate="0" containsString="0" containsBlank="1"/>
    </cacheField>
    <cacheField name="ФРЕШ. АФ. Кол-во учреждений" numFmtId="0">
      <sharedItems containsNonDate="0" containsString="0" containsBlank="1"/>
    </cacheField>
    <cacheField name="ФРЕШ-продажи. Этап отвала сделки" numFmtId="0">
      <sharedItems containsBlank="1"/>
    </cacheField>
    <cacheField name="1С. Направление сделки" numFmtId="0">
      <sharedItems containsBlank="1"/>
    </cacheField>
    <cacheField name="1С. Программы и лицензии" numFmtId="0">
      <sharedItems containsBlank="1"/>
    </cacheField>
    <cacheField name="1С. Вид поставки программ/лицензий" numFmtId="0">
      <sharedItems containsBlank="1"/>
    </cacheField>
    <cacheField name="1С. Возврат комплектующих 1С" numFmtId="0">
      <sharedItems/>
    </cacheField>
    <cacheField name="1С. Номер разрешения 1С" numFmtId="0">
      <sharedItems containsNonDate="0" containsString="0" containsBlank="1"/>
    </cacheField>
    <cacheField name="1С. Дата заказа поставщику" numFmtId="0">
      <sharedItems containsNonDate="0" containsString="0" containsBlank="1"/>
    </cacheField>
    <cacheField name="1С КП и Сервисы. Направление сделки" numFmtId="0">
      <sharedItems containsBlank="1"/>
    </cacheField>
    <cacheField name="1С. Этап отвала сделки" numFmtId="0">
      <sharedItems containsBlank="1"/>
    </cacheField>
    <cacheField name="1С и ФРЕШ. Продление. Этап отвала сделки" numFmtId="0">
      <sharedItems containsBlank="1"/>
    </cacheField>
    <cacheField name="1С. Продления. Этап отвала сделки" numFmtId="0">
      <sharedItems containsNonDate="0" containsString="0" containsBlank="1"/>
    </cacheField>
    <cacheField name="ЦТО. Направление сделки" numFmtId="0">
      <sharedItems containsBlank="1"/>
    </cacheField>
    <cacheField name="ЦТО. Этап отвала сделки" numFmtId="0">
      <sharedItems containsNonDate="0" containsString="0" containsBlank="1"/>
    </cacheField>
    <cacheField name="УЦ. Направление сделки" numFmtId="0">
      <sharedItems containsBlank="1"/>
    </cacheField>
    <cacheField name="УЦ. Центр идентификации" numFmtId="0">
      <sharedItems containsBlank="1"/>
    </cacheField>
    <cacheField name="УЦ.Продажи. Этап отвала сделки" numFmtId="0">
      <sharedItems containsBlank="1"/>
    </cacheField>
    <cacheField name="УЦ. Продления. Этап отвала сделки" numFmtId="0">
      <sharedItems containsNonDate="0" containsString="0" containsBlank="1"/>
    </cacheField>
    <cacheField name="Битрикс. Адрес Б24 портала" numFmtId="0">
      <sharedItems containsNonDate="0" containsString="0" containsBlank="1"/>
    </cacheField>
    <cacheField name="Битрикс. Лицензионный ключ" numFmtId="0">
      <sharedItems containsNonDate="0" containsString="0" containsBlank="1"/>
    </cacheField>
    <cacheField name="Битрикс. Город" numFmtId="0">
      <sharedItems containsNonDate="0" containsString="0" containsBlank="1"/>
    </cacheField>
    <cacheField name="Битрикс. Должность" numFmtId="0">
      <sharedItems containsNonDate="0" containsString="0" containsBlank="1"/>
    </cacheField>
    <cacheField name="Битрикс. Название компании" numFmtId="0">
      <sharedItems containsNonDate="0" containsString="0" containsBlank="1"/>
    </cacheField>
    <cacheField name="Битрикс. Использование Б24" numFmtId="0">
      <sharedItems containsNonDate="0" containsString="0" containsBlank="1"/>
    </cacheField>
    <cacheField name="Битрикс. Тариф" numFmtId="0">
      <sharedItems containsNonDate="0" containsString="0" containsBlank="1"/>
    </cacheField>
    <cacheField name="Битрикс. Дата окончания подписки (Маркет)" numFmtId="0">
      <sharedItems containsNonDate="0" containsString="0" containsBlank="1"/>
    </cacheField>
    <cacheField name="Битрикс. Направление сделки2" numFmtId="0">
      <sharedItems containsNonDate="0" containsString="0" containsBlank="1"/>
    </cacheField>
    <cacheField name="Битрикс. Лицензия" numFmtId="0">
      <sharedItems containsNonDate="0" containsString="0" containsBlank="1"/>
    </cacheField>
    <cacheField name="ЦСВ. Направление сделки" numFmtId="0">
      <sharedItems containsNonDate="0" containsString="0" containsBlank="1"/>
    </cacheField>
    <cacheField name="ЦСВ. Баланс" numFmtId="0">
      <sharedItems containsString="0" containsBlank="1" containsNumber="1" containsInteger="1" minValue="0" maxValue="0"/>
    </cacheField>
    <cacheField name="ЦСВ. Этап отвала сделки" numFmtId="0">
      <sharedItems containsNonDate="0" containsString="0" containsBlank="1"/>
    </cacheField>
    <cacheField name="ЦСВ. ID заявки PRO" numFmtId="0">
      <sharedItems containsNonDate="0" containsString="0" containsBlank="1"/>
    </cacheField>
    <cacheField name="ИБ. Направление сделки" numFmtId="0">
      <sharedItems containsBlank="1"/>
    </cacheField>
    <cacheField name="ИБ. Этап отвала сделки" numFmtId="0">
      <sharedItems containsBlank="1"/>
    </cacheField>
    <cacheField name="Контур. Список" numFmtId="0">
      <sharedItems containsNonDate="0" containsString="0" containsBlank="1"/>
    </cacheField>
    <cacheField name="Контур. Сервисный центр" numFmtId="0">
      <sharedItems containsNonDate="0" containsString="0" containsBlank="1"/>
    </cacheField>
    <cacheField name="Контур. Менеджер" numFmtId="0">
      <sharedItems containsNonDate="0" containsString="0" containsBlank="1"/>
    </cacheField>
    <cacheField name="Контур. Причина отвала" numFmtId="0">
      <sharedItems containsNonDate="0" containsString="0" containsBlank="1"/>
    </cacheField>
    <cacheField name="УМЦ. Направление сделки" numFmtId="0">
      <sharedItems containsNonDate="0" containsString="0" containsBlank="1"/>
    </cacheField>
    <cacheField name="УМЦ. Название курса" numFmtId="0">
      <sharedItems containsNonDate="0" containsString="0" containsBlank="1"/>
    </cacheField>
    <cacheField name="УМЦ. Название мероприятия (не курса)" numFmtId="0">
      <sharedItems containsNonDate="0" containsString="0" containsBlank="1"/>
    </cacheField>
    <cacheField name="УМЦ. Этап отвала сделки" numFmtId="0">
      <sharedItems containsNonDate="0" containsString="0" containsBlank="1"/>
    </cacheField>
    <cacheField name="ЛИД.Продуктовое направление (простое)" numFmtId="0">
      <sharedItems containsNonDate="0" containsString="0" containsBlank="1"/>
    </cacheField>
    <cacheField name="ТП. Закупки. Количество участников согласования" numFmtId="0">
      <sharedItems containsNonDate="0" containsString="0" containsBlank="1"/>
    </cacheField>
    <cacheField name="ТП. Закупки. Согласовавшие" numFmtId="0">
      <sharedItems containsNonDate="0" containsString="0" containsBlank="1"/>
    </cacheField>
    <cacheField name="ТП. Закупки. Отклонившие" numFmtId="0">
      <sharedItems containsNonDate="0" containsString="0" containsBlank="1"/>
    </cacheField>
    <cacheField name="ТП. Закупки. Не проголосовали" numFmtId="0">
      <sharedItems containsNonDate="0" containsString="0" containsBlank="1"/>
    </cacheField>
    <cacheField name="ТП. Закупки. Проверка при переносе на стадию" numFmtId="0">
      <sharedItems/>
    </cacheField>
    <cacheField name="ТП. Закупки. Голосование запускалось?" numFmtId="0">
      <sharedItems/>
    </cacheField>
    <cacheField name="Количество сотрудников, работающих с продуктом" numFmtId="0">
      <sharedItems containsNonDate="0" containsString="0" containsBlank="1"/>
    </cacheField>
    <cacheField name="Кол-во ПК (для оказания услуг/внедрения)" numFmtId="0">
      <sharedItems containsNonDate="0" containsString="0" containsBlank="1"/>
    </cacheField>
    <cacheField name="ИНН" numFmtId="0">
      <sharedItems containsNonDate="0" containsString="0" containsBlank="1"/>
    </cacheField>
    <cacheField name="ТП. Сделка проиграна?" numFmtId="0">
      <sharedItems containsNonDate="0" containsString="0" containsBlank="1"/>
    </cacheField>
    <cacheField name="ТП. Отбраковано роботом" numFmtId="0">
      <sharedItems/>
    </cacheField>
    <cacheField name="Мероприятие. Название мероприятия" numFmtId="0">
      <sharedItems containsNonDate="0" containsString="0" containsBlank="1"/>
    </cacheField>
    <cacheField name="Мероприятие. Б24. Текущий клиент" numFmtId="0">
      <sharedItems containsNonDate="0" containsString="0" containsBlank="1"/>
    </cacheField>
    <cacheField name="Мероприятие. Направление" numFmtId="0">
      <sharedItems containsNonDate="0" containsString="0" containsBlank="1"/>
    </cacheField>
    <cacheField name="Мероприятие. Явка участника" numFmtId="0">
      <sharedItems containsNonDate="0" containsString="0" containsBlank="1"/>
    </cacheField>
    <cacheField name="Мероприятие. Отметка о дозвоне" numFmtId="0">
      <sharedItems containsBlank="1"/>
    </cacheField>
    <cacheField name="Мероприятие. Место проведения" numFmtId="0">
      <sharedItems containsNonDate="0" containsString="0" containsBlank="1"/>
    </cacheField>
    <cacheField name="ТП. Предыдущий статус - целевой?" numFmtId="0">
      <sharedItems containsBlank="1"/>
    </cacheField>
    <cacheField name="Смарт-процесс" numFmtId="0">
      <sharedItems containsNonDate="0" containsString="0" containsBlank="1"/>
    </cacheField>
    <cacheField name="ЦП. Битрикс. Мероприятия. Этап отвала сделки" numFmtId="0">
      <sharedItems containsNonDate="0" containsString="0" containsBlank="1"/>
    </cacheField>
    <cacheField name="Дата оплаты плановая" numFmtId="0">
      <sharedItems containsNonDate="0" containsString="0" containsBlank="1"/>
    </cacheField>
    <cacheField name="Заказ проведен" numFmtId="0">
      <sharedItems/>
    </cacheField>
    <cacheField name="ТП. Дата выставления счета" numFmtId="0">
      <sharedItems containsNonDate="0" containsString="0" containsBlank="1"/>
    </cacheField>
    <cacheField name="БО. Кто ведет БУ сейчас" numFmtId="0">
      <sharedItems containsNonDate="0" containsString="0" containsBlank="1"/>
    </cacheField>
    <cacheField name="АБУ. Этап отвала сделки" numFmtId="0">
      <sharedItems containsNonDate="0" containsString="0" containsBlank="1"/>
    </cacheField>
    <cacheField name="БО. Письмо" numFmtId="0">
      <sharedItems containsNonDate="0" containsString="0" containsBlank="1"/>
    </cacheField>
    <cacheField name="ТП. АБУ. ЭА. Id элемента списка" numFmtId="0">
      <sharedItems containsNonDate="0" containsString="0" containsBlank="1"/>
    </cacheField>
    <cacheField name="Оператор клиента по ЭДО для сделки" numFmtId="0">
      <sharedItems containsNonDate="0" containsString="0" containsBlank="1"/>
    </cacheField>
    <cacheField name="БО. Обслуживание приостановлено" numFmtId="0">
      <sharedItems containsNonDate="0" containsString="0" containsBlank="1"/>
    </cacheField>
    <cacheField name="Статус 1С" numFmtId="0">
      <sharedItems containsBlank="1"/>
    </cacheField>
    <cacheField name="ТП. ПФ счет из УТ" numFmtId="0">
      <sharedItems containsNonDate="0" containsString="0" containsBlank="1"/>
    </cacheField>
    <cacheField name="Состояние оплаты" numFmtId="0">
      <sharedItems containsBlank="1"/>
    </cacheField>
    <cacheField name="Дата закрытия сделки" numFmtId="0">
      <sharedItems containsNonDate="0" containsDate="1" containsString="0" containsBlank="1" minDate="2026-08-27T00:00:00" maxDate="2026-08-28T00:00:00"/>
    </cacheField>
    <cacheField name="Бесплатный продукт" numFmtId="0">
      <sharedItems containsBlank="1"/>
    </cacheField>
    <cacheField name="1С. Смена тарифа" numFmtId="0">
      <sharedItems containsBlank="1"/>
    </cacheField>
    <cacheField name="Субподрядчик. Наличие" numFmtId="0">
      <sharedItems containsBlank="1"/>
    </cacheField>
    <cacheField name="Отгрузка(УУ)" numFmtId="0">
      <sharedItems containsString="0" containsBlank="1" containsNumber="1" containsInteger="1" minValue="1400" maxValue="60600"/>
    </cacheField>
    <cacheField name="Дата отгрузки(УУ)" numFmtId="0">
      <sharedItems containsNonDate="0" containsDate="1" containsString="0" containsBlank="1" minDate="2026-08-14T00:00:00" maxDate="2026-09-02T00:00:00"/>
    </cacheField>
    <cacheField name="Состояние отгрузки(УУ)" numFmtId="0">
      <sharedItems containsBlank="1"/>
    </cacheField>
    <cacheField name="ТП. Мероприятия.QR-код" numFmtId="0">
      <sharedItems containsNonDate="0" containsString="0" containsBlank="1"/>
    </cacheField>
    <cacheField name="Статус подписки" numFmtId="0">
      <sharedItems containsBlank="1"/>
    </cacheField>
    <cacheField name="Заявка на консультацию" numFmtId="0">
      <sharedItems containsNonDate="0" containsString="0" containsBlank="1"/>
    </cacheField>
    <cacheField name="Исполнитель Форус" numFmtId="0">
      <sharedItems containsBlank="1"/>
    </cacheField>
    <cacheField name="Max Group Id" numFmtId="0">
      <sharedItems containsNonDate="0" containsString="0" containsBlank="1"/>
    </cacheField>
    <cacheField name="ТП. Процесс апгрейда товара" numFmtId="0">
      <sharedItems containsBlank="1"/>
    </cacheField>
    <cacheField name="Задачи клиента" numFmtId="0">
      <sharedItems containsBlank="1"/>
    </cacheField>
    <cacheField name="ЛПР" numFmtId="0">
      <sharedItems containsBlank="1"/>
    </cacheField>
    <cacheField name="Дата первой связи" numFmtId="0">
      <sharedItems containsNonDate="0" containsDate="1" containsString="0" containsBlank="1" minDate="2026-07-20T00:00:00" maxDate="2026-09-25T00:00:00"/>
    </cacheField>
    <cacheField name="Дата презентации" numFmtId="0">
      <sharedItems containsNonDate="0" containsDate="1" containsString="0" containsBlank="1" minDate="2026-08-07T00:00:00" maxDate="2026-08-27T00:00:00"/>
    </cacheField>
    <cacheField name="Дата старта работ" numFmtId="0">
      <sharedItems containsNonDate="0" containsString="0" containsBlank="1"/>
    </cacheField>
    <cacheField name="Дата завершения работ" numFmtId="0">
      <sharedItems containsNonDate="0" containsString="0" containsBlank="1"/>
    </cacheField>
    <cacheField name="1С КомплексныеПродажи. Этап отвала сделки" numFmtId="0">
      <sharedItems containsNonDate="0" containsString="0" containsBlank="1"/>
    </cacheField>
    <cacheField name="Нарушение льготного периода" numFmtId="0">
      <sharedItems/>
    </cacheField>
    <cacheField name="ТП. Сделка продления создана" numFmtId="0">
      <sharedItems containsBlank="1"/>
    </cacheField>
    <cacheField name="ЦАС. Направление сделки" numFmtId="0">
      <sharedItems containsNonDate="0" containsString="0" containsBlank="1"/>
    </cacheField>
    <cacheField name="ЦАС. Продукты" numFmtId="0">
      <sharedItems containsNonDate="0" containsString="0" containsBlank="1"/>
    </cacheField>
    <cacheField name="ЦАС. Этап отвала сделки" numFmtId="0">
      <sharedItems containsNonDate="0" containsString="0" containsBlank="1"/>
    </cacheField>
    <cacheField name="Правовая форма" numFmtId="0">
      <sharedItems containsBlank="1"/>
    </cacheField>
    <cacheField name="Закупки. Замечания к согласованию" numFmtId="0">
      <sharedItems containsNonDate="0" containsString="0" containsBlank="1"/>
    </cacheField>
    <cacheField name="Закупки. Проголосовали" numFmtId="0">
      <sharedItems containsNonDate="0" containsString="0" containsBlank="1"/>
    </cacheField>
    <cacheField name="Кол-во ПК (для оказания услуг/внедрения)2" numFmtId="0">
      <sharedItems containsNonDate="0" containsString="0" containsBlank="1"/>
    </cacheField>
    <cacheField name="Смарт-процесс2" numFmtId="0">
      <sharedItems containsNonDate="0" containsString="0" containsBlank="1"/>
    </cacheField>
    <cacheField name="Смарт-процесс3" numFmtId="0">
      <sharedItems containsNonDate="0" containsString="0" containsBlank="1"/>
    </cacheField>
    <cacheField name="Битрикс. Детали внедрения" numFmtId="0">
      <sharedItems containsNonDate="0" containsString="0" containsBlank="1"/>
    </cacheField>
    <cacheField name="Организация2" numFmtId="0">
      <sharedItems containsNonDate="0" containsString="0" containsBlank="1"/>
    </cacheField>
    <cacheField name="Ссылка на файл за заявку" numFmtId="0">
      <sharedItems containsNonDate="0" containsString="0" containsBlank="1"/>
    </cacheField>
    <cacheField name="1С. Смена тарифа2" numFmtId="0">
      <sharedItems containsNonDate="0" containsString="0" containsBlank="1"/>
    </cacheField>
    <cacheField name="crmstat_conversion" numFmtId="0">
      <sharedItems containsNonDate="0" containsString="0" containsBlank="1"/>
    </cacheField>
    <cacheField name="Перенос ФРЕШ. Матафонова. Удалю 01.11" numFmtId="0">
      <sharedItems/>
    </cacheField>
    <cacheField name="ТЕСТ БО МРК" numFmtId="0">
      <sharedItems/>
    </cacheField>
    <cacheField name="ТЕСТ. Проверка заказ проведен" numFmtId="0">
      <sharedItems/>
    </cacheField>
    <cacheField name="ТП. Закупки. ТЕСТИРОВАНИЕ СОГЛАСОВАНИЯ" numFmtId="0">
      <sharedItems/>
    </cacheField>
    <cacheField name="ID информационного блока" numFmtId="0">
      <sharedItems containsNonDate="0" containsString="0" containsBlank="1"/>
    </cacheField>
    <cacheField name="Ntcn" numFmtId="0">
      <sharedItems containsNonDate="0" containsString="0" containsBlank="1"/>
    </cacheField>
    <cacheField name="Активность элемента" numFmtId="0">
      <sharedItems/>
    </cacheField>
    <cacheField name="Архив_ФРЕШ-продажи. Этап отвала сделки" numFmtId="0">
      <sharedItems containsNonDate="0" containsString="0" containsBlank="1"/>
    </cacheField>
    <cacheField name="Внешний ключ" numFmtId="0">
      <sharedItems containsNonDate="0" containsString="0" containsBlank="1"/>
    </cacheField>
    <cacheField name="Дата изменения элемента" numFmtId="0">
      <sharedItems containsNonDate="0" containsString="0" containsBlank="1"/>
    </cacheField>
    <cacheField name="Дата начала2" numFmtId="0">
      <sharedItems containsNonDate="0" containsString="0" containsBlank="1"/>
    </cacheField>
    <cacheField name="Дата начала активности элемента" numFmtId="0">
      <sharedItems containsNonDate="0" containsString="0" containsBlank="1"/>
    </cacheField>
    <cacheField name="Дата окончания" numFmtId="0">
      <sharedItems containsNonDate="0" containsString="0" containsBlank="1"/>
    </cacheField>
    <cacheField name="Дата окончания активности элемента" numFmtId="0">
      <sharedItems containsNonDate="0" containsString="0" containsBlank="1"/>
    </cacheField>
    <cacheField name="Изображение для предпросмотра" numFmtId="0">
      <sharedItems containsNonDate="0" containsString="0" containsBlank="1"/>
    </cacheField>
    <cacheField name="Изображение для просмотра" numFmtId="0">
      <sharedItems containsNonDate="0" containsString="0" containsBlank="1"/>
    </cacheField>
    <cacheField name="Индекс сортировки элемента" numFmtId="0">
      <sharedItems containsNonDate="0" containsString="0" containsBlank="1"/>
    </cacheField>
    <cacheField name="Кем изменен" numFmtId="0">
      <sharedItems containsNonDate="0" containsString="0" containsBlank="1"/>
    </cacheField>
    <cacheField name="Кем создан" numFmtId="0">
      <sharedItems containsNonDate="0" containsString="0" containsBlank="1"/>
    </cacheField>
    <cacheField name="Количество рабочих дней" numFmtId="0">
      <sharedItems containsNonDate="0" containsString="0" containsBlank="1"/>
    </cacheField>
    <cacheField name="Мнемонический код" numFmtId="0">
      <sharedItems containsNonDate="0" containsString="0" containsBlank="1"/>
    </cacheField>
    <cacheField name="Новая дата" numFmtId="0">
      <sharedItems containsNonDate="0" containsString="0" containsBlank="1"/>
    </cacheField>
    <cacheField name="Опубликован" numFmtId="0">
      <sharedItems/>
    </cacheField>
    <cacheField name="ТП. Дата выставления счета2" numFmtId="0">
      <sharedItems containsNonDate="0" containsString="0" containsBlank="1"/>
    </cacheField>
    <cacheField name="Текст для предпросмотра" numFmtId="0">
      <sharedItems containsNonDate="0" containsString="0" containsBlank="1"/>
    </cacheField>
    <cacheField name="Текст для просмотра" numFmtId="0">
      <sharedItems containsNonDate="0" containsString="0" containsBlank="1"/>
    </cacheField>
    <cacheField name="Тестовое поле" numFmtId="0">
      <sharedItems containsNonDate="0" containsString="0" containsBlank="1"/>
    </cacheField>
    <cacheField name="Тип текста для предпросмотра" numFmtId="0">
      <sharedItems containsNonDate="0" containsString="0" containsBlank="1"/>
    </cacheField>
    <cacheField name="Тип текста для просмотра" numFmtId="0">
      <sharedItems containsNonDate="0" containsString="0" containsBlank="1"/>
    </cacheField>
    <cacheField name="Закупки. ИНН" numFmtId="0">
      <sharedItems containsNonDate="0" containsString="0" containsBlank="1"/>
    </cacheField>
    <cacheField name="Закупки. Менеджер направления" numFmtId="0">
      <sharedItems containsNonDate="0" containsString="0" containsBlank="1"/>
    </cacheField>
    <cacheField name="Закупки. Номер закупки" numFmtId="0">
      <sharedItems containsNonDate="0" containsString="0" containsBlank="1"/>
    </cacheField>
    <cacheField name="Закупки. Ссылка на закупку" numFmtId="0">
      <sharedItems containsNonDate="0" containsString="0" containsBlank="1"/>
    </cacheField>
    <cacheField name="Закупки. Способ отбора" numFmtId="0">
      <sharedItems containsNonDate="0" containsString="0" containsBlank="1"/>
    </cacheField>
    <cacheField name="Закупки. Начальная цена" numFmtId="0">
      <sharedItems containsNonDate="0" containsString="0" containsBlank="1"/>
    </cacheField>
    <cacheField name="Закупки. Проведение отбора" numFmtId="0">
      <sharedItems containsNonDate="0" containsString="0" containsBlank="1"/>
    </cacheField>
    <cacheField name="Закупки. Обеспечение заявки" numFmtId="0">
      <sharedItems containsNonDate="0" containsString="0" containsBlank="1"/>
    </cacheField>
    <cacheField name="Закупки. Дата согласования" numFmtId="0">
      <sharedItems containsNonDate="0" containsString="0" containsBlank="1"/>
    </cacheField>
    <cacheField name="Закупки. Окончание приема заявок" numFmtId="0">
      <sharedItems containsNonDate="0" containsString="0" containsBlank="1"/>
    </cacheField>
    <cacheField name="Закупки. Причина браковки закупки" numFmtId="0">
      <sharedItems containsNonDate="0" containsString="0" containsBlank="1"/>
    </cacheField>
    <cacheField name="Закупки. Преференции" numFmtId="0">
      <sharedItems containsNonDate="0" containsString="0" containsBlank="1"/>
    </cacheField>
    <cacheField name="Закупки. КПП" numFmtId="0">
      <sharedItems containsNonDate="0" containsString="0" containsBlank="1"/>
    </cacheField>
    <cacheField name="Закупки. Группа менеджеров" numFmtId="0">
      <sharedItems containsNonDate="0" containsString="0" containsBlank="1"/>
    </cacheField>
    <cacheField name="Закупки. Доп. менеджеры" numFmtId="0">
      <sharedItems containsNonDate="0" containsString="0" containsBlank="1"/>
    </cacheField>
    <cacheField name="Закупки. Юридическое лицо" numFmtId="0">
      <sharedItems containsNonDate="0" containsString="0" containsBlank="1"/>
    </cacheField>
    <cacheField name="Закупки.Поставщик и условия работы с ним" numFmtId="0">
      <sharedItems containsNonDate="0" containsString="0" containsBlank="1"/>
    </cacheField>
    <cacheField name="Закупки. Условия поставки Заказчику" numFmtId="0">
      <sharedItems containsNonDate="0" containsString="0" containsBlank="1"/>
    </cacheField>
    <cacheField name="Закупки. Условия оплаты Заказчиком" numFmtId="0">
      <sharedItems containsNonDate="0" containsString="0" containsBlank="1"/>
    </cacheField>
    <cacheField name="Закупки. Дата подачи заявки" numFmtId="0">
      <sharedItems containsNonDate="0" containsString="0" containsBlank="1"/>
    </cacheField>
    <cacheField name="Закупки. Победитель" numFmtId="0">
      <sharedItems containsNonDate="0" containsString="0" containsBlank="1"/>
    </cacheField>
    <cacheField name="Закупки. Цена контракта" numFmtId="0">
      <sharedItems containsNonDate="0" containsString="0" containsBlank="1"/>
    </cacheField>
    <cacheField name="Закупки. Плановая дата подписания контракта" numFmtId="0">
      <sharedItems containsNonDate="0" containsString="0" containsBlank="1"/>
    </cacheField>
    <cacheField name="Закупки. МД. Факт" numFmtId="0">
      <sharedItems containsNonDate="0" containsString="0" containsBlank="1"/>
    </cacheField>
    <cacheField name="Закупки. Причина отвала" numFmtId="0">
      <sharedItems containsNonDate="0" containsString="0" containsBlank="1"/>
    </cacheField>
    <cacheField name="Закупки. Название контракта/договора" numFmtId="0">
      <sharedItems containsNonDate="0" containsString="0" containsBlank="1"/>
    </cacheField>
    <cacheField name="Закупки. № контракта/договора" numFmtId="0">
      <sharedItems containsNonDate="0" containsString="0" containsBlank="1"/>
    </cacheField>
    <cacheField name="Закупки. Дата контракта/договора" numFmtId="0">
      <sharedItems containsNonDate="0" containsString="0" containsBlank="1"/>
    </cacheField>
    <cacheField name="Закупки. Вид носителя контракта/договора" numFmtId="0">
      <sharedItems containsNonDate="0" containsString="0" containsBlank="1"/>
    </cacheField>
    <cacheField name="Закупки. Контракт" numFmtId="0">
      <sharedItems containsNonDate="0" containsString="0" containsBlank="1"/>
    </cacheField>
    <cacheField name="Закупки. Плановая дата поставки" numFmtId="0">
      <sharedItems containsNonDate="0" containsString="0" containsBlank="1"/>
    </cacheField>
    <cacheField name="Закупки. Плановая дата получения оплаты от Заказчика" numFmtId="0">
      <sharedItems containsNonDate="0" containsString="0" containsBlank="1"/>
    </cacheField>
    <cacheField name="Закупки. Фактическая дата отгрузки" numFmtId="0">
      <sharedItems containsNonDate="0" containsString="0" containsBlank="1"/>
    </cacheField>
    <cacheField name="Закупки. Фактическая дата оплаты" numFmtId="0">
      <sharedItems containsNonDate="0" containsString="0" containsBlank="1"/>
    </cacheField>
    <cacheField name="Закупки. Изменения в контракте" numFmtId="0">
      <sharedItems/>
    </cacheField>
    <cacheField name="Закупки. Вложения к изменению в контракте" numFmtId="0">
      <sharedItems containsNonDate="0" containsString="0" containsBlank="1"/>
    </cacheField>
    <cacheField name="Закупки. Фактическая дата возврата обеспечения" numFmtId="0">
      <sharedItems containsNonDate="0" containsString="0" containsBlank="1"/>
    </cacheField>
    <cacheField name="Закупки. ТЗ" numFmtId="0">
      <sharedItems containsNonDate="0" containsString="0" containsBlank="1"/>
    </cacheField>
    <cacheField name="Закупки. Документация" numFmtId="0">
      <sharedItems containsNonDate="0" containsString="0" containsBlank="1"/>
    </cacheField>
    <cacheField name="Закупки. Проект контракта" numFmtId="0">
      <sharedItems containsNonDate="0" containsString="0" containsBlank="1"/>
    </cacheField>
    <cacheField name="Закупки. Для уведомлений" numFmtId="0">
      <sharedItems containsNonDate="0" containsString="0" containsBlank="1"/>
    </cacheField>
    <cacheField name="Закупки. Сделка менеджеров ЦП" numFmtId="0">
      <sharedItems containsNonDate="0" containsString="0" containsBlank="1"/>
    </cacheField>
    <cacheField name="Закупки. Тендер-сделка" numFmtId="0">
      <sharedItems containsNonDate="0" containsString="0" containsBlank="1"/>
    </cacheField>
    <cacheField name="Закупки. Тендер-менеджер" numFmtId="0">
      <sharedItems containsNonDate="0" containsString="0" containsBlank="1"/>
    </cacheField>
    <cacheField name="Закупки. Есть обеспечение контракта" numFmtId="0">
      <sharedItems/>
    </cacheField>
    <cacheField name="Закупки. Размер обеспечения контракта" numFmtId="0">
      <sharedItems containsNonDate="0" containsString="0" containsBlank="1"/>
    </cacheField>
    <cacheField name="Закупки. Плановая дата возврата обеспечения" numFmtId="0">
      <sharedItems containsNonDate="0" containsString="0" containsBlank="1"/>
    </cacheField>
    <cacheField name="Закупки. Есть обеспечение ГО" numFmtId="0">
      <sharedItems/>
    </cacheField>
    <cacheField name="Закупки. Размер обеспечения ГО" numFmtId="0">
      <sharedItems containsNonDate="0" containsString="0" containsBlank="1"/>
    </cacheField>
    <cacheField name="Закупки. Плановая дата возврата обеспечения ГО" numFmtId="0">
      <sharedItems containsNonDate="0" containsString="0" containsBlank="1"/>
    </cacheField>
    <cacheField name="Закупки. Контракт подписан с нашей стороны" numFmtId="0">
      <sharedItems/>
    </cacheField>
    <cacheField name="Закупки. Для уведомления по контракту" numFmtId="0">
      <sharedItems containsNonDate="0" containsString="0" containsBlank="1"/>
    </cacheField>
    <cacheField name="Закупки. 2-е место" numFmtId="0">
      <sharedItems containsNonDate="0" containsString="0" containsBlank="1"/>
    </cacheField>
    <cacheField name="Закупки. Рибейт" numFmtId="0">
      <sharedItems containsNonDate="0" containsString="0" containsBlank="1"/>
    </cacheField>
    <cacheField name="Закупки. Выиграли с максимальной ценой" numFmtId="0">
      <sharedItems containsNonDate="0" containsString="0" containsBlank="1"/>
    </cacheField>
    <cacheField name="Закупки. Установлена форма акта" numFmtId="0">
      <sharedItems containsNonDate="0" containsString="0" containsBlank="1"/>
    </cacheField>
    <cacheField name="Закупки. МД.План" numFmtId="0">
      <sharedItems containsNonDate="0" containsString="0" containsBlank="1"/>
    </cacheField>
    <cacheField name="Закупки. Фактическая дата возврата обеспечения ГО" numFmtId="0">
      <sharedItems containsNonDate="0" containsString="0" containsBlank="1"/>
    </cacheField>
    <cacheField name="Закупки. Создать задачу на возврат обеспечения" numFmtId="0">
      <sharedItems containsNonDate="0" containsString="0" containsBlank="1"/>
    </cacheField>
    <cacheField name="Закупки. Размер комиссии за участие (план)" numFmtId="0">
      <sharedItems containsNonDate="0" containsString="0" containsBlank="1"/>
    </cacheField>
    <cacheField name="Закупки. Дата и время отбора" numFmtId="0">
      <sharedItems containsNonDate="0" containsString="0" containsBlank="1"/>
    </cacheField>
    <cacheField name="Закупки. Добавить событие в календарь" numFmtId="0">
      <sharedItems containsNonDate="0" containsString="0" containsBlank="1"/>
    </cacheField>
    <cacheField name="Закупки. Ссылка на папку" numFmtId="0">
      <sharedItems containsNonDate="0" containsString="0" containsBlank="1"/>
    </cacheField>
    <cacheField name="Закупки. Проголосовали2" numFmtId="0">
      <sharedItems containsNonDate="0" containsString="0" containsBlank="1"/>
    </cacheField>
    <cacheField name="Закупки. Замечания к согласованию2" numFmtId="0">
      <sharedItems containsNonDate="0" containsString="0" containsBlank="1"/>
    </cacheField>
    <cacheField name="Закупки. Есть ТЗ и ФР" numFmtId="0">
      <sharedItems/>
    </cacheField>
    <cacheField name="Закупки. Есть ПК и ДЗ" numFmtId="0">
      <sharedItems/>
    </cacheField>
    <cacheField name="Закупки. Есть К" numFmtId="0">
      <sharedItems/>
    </cacheField>
    <cacheField name="Закупки. Наличие лицензионного соглашения" numFmtId="0">
      <sharedItems containsNonDate="0" containsString="0" containsBlank="1"/>
    </cacheField>
    <cacheField name="Закупки. Спец.цена/Защита сделки" numFmtId="0">
      <sharedItems/>
    </cacheField>
    <cacheField name="Закупки. Контракт/договор" numFmtId="0">
      <sharedItems containsNonDate="0" containsString="0" containsBlank="1"/>
    </cacheField>
    <cacheField name="Закупки. Отправить рассылку на e-mail" numFmtId="0">
      <sharedItems containsNonDate="0" containsString="0" containsBlank="1"/>
    </cacheField>
    <cacheField name="Закупки. Предмет контракта" numFmtId="0">
      <sharedItems containsNonDate="0" containsString="0" containsBlank="1"/>
    </cacheField>
    <cacheField name="Закупки. Доп.расходы ИТОГО" numFmtId="0">
      <sharedItems containsNonDate="0" containsString="0" containsBlank="1"/>
    </cacheField>
    <cacheField name="Закупки. Мин.цена контракта" numFmtId="0">
      <sharedItems containsNonDate="0" containsString="0" containsBlank="1"/>
    </cacheField>
    <cacheField name="Закупки. ЭТП" numFmtId="0">
      <sharedItems containsNonDate="0" containsString="0" containsBlank="1"/>
    </cacheField>
    <cacheField name="Закупки. Комиссия (факт). СУММА" numFmtId="0">
      <sharedItems containsNonDate="0" containsString="0" containsBlank="1"/>
    </cacheField>
    <cacheField name="Закупки. Комиссия (факт). ДАТА" numFmtId="0">
      <sharedItems containsNonDate="0" containsString="0" containsBlank="1"/>
    </cacheField>
    <cacheField name="Закупки. Есть оплата комиссии за участие" numFmtId="0">
      <sharedItems containsNonDate="0" containsString="0" containsBlank="1"/>
    </cacheField>
    <cacheField name="Закупки. Акт по форме заказчика" numFmtId="0">
      <sharedItems containsNonDate="0" containsString="0" containsBlank="1"/>
    </cacheField>
    <cacheField name="Закупки. Создано" numFmtId="0">
      <sharedItems containsNonDate="0" containsString="0" containsBlank="1"/>
    </cacheField>
    <cacheField name="Закупки. Регион" numFmtId="0">
      <sharedItems containsNonDate="0" containsString="0" containsBlank="1"/>
    </cacheField>
    <cacheField name="Закупки. Согласующие" numFmtId="0">
      <sharedItems containsNonDate="0" containsString="0" containsBlank="1"/>
    </cacheField>
    <cacheField name="Закупки. Наименование объекта закупки в ЕИС" numFmtId="0">
      <sharedItems containsNonDate="0" containsString="0" containsBlank="1"/>
    </cacheField>
    <cacheField name="Закупки. Информация об объекте закупки в ЕИС" numFmtId="0">
      <sharedItems containsNonDate="0" containsString="0" containsBlank="1"/>
    </cacheField>
    <cacheField name="Закупки. Режим" numFmtId="0">
      <sharedItems containsNonDate="0" containsString="0" containsBlank="1"/>
    </cacheField>
    <cacheField name="Закупки. Продукты" numFmtId="0">
      <sharedItems containsNonDate="0" containsString="0" containsBlank="1"/>
    </cacheField>
    <cacheField name="Закупки. Наша закупка" numFmtId="0">
      <sharedItems containsNonDate="0" containsString="0" containsBlank="1"/>
    </cacheField>
    <cacheField name="ТП. Удален в 1С для Битрикс24" numFmtId="0">
      <sharedItems/>
    </cacheField>
    <cacheField name="ТП. CRM. Статистика (crmstat_conversion)" numFmtId="0">
      <sharedItems containsNonDate="0" containsString="0" containsBlank="1"/>
    </cacheField>
    <cacheField name="ТП. Предыдущий этап канбана" numFmtId="0">
      <sharedItems containsBlank="1"/>
    </cacheField>
    <cacheField name="WhatsApp Group Id" numFmtId="0">
      <sharedItems containsNonDate="0" containsString="0" containsBlank="1"/>
    </cacheField>
    <cacheField name="Telegram Group Id" numFmtId="0">
      <sharedItems containsNonDate="0" containsString="0" containsBlank="1"/>
    </cacheField>
    <cacheField name="ТП. Предыдущий заказ" numFmtId="0">
      <sharedItems containsNonDate="0" containsString="0" containsBlank="1"/>
    </cacheField>
    <cacheField name="Бюджет. Количество подведов" numFmtId="0">
      <sharedItems containsNonDate="0" containsString="0" containsBlank="1"/>
    </cacheField>
    <cacheField name="Лицензии Битрикс" numFmtId="0">
      <sharedItems containsNonDate="0" containsString="0" containsBlank="1"/>
    </cacheField>
    <cacheField name="Последняя активность" numFmtId="22">
      <sharedItems containsSemiMixedTypes="0" containsNonDate="0" containsDate="1" containsString="0" minDate="2026-08-06T12:34:47" maxDate="2026-09-02T17:16:42"/>
    </cacheField>
    <cacheField name="Дата последней коммуникации" numFmtId="0">
      <sharedItems containsNonDate="0" containsDate="1" containsString="0" containsBlank="1" minDate="2026-08-05T14:53:40" maxDate="2026-09-02T17:38:28"/>
    </cacheField>
    <cacheField name="Получить счет" numFmtId="0">
      <sharedItems containsBlank="1"/>
    </cacheField>
    <cacheField name="Создать Сделку на основании" numFmtId="0">
      <sharedItems containsBlank="1"/>
    </cacheField>
    <cacheField name="Логистика. Заявка на демо 1С" numFmtId="0">
      <sharedItems containsBlank="1"/>
    </cacheField>
    <cacheField name="Логистика. Разрешение 1С" numFmtId="0">
      <sharedItems containsNonDate="0" containsString="0" containsBlank="1"/>
    </cacheField>
    <cacheField name="Логистика. Оформить заказ" numFmtId="0">
      <sharedItems containsBlank="1"/>
    </cacheField>
    <cacheField name="Логистика. Документы / отгрузка" numFmtId="0">
      <sharedItems containsNonDate="0" containsString="0" containsBlank="1"/>
    </cacheField>
    <cacheField name="Логистика. Курьер" numFmtId="0">
      <sharedItems containsNonDate="0" containsString="0" containsBlank="1"/>
    </cacheField>
    <cacheField name="Логистика. Возврат комплектующих 1С" numFmtId="0">
      <sharedItems containsNonDate="0" containsString="0" containsBlank="1"/>
    </cacheField>
    <cacheField name="График платежей" numFmtId="0">
      <sharedItems containsNonDate="0" containsString="0" containsBlank="1"/>
    </cacheField>
    <cacheField name="ЦП.1С и ФРЕШ. Продления. Переход на другой договор поддержки" numFmtId="0">
      <sharedItems containsNonDate="0" containsString="0" containsBlank="1"/>
    </cacheField>
    <cacheField name="ЦП. Создать напоминание" numFmtId="0">
      <sharedItems containsNonDate="0" containsString="0" containsBlank="1"/>
    </cacheField>
    <cacheField name="Закупки. Запрос документов в СПС" numFmtId="0">
      <sharedItems containsNonDate="0" containsString="0" containsBlank="1"/>
    </cacheField>
    <cacheField name="ЭДО. Настроить обмен с Форус" numFmtId="0">
      <sharedItems containsNonDate="0" containsString="0" containsBlank="1"/>
    </cacheField>
    <cacheField name="ЦСВ. Оформить ФРЕШ бесплатно к ИТС.ПРОФ" numFmtId="0">
      <sharedItems containsNonDate="0" containsString="0" containsBlank="1"/>
    </cacheField>
    <cacheField name="БП. АБУ. Получить счет и акт" numFmtId="0">
      <sharedItems containsNonDate="0" containsString="0" containsBlank="1"/>
    </cacheField>
    <cacheField name="БП Возвращения сделки в работу(Сделки Возврата)" numFmtId="0">
      <sharedItems containsNonDate="0" containsString="0" containsBlank="1"/>
    </cacheField>
    <cacheField name="БП. Возвращение сделки в работу (Сделки Продления)" numFmtId="0">
      <sharedItems containsNonDate="0" containsString="0" containsBlank="1"/>
    </cacheField>
    <cacheField name="БП. Робот ПФ счета из УТ" numFmtId="0">
      <sharedItems containsNonDate="0" containsString="0" containsBlank="1"/>
    </cacheField>
    <cacheField name="ТЕСТ. БП Создание продлений из сделки" numFmtId="0">
      <sharedItems containsNonDate="0" containsString="0" containsBlank="1"/>
    </cacheField>
    <cacheField name="Контакт: ID" numFmtId="0">
      <sharedItems containsString="0" containsBlank="1" containsNumber="1" containsInteger="1" minValue="127692" maxValue="398837"/>
    </cacheField>
    <cacheField name="Контакт: Фотография" numFmtId="0">
      <sharedItems containsNonDate="0" containsString="0" containsBlank="1"/>
    </cacheField>
    <cacheField name="Контакт: Обращение" numFmtId="0">
      <sharedItems containsNonDate="0" containsString="0" containsBlank="1"/>
    </cacheField>
    <cacheField name="Контакт: Имя" numFmtId="0">
      <sharedItems containsBlank="1"/>
    </cacheField>
    <cacheField name="Контакт: Фамилия" numFmtId="0">
      <sharedItems containsBlank="1"/>
    </cacheField>
    <cacheField name="Контакт: Отчество" numFmtId="0">
      <sharedItems containsBlank="1"/>
    </cacheField>
    <cacheField name="Контакт: Дата рождения" numFmtId="0">
      <sharedItems containsDate="1" containsBlank="1" containsMixedTypes="1" minDate="1981-01-26T00:00:00" maxDate="2001-01-02T00:00:00"/>
    </cacheField>
    <cacheField name="Контакт: Должность" numFmtId="0">
      <sharedItems containsBlank="1"/>
    </cacheField>
    <cacheField name="Контакт: Тип контакта" numFmtId="0">
      <sharedItems containsBlank="1"/>
    </cacheField>
    <cacheField name="Контакт: Ответственный" numFmtId="0">
      <sharedItems containsBlank="1"/>
    </cacheField>
    <cacheField name="Контакт: Комментарий" numFmtId="0">
      <sharedItems containsBlank="1" longText="1"/>
    </cacheField>
    <cacheField name="Контакт: Источник" numFmtId="0">
      <sharedItems containsBlank="1"/>
    </cacheField>
    <cacheField name="Контакт: Дополнительно об источнике" numFmtId="0">
      <sharedItems containsBlank="1"/>
    </cacheField>
    <cacheField name="Контакт: Участвует в экспорте контактов" numFmtId="0">
      <sharedItems containsBlank="1"/>
    </cacheField>
    <cacheField name="Контакт: Кем создан" numFmtId="0">
      <sharedItems containsBlank="1"/>
    </cacheField>
    <cacheField name="Контакт: Дата создания" numFmtId="0">
      <sharedItems containsNonDate="0" containsDate="1" containsString="0" containsBlank="1" minDate="2021-07-08T17:07:57" maxDate="2026-08-31T10:39:16"/>
    </cacheField>
    <cacheField name="Контакт: Кем изменен" numFmtId="0">
      <sharedItems containsBlank="1"/>
    </cacheField>
    <cacheField name="Контакт: Дата изменения" numFmtId="0">
      <sharedItems containsNonDate="0" containsDate="1" containsString="0" containsBlank="1" minDate="2024-12-02T18:51:41" maxDate="2026-09-02T17:33:49"/>
    </cacheField>
    <cacheField name="Контакт: Создан CRM-формой" numFmtId="0">
      <sharedItems containsNonDate="0" containsString="0" containsBlank="1"/>
    </cacheField>
    <cacheField name="Контакт: Рабочий телефон" numFmtId="0">
      <sharedItems containsBlank="1" containsMixedTypes="1" containsNumber="1" containsInteger="1" minValue="73811063825" maxValue="74232300272"/>
    </cacheField>
    <cacheField name="Контакт: Мобильный телефон" numFmtId="0">
      <sharedItems containsBlank="1" containsMixedTypes="1" containsNumber="1" containsInteger="1" minValue="79001309068" maxValue="158960567556"/>
    </cacheField>
    <cacheField name="Контакт: Номер факса" numFmtId="0">
      <sharedItems containsNonDate="0" containsString="0" containsBlank="1"/>
    </cacheField>
    <cacheField name="Контакт: Домашний телефон" numFmtId="0">
      <sharedItems containsNonDate="0" containsString="0" containsBlank="1"/>
    </cacheField>
    <cacheField name="Контакт: Номер пейджера" numFmtId="0">
      <sharedItems containsNonDate="0" containsString="0" containsBlank="1"/>
    </cacheField>
    <cacheField name="Контакт: Телефон для рассылок" numFmtId="0">
      <sharedItems containsNonDate="0" containsString="0" containsBlank="1"/>
    </cacheField>
    <cacheField name="Контакт: Другой телефон" numFmtId="0">
      <sharedItems containsString="0" containsBlank="1" containsNumber="1" containsInteger="1" minValue="79212636098" maxValue="158688547696"/>
    </cacheField>
    <cacheField name="Контакт: Корпоративный сайт" numFmtId="0">
      <sharedItems containsNonDate="0" containsString="0" containsBlank="1"/>
    </cacheField>
    <cacheField name="Контакт: Личная страница" numFmtId="0">
      <sharedItems containsNonDate="0" containsString="0" containsBlank="1"/>
    </cacheField>
    <cacheField name="Контакт: Страница Facebook" numFmtId="0">
      <sharedItems containsNonDate="0" containsString="0" containsBlank="1"/>
    </cacheField>
    <cacheField name="Контакт: Страница ВКонтакте" numFmtId="0">
      <sharedItems containsNonDate="0" containsString="0" containsBlank="1"/>
    </cacheField>
    <cacheField name="Контакт: Страница LiveJournal" numFmtId="0">
      <sharedItems containsNonDate="0" containsString="0" containsBlank="1"/>
    </cacheField>
    <cacheField name="Контакт: Микроблог Twitter" numFmtId="0">
      <sharedItems containsNonDate="0" containsString="0" containsBlank="1"/>
    </cacheField>
    <cacheField name="Контакт: Другой сайт" numFmtId="0">
      <sharedItems containsNonDate="0" containsString="0" containsBlank="1"/>
    </cacheField>
    <cacheField name="Контакт: Рабочий e-mail" numFmtId="0">
      <sharedItems containsBlank="1"/>
    </cacheField>
    <cacheField name="Контакт: Частный e-mail" numFmtId="0">
      <sharedItems containsBlank="1"/>
    </cacheField>
    <cacheField name="Контакт: E-mail для рассылок" numFmtId="0">
      <sharedItems containsNonDate="0" containsString="0" containsBlank="1"/>
    </cacheField>
    <cacheField name="Контакт: Другой e-mail" numFmtId="0">
      <sharedItems containsBlank="1"/>
    </cacheField>
    <cacheField name="Контакт: Контакт Facebook" numFmtId="0">
      <sharedItems containsNonDate="0" containsString="0" containsBlank="1"/>
    </cacheField>
    <cacheField name="Контакт: Контакт Telegram" numFmtId="0">
      <sharedItems containsNonDate="0" containsString="0" containsBlank="1"/>
    </cacheField>
    <cacheField name="Контакт: Контакт ВКонтакте" numFmtId="0">
      <sharedItems containsNonDate="0" containsString="0" containsBlank="1"/>
    </cacheField>
    <cacheField name="Контакт: Контакт Skype" numFmtId="0">
      <sharedItems containsNonDate="0" containsString="0" containsBlank="1"/>
    </cacheField>
    <cacheField name="Контакт: Контакт Viber" numFmtId="0">
      <sharedItems containsNonDate="0" containsString="0" containsBlank="1"/>
    </cacheField>
    <cacheField name="Контакт: Комментарии Instagram" numFmtId="0">
      <sharedItems containsNonDate="0" containsString="0" containsBlank="1"/>
    </cacheField>
    <cacheField name="Контакт: Контакт Битрикс24 Network" numFmtId="0">
      <sharedItems containsNonDate="0" containsString="0" containsBlank="1"/>
    </cacheField>
    <cacheField name="Контакт: Онлайн-чат" numFmtId="0">
      <sharedItems containsBlank="1"/>
    </cacheField>
    <cacheField name="Контакт: Контакт Открытая линия" numFmtId="0">
      <sharedItems containsBlank="1"/>
    </cacheField>
    <cacheField name="Контакт: Контакт ICQ" numFmtId="0">
      <sharedItems containsNonDate="0" containsString="0" containsBlank="1"/>
    </cacheField>
    <cacheField name="Контакт: Другой контакт" numFmtId="0">
      <sharedItems containsNonDate="0" containsString="0" containsBlank="1"/>
    </cacheField>
    <cacheField name="Контакт: Связанный пользователь" numFmtId="0">
      <sharedItems containsBlank="1" containsMixedTypes="1" containsNumber="1" containsInteger="1" minValue="3161" maxValue="25605"/>
    </cacheField>
    <cacheField name="Контакт: Город" numFmtId="0">
      <sharedItems containsBlank="1"/>
    </cacheField>
    <cacheField name="Контакт: Дата получения согласия на обработку персональных данных" numFmtId="0">
      <sharedItems containsNonDate="0" containsDate="1" containsString="0" containsBlank="1" minDate="2018-07-14T00:00:00" maxDate="2026-09-01T00:00:00"/>
    </cacheField>
    <cacheField name="Контакт: Получено согласие на обработку персональных данных" numFmtId="0">
      <sharedItems containsBlank="1"/>
    </cacheField>
    <cacheField name="Контакт: Дата проверки Email" numFmtId="0">
      <sharedItems containsNonDate="0" containsString="0" containsBlank="1"/>
    </cacheField>
    <cacheField name="Контакт: Регион и часовой пояс" numFmtId="0">
      <sharedItems containsBlank="1"/>
    </cacheField>
    <cacheField name="Контакт: Лид. Источник сайта" numFmtId="0">
      <sharedItems containsBlank="1"/>
    </cacheField>
    <cacheField name="Контакт: ЛИД.Продуктовое направление (простое)" numFmtId="0">
      <sharedItems containsBlank="1"/>
    </cacheField>
    <cacheField name="Контакт: Не писать через мессенджер" numFmtId="0">
      <sharedItems containsBlank="1"/>
    </cacheField>
    <cacheField name="Контакт: MDMKey контакта" numFmtId="0">
      <sharedItems containsBlank="1"/>
    </cacheField>
    <cacheField name="Компания: ID" numFmtId="0">
      <sharedItems containsString="0" containsBlank="1" containsNumber="1" containsInteger="1" minValue="105269" maxValue="258712"/>
    </cacheField>
    <cacheField name="Компания: Логотип" numFmtId="0">
      <sharedItems containsNonDate="0" containsString="0" containsBlank="1"/>
    </cacheField>
    <cacheField name="Компания: Название компании" numFmtId="0">
      <sharedItems containsBlank="1"/>
    </cacheField>
    <cacheField name="Компания: Тип компании" numFmtId="0">
      <sharedItems containsBlank="1"/>
    </cacheField>
    <cacheField name="Компания: Кол-во сотрудников" numFmtId="0">
      <sharedItems containsBlank="1"/>
    </cacheField>
    <cacheField name="Компания: Ответственный" numFmtId="0">
      <sharedItems containsBlank="1"/>
    </cacheField>
    <cacheField name="Компания: Банковские реквизиты" numFmtId="0">
      <sharedItems containsNonDate="0" containsString="0" containsBlank="1"/>
    </cacheField>
    <cacheField name="Компания: Сфера деятельности" numFmtId="0">
      <sharedItems containsBlank="1"/>
    </cacheField>
    <cacheField name="Компания: Годовой оборот" numFmtId="0">
      <sharedItems containsBlank="1"/>
    </cacheField>
    <cacheField name="Компания: Валюта" numFmtId="0">
      <sharedItems containsBlank="1"/>
    </cacheField>
    <cacheField name="Компания: Комментарий" numFmtId="0">
      <sharedItems containsBlank="1" longText="1"/>
    </cacheField>
    <cacheField name="Компания: Кем создана" numFmtId="0">
      <sharedItems containsBlank="1"/>
    </cacheField>
    <cacheField name="Компания: Дата создания" numFmtId="0">
      <sharedItems containsNonDate="0" containsDate="1" containsString="0" containsBlank="1" minDate="2021-07-06T16:04:55" maxDate="2026-09-01T12:34:39"/>
    </cacheField>
    <cacheField name="Компания: Кем изменена" numFmtId="0">
      <sharedItems containsBlank="1"/>
    </cacheField>
    <cacheField name="Компания: Дата изменения" numFmtId="0">
      <sharedItems containsNonDate="0" containsDate="1" containsString="0" containsBlank="1" minDate="2026-08-06T14:23:41" maxDate="2026-09-02T17:39:18"/>
    </cacheField>
    <cacheField name="Компания: Создана CRM-формой" numFmtId="0">
      <sharedItems containsNonDate="0" containsString="0" containsBlank="1"/>
    </cacheField>
    <cacheField name="Компания: Рабочий телефон" numFmtId="0">
      <sharedItems containsString="0" containsBlank="1" containsNumber="1" containsInteger="1" minValue="73012378477" maxValue="664691635072"/>
    </cacheField>
    <cacheField name="Компания: Мобильный телефон" numFmtId="0">
      <sharedItems containsString="0" containsBlank="1" containsNumber="1" containsInteger="1" minValue="79021706807" maxValue="714990753487"/>
    </cacheField>
    <cacheField name="Компания: Номер факса" numFmtId="0">
      <sharedItems containsNonDate="0" containsString="0" containsBlank="1"/>
    </cacheField>
    <cacheField name="Компания: Домашний телефон" numFmtId="0">
      <sharedItems containsNonDate="0" containsString="0" containsBlank="1"/>
    </cacheField>
    <cacheField name="Компания: Номер пейджера" numFmtId="0">
      <sharedItems containsNonDate="0" containsString="0" containsBlank="1"/>
    </cacheField>
    <cacheField name="Компания: Телефон для рассылок" numFmtId="0">
      <sharedItems containsNonDate="0" containsString="0" containsBlank="1"/>
    </cacheField>
    <cacheField name="Компания: Другой телефон" numFmtId="0">
      <sharedItems containsString="0" containsBlank="1" containsNumber="1" containsInteger="1" minValue="79021600126" maxValue="79021600126"/>
    </cacheField>
    <cacheField name="Компания: Корпоративный сайт" numFmtId="0">
      <sharedItems containsNonDate="0" containsString="0" containsBlank="1"/>
    </cacheField>
    <cacheField name="Компания: Личная страница" numFmtId="0">
      <sharedItems containsNonDate="0" containsString="0" containsBlank="1"/>
    </cacheField>
    <cacheField name="Компания: Страница Facebook" numFmtId="0">
      <sharedItems containsNonDate="0" containsString="0" containsBlank="1"/>
    </cacheField>
    <cacheField name="Компания: Страница ВКонтакте" numFmtId="0">
      <sharedItems containsNonDate="0" containsString="0" containsBlank="1"/>
    </cacheField>
    <cacheField name="Компания: Страница LiveJournal" numFmtId="0">
      <sharedItems containsNonDate="0" containsString="0" containsBlank="1"/>
    </cacheField>
    <cacheField name="Компания: Микроблог Twitter" numFmtId="0">
      <sharedItems containsNonDate="0" containsString="0" containsBlank="1"/>
    </cacheField>
    <cacheField name="Компания: Другой сайт" numFmtId="0">
      <sharedItems containsNonDate="0" containsString="0" containsBlank="1"/>
    </cacheField>
    <cacheField name="Компания: Рабочий e-mail" numFmtId="0">
      <sharedItems containsBlank="1"/>
    </cacheField>
    <cacheField name="Компания: Частный e-mail" numFmtId="0">
      <sharedItems containsNonDate="0" containsString="0" containsBlank="1"/>
    </cacheField>
    <cacheField name="Компания: E-mail для рассылок" numFmtId="0">
      <sharedItems containsBlank="1"/>
    </cacheField>
    <cacheField name="Компания: Другой e-mail" numFmtId="0">
      <sharedItems containsNonDate="0" containsString="0" containsBlank="1"/>
    </cacheField>
    <cacheField name="Компания: Контакт Facebook" numFmtId="0">
      <sharedItems containsNonDate="0" containsString="0" containsBlank="1"/>
    </cacheField>
    <cacheField name="Компания: Контакт Telegram" numFmtId="0">
      <sharedItems containsNonDate="0" containsString="0" containsBlank="1"/>
    </cacheField>
    <cacheField name="Компания: Контакт ВКонтакте" numFmtId="0">
      <sharedItems containsNonDate="0" containsString="0" containsBlank="1"/>
    </cacheField>
    <cacheField name="Компания: Контакт Skype" numFmtId="0">
      <sharedItems containsNonDate="0" containsString="0" containsBlank="1"/>
    </cacheField>
    <cacheField name="Компания: Контакт Viber" numFmtId="0">
      <sharedItems containsNonDate="0" containsString="0" containsBlank="1"/>
    </cacheField>
    <cacheField name="Компания: Комментарии Instagram" numFmtId="0">
      <sharedItems containsNonDate="0" containsString="0" containsBlank="1"/>
    </cacheField>
    <cacheField name="Компания: Контакт Битрикс24 Network" numFmtId="0">
      <sharedItems containsNonDate="0" containsString="0" containsBlank="1"/>
    </cacheField>
    <cacheField name="Компания: Онлайн-чат" numFmtId="0">
      <sharedItems containsBlank="1"/>
    </cacheField>
    <cacheField name="Компания: Контакт Открытая линия" numFmtId="0">
      <sharedItems containsBlank="1"/>
    </cacheField>
    <cacheField name="Компания: Контакт ICQ" numFmtId="0">
      <sharedItems containsNonDate="0" containsString="0" containsBlank="1"/>
    </cacheField>
    <cacheField name="Компания: Другой контакт" numFmtId="0">
      <sharedItems containsNonDate="0" containsString="0" containsBlank="1"/>
    </cacheField>
    <cacheField name="Компания: Связанный пользователь" numFmtId="0">
      <sharedItems containsBlank="1" containsMixedTypes="1" containsNumber="1" containsInteger="1" minValue="2040" maxValue="25605"/>
    </cacheField>
    <cacheField name="Компания: Расписание работы" numFmtId="0">
      <sharedItems containsNonDate="0" containsString="0" containsBlank="1"/>
    </cacheField>
    <cacheField name="Компания: Законный дубль" numFmtId="0">
      <sharedItems containsString="0" containsBlank="1" containsNumber="1" containsInteger="1" minValue="0" maxValue="6"/>
    </cacheField>
    <cacheField name="Компания: E-mail для документов по ИТС" numFmtId="0">
      <sharedItems containsBlank="1"/>
    </cacheField>
    <cacheField name="Компания: Дата создания компании" numFmtId="0">
      <sharedItems containsNonDate="0" containsDate="1" containsString="0" containsBlank="1" minDate="1992-05-26T00:00:00" maxDate="2026-08-27T00:00:00"/>
    </cacheField>
    <cacheField name="Компания: Выручка (по данным ФНС за прошлый год)" numFmtId="0">
      <sharedItems containsNonDate="0" containsString="0" containsBlank="1"/>
    </cacheField>
    <cacheField name="Компания: ОКВЭД" numFmtId="0">
      <sharedItems containsBlank="1"/>
    </cacheField>
    <cacheField name="Компания: Родительская компания" numFmtId="0">
      <sharedItems containsBlank="1"/>
    </cacheField>
    <cacheField name="Компания: ВИП-клиент" numFmtId="0">
      <sharedItems containsBlank="1"/>
    </cacheField>
    <cacheField name="Компания: Дата первой покупки (с 2010 года)" numFmtId="0">
      <sharedItems containsNonDate="0" containsDate="1" containsString="0" containsBlank="1" minDate="2010-01-05T00:00:00" maxDate="2025-05-17T00:00:00"/>
    </cacheField>
    <cacheField name="Компания: Дата последней покупки" numFmtId="0">
      <sharedItems containsNonDate="0" containsDate="1" containsString="0" containsBlank="1" minDate="2012-02-03T00:00:00" maxDate="2025-08-28T00:00:00"/>
    </cacheField>
    <cacheField name="Компания: Рабочее наименование" numFmtId="0">
      <sharedItems containsBlank="1"/>
    </cacheField>
    <cacheField name="Компания: Город" numFmtId="0">
      <sharedItems containsBlank="1"/>
    </cacheField>
    <cacheField name="Компания: Реквизит: ИНН" numFmtId="0">
      <sharedItems containsString="0" containsBlank="1" containsNumber="1" containsInteger="1" minValue="268099770" maxValue="850300582307"/>
    </cacheField>
    <cacheField name="Компания: Система налогообложения" numFmtId="0">
      <sharedItems containsBlank="1"/>
    </cacheField>
    <cacheField name="Компания: Количество рабочих мест с ПК" numFmtId="0">
      <sharedItems containsNonDate="0" containsString="0" containsBlank="1"/>
    </cacheField>
    <cacheField name="Компания: Резюме о компании" numFmtId="0">
      <sharedItems containsBlank="1"/>
    </cacheField>
    <cacheField name="Компания: Сфера деятельности компании" numFmtId="0">
      <sharedItems containsBlank="1"/>
    </cacheField>
    <cacheField name="Компания: E-mail для документов" numFmtId="0">
      <sharedItems containsBlank="1"/>
    </cacheField>
    <cacheField name="Компания: Менеджер направления" numFmtId="0">
      <sharedItems containsNonDate="0" containsString="0" containsBlank="1"/>
    </cacheField>
    <cacheField name="Компания: Количество сотрудников" numFmtId="0">
      <sharedItems containsBlank="1"/>
    </cacheField>
    <cacheField name="Компания: Источник" numFmtId="0">
      <sharedItems containsBlank="1"/>
    </cacheField>
    <cacheField name="Компания: Лид. Источник сайта" numFmtId="0">
      <sharedItems containsNonDate="0" containsString="0" containsBlank="1"/>
    </cacheField>
    <cacheField name="Компания: Вид компании" numFmtId="0">
      <sharedItems containsBlank="1"/>
    </cacheField>
    <cacheField name="Компания: ОПФ" numFmtId="0">
      <sharedItems containsBlank="1"/>
    </cacheField>
    <cacheField name="Компания: Регистрационный номер в Арфе" numFmtId="0">
      <sharedItems containsString="0" containsBlank="1" containsNumber="1" containsInteger="1" minValue="2298" maxValue="129249"/>
    </cacheField>
    <cacheField name="Компания: Регион и часовой пояс" numFmtId="0">
      <sharedItems containsBlank="1"/>
    </cacheField>
    <cacheField name="Компания: ЛИД.Продуктовое направление (простое)" numFmtId="0">
      <sharedItems containsNonDate="0" containsString="0" containsBlank="1"/>
    </cacheField>
    <cacheField name="Компания: БО. Филиал" numFmtId="0">
      <sharedItems containsBlank="1"/>
    </cacheField>
    <cacheField name="Компания: БО. Тарифный план" numFmtId="0">
      <sharedItems containsBlank="1"/>
    </cacheField>
    <cacheField name="Компания: Кабинет клиента. Статус" numFmtId="0">
      <sharedItems containsBlank="1"/>
    </cacheField>
    <cacheField name="Компания: Кабинет клиента. Администратор" numFmtId="0">
      <sharedItems containsBlank="1"/>
    </cacheField>
    <cacheField name="Компания: Количество сотрудников Б24" numFmtId="0">
      <sharedItems containsString="0" containsBlank="1" containsNumber="1" containsInteger="1" minValue="5" maxValue="5"/>
    </cacheField>
    <cacheField name="Компания: БО. ПДЗ (число)" numFmtId="0">
      <sharedItems containsString="0" containsBlank="1" containsNumber="1" containsInteger="1" minValue="1" maxValue="12"/>
    </cacheField>
    <cacheField name="Компания: АБУ.Рабочая Группа" numFmtId="0">
      <sharedItems containsBlank="1"/>
    </cacheField>
    <cacheField name="Компания: Агент" numFmtId="0">
      <sharedItems containsBlank="1"/>
    </cacheField>
    <cacheField name="Компания: Сфера деятельности. Основная" numFmtId="0">
      <sharedItems containsBlank="1"/>
    </cacheField>
    <cacheField name="Компания: Сфера деятельности. Дополнительная" numFmtId="0">
      <sharedItems containsNonDate="0" containsString="0" containsBlank="1"/>
    </cacheField>
    <cacheField name="Компания: Дополнительно об источнике" numFmtId="0">
      <sharedItems containsBlank="1"/>
    </cacheField>
    <cacheField name="Компания: Торговая компания. Тип сбыта" numFmtId="0">
      <sharedItems containsBlank="1"/>
    </cacheField>
    <cacheField name="Компания: MDMKe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">
  <r>
    <n v="320462"/>
    <s v="ЦП. ФРЕШ. Продажи"/>
    <s v="Y"/>
    <s v="N"/>
    <x v="0"/>
    <m/>
    <m/>
    <m/>
    <m/>
    <m/>
    <s v="Россинский Вадим"/>
    <s v="ONE_C"/>
    <s v="ФРЕШ. Сервисы - ИП Христофорова Юлия Владимировна 381004536403#"/>
    <s v="Продажа"/>
    <s v="CRM-форма"/>
    <s v="ОСТАЛЬНЫЕ СЕРВИСЫ 1С - (ФОРУС)"/>
    <n v="5000"/>
    <s v="Российский рубль"/>
    <s v="ИП Христофорова Юлия Владимировна 381004536403#"/>
    <s v="Ирина"/>
    <m/>
    <s v="нет"/>
    <d v="2026-08-31T16:16:44"/>
    <s v="Россинский Вадим"/>
    <d v="2026-09-01T14:11:06"/>
    <s v="ROBOT"/>
    <d v="2026-08-31T00:00:00"/>
    <d v="2026-09-07T00:00:00"/>
    <s v="1С-ЭДО. ЭПД-1000 на 12 месяцев"/>
    <n v="5000"/>
    <n v="1"/>
    <m/>
    <m/>
    <m/>
    <m/>
    <m/>
    <n v="5"/>
    <d v="2026-09-01T14:02:33"/>
    <m/>
    <m/>
    <m/>
    <m/>
    <m/>
    <m/>
    <s v="Договор-оферта"/>
    <s v="Нет"/>
    <n v="1"/>
    <s v="irk.flex@gmail.com"/>
    <n v="79501444992"/>
    <m/>
    <s v="село Урик"/>
    <s v="ЦП. 1С и ИТС. Коммерция"/>
    <d v="2026-10-09T00:00:00"/>
    <m/>
    <m/>
    <d v="2026-09-01T00:00:00"/>
    <d v="2027-08-31T00:00:00"/>
    <m/>
    <n v="0"/>
    <s v="Ирина"/>
    <m/>
    <m/>
    <m/>
    <n v="3"/>
    <s v="/upload/crm/fdf/ws1qwh8a2wrqexy0ur0yqwa27lrw5x9c/Договор-оферта.txt"/>
    <s v="ФРДТ-019315"/>
    <m/>
    <s v="ЦП. 1С. Коммерция"/>
    <m/>
    <m/>
    <m/>
    <m/>
    <d v="2026-08-31T00:00:00"/>
    <m/>
    <m/>
    <s v="[CO]ООО НПФ &quot;ФОРУС&quot; 3812023430#"/>
    <s v="Сервисы"/>
    <s v="Почта России"/>
    <s v="Доступ в сервисе"/>
    <s v="Коммерческие"/>
    <m/>
    <m/>
    <s v="Обычный"/>
    <m/>
    <s v="Да"/>
    <s v="#Загружено из Битрикс-Коробка# оформлен во фреше"/>
    <d v="2026-08-31T00:00:00"/>
    <m/>
    <n v="267813"/>
    <s v="1С-ЭДО ЭПД"/>
    <m/>
    <m/>
    <n v="12"/>
    <m/>
    <m/>
    <m/>
    <s v="Не было отгрузок"/>
    <m/>
    <m/>
    <m/>
    <m/>
    <s v="Нет"/>
    <m/>
    <m/>
    <m/>
    <s v="ФРЕШ. Сервисы"/>
    <s v="1С:Бух +ЭТК"/>
    <n v="310953"/>
    <m/>
    <m/>
    <m/>
    <s v="Оформить подписку / отгрузка"/>
    <s v="ФРЕШ и ГРМ"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9-01T14:09:42"/>
    <d v="2026-09-01T10:40:09"/>
    <m/>
    <m/>
    <m/>
    <m/>
    <m/>
    <m/>
    <m/>
    <m/>
    <m/>
    <m/>
    <m/>
    <m/>
    <m/>
    <m/>
    <m/>
    <m/>
    <m/>
    <m/>
    <m/>
    <n v="314510"/>
    <m/>
    <m/>
    <s v="Ирина"/>
    <m/>
    <m/>
    <m/>
    <m/>
    <s v="Клиенты"/>
    <s v="ROBOT"/>
    <s v="дала 50-44-70"/>
    <s v="Звонок"/>
    <s v="Звонок поступил на номер: ЦП Общий 78-00-00 (14)."/>
    <s v="Да"/>
    <s v="Сукиасян Каролина"/>
    <d v="2023-09-12T10:08:36"/>
    <s v="ROBOT_UT"/>
    <d v="2026-09-02T06:44:34"/>
    <m/>
    <m/>
    <n v="79501444992"/>
    <m/>
    <m/>
    <m/>
    <m/>
    <m/>
    <m/>
    <m/>
    <m/>
    <m/>
    <m/>
    <m/>
    <m/>
    <s v="bsp-irk@yandex.ru"/>
    <m/>
    <m/>
    <m/>
    <m/>
    <m/>
    <m/>
    <m/>
    <m/>
    <m/>
    <m/>
    <m/>
    <m/>
    <m/>
    <m/>
    <m/>
    <s v="Иркутск г"/>
    <d v="2023-09-12T00:00:00"/>
    <s v="Да"/>
    <m/>
    <s v="Иркутская область 0 часов"/>
    <m/>
    <m/>
    <s v="Нет"/>
    <s v="9a64f8fa-6322-420a-bd8a-121ed56e37d5"/>
    <n v="236168"/>
    <m/>
    <s v="ИП Христофорова Юлия Владимировна 381004536403#"/>
    <s v="Клиент"/>
    <s v="менее 50"/>
    <s v="ROBOT"/>
    <m/>
    <s v="Информационные технологии"/>
    <m/>
    <s v="Российский рубль"/>
    <s v="[p] FR310953 [/p]"/>
    <s v="Соколов Артём"/>
    <d v="2025-03-19T14:47:27"/>
    <s v="ROBOT_UT"/>
    <d v="2026-09-01T14:11:07"/>
    <m/>
    <m/>
    <m/>
    <m/>
    <m/>
    <m/>
    <m/>
    <m/>
    <m/>
    <m/>
    <m/>
    <m/>
    <m/>
    <m/>
    <m/>
    <s v="biznes@nalog-irk.ru"/>
    <m/>
    <s v="biznes@nalog-irk.ru"/>
    <m/>
    <m/>
    <m/>
    <m/>
    <m/>
    <m/>
    <m/>
    <m/>
    <m/>
    <m/>
    <m/>
    <m/>
    <m/>
    <m/>
    <n v="0"/>
    <s v="biznes@nalog-irk.ru"/>
    <m/>
    <m/>
    <s v="69.20 Деятельность по оказанию услуг в области бухгалтерского учета, по проведению финансового аудита, по налоговому консультированию"/>
    <m/>
    <s v="Нет"/>
    <d v="2025-03-24T00:00:00"/>
    <d v="2025-08-27T00:00:00"/>
    <s v="ИП Христофорова Юлия Владимировна"/>
    <s v="село Урик"/>
    <n v="381004536403"/>
    <m/>
    <m/>
    <m/>
    <m/>
    <s v="biznes@nalog-irk.ru"/>
    <m/>
    <m/>
    <s v="Свой контакт (Менеджер)"/>
    <m/>
    <s v="Коммерческие"/>
    <s v="ИП"/>
    <n v="112854"/>
    <s v="Иркутская область 0 часов"/>
    <m/>
    <m/>
    <m/>
    <s v="Да, компания работает"/>
    <s v="[C]Христофорова Юлия Владимировна"/>
    <m/>
    <m/>
    <m/>
    <s v="Нет"/>
    <s v="Услуги. Бухгалтерский учёт и аутсорсинг"/>
    <m/>
    <m/>
    <m/>
    <s v="bac011dd-5d4d-4b34-85c5-842144b3d3d7"/>
  </r>
  <r>
    <n v="320458"/>
    <s v="ЦП. 1С. Продажи"/>
    <s v="N"/>
    <s v="N"/>
    <x v="1"/>
    <m/>
    <m/>
    <m/>
    <m/>
    <m/>
    <s v="Багланова Антонина"/>
    <m/>
    <s v="ИП Непомнящих Евгений Николаевич 382400966063# 1С КП и Сервисы"/>
    <s v="Продажа"/>
    <s v="Звонок"/>
    <s v="Входящий"/>
    <s v="0.00"/>
    <s v="Российский рубль"/>
    <s v="ИП Непомнящих Евгений Николаевич 382400966063#"/>
    <s v="Виктория"/>
    <m/>
    <s v="нет"/>
    <d v="2026-08-31T16:05:27"/>
    <s v="Багланова Антонина"/>
    <d v="2026-08-31T16:14:21"/>
    <s v="ROBOT_M"/>
    <d v="2026-08-31T00:00:00"/>
    <d v="2026-09-07T00:00:00"/>
    <m/>
    <m/>
    <m/>
    <m/>
    <m/>
    <m/>
    <m/>
    <m/>
    <n v="27"/>
    <d v="2026-08-31T16:14:19"/>
    <m/>
    <m/>
    <m/>
    <m/>
    <m/>
    <m/>
    <m/>
    <s v="Нет"/>
    <n v="1"/>
    <m/>
    <m/>
    <m/>
    <s v="Черемхово г"/>
    <s v="ЦП. 1С и ИТС. Коммерция"/>
    <m/>
    <m/>
    <m/>
    <m/>
    <m/>
    <m/>
    <n v="0"/>
    <m/>
    <m/>
    <m/>
    <m/>
    <n v="2"/>
    <m/>
    <m/>
    <m/>
    <s v="ЦП. 1С. Коммерция"/>
    <m/>
    <m/>
    <m/>
    <m/>
    <m/>
    <m/>
    <m/>
    <m/>
    <m/>
    <m/>
    <m/>
    <s v="Коммерческие"/>
    <m/>
    <m/>
    <s v="Обычный"/>
    <m/>
    <m/>
    <m/>
    <m/>
    <m/>
    <m/>
    <m/>
    <m/>
    <m/>
    <m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Другие сервисы"/>
    <s v="Отправить счет/договор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s v="Логистика и транспорт"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Отправить счет"/>
    <m/>
    <m/>
    <m/>
    <m/>
    <m/>
    <d v="2026-08-31T16:05:27"/>
    <d v="2026-08-31T16:23:02"/>
    <m/>
    <m/>
    <m/>
    <m/>
    <m/>
    <m/>
    <m/>
    <m/>
    <m/>
    <m/>
    <m/>
    <m/>
    <m/>
    <m/>
    <m/>
    <m/>
    <m/>
    <m/>
    <m/>
    <n v="332955"/>
    <m/>
    <m/>
    <s v="Виктория"/>
    <m/>
    <m/>
    <m/>
    <m/>
    <m/>
    <s v="ROBOT"/>
    <s v="Не могут войти в личный кабинет. Дала 03.."/>
    <s v="Налоговая (вендинговые аппараты)"/>
    <s v="Звонок поступил на номер: +7 395 271-62-92."/>
    <s v="Да"/>
    <s v="Безроднова Юлия"/>
    <d v="2024-05-03T11:45:16"/>
    <s v="ROBOT"/>
    <d v="2026-08-31T16:03:05"/>
    <m/>
    <m/>
    <n v="79500979554"/>
    <m/>
    <m/>
    <m/>
    <m/>
    <m/>
    <m/>
    <m/>
    <m/>
    <m/>
    <m/>
    <m/>
    <m/>
    <s v="vika.nepomnyachih@yandex.ru"/>
    <m/>
    <m/>
    <m/>
    <m/>
    <m/>
    <m/>
    <m/>
    <m/>
    <m/>
    <m/>
    <m/>
    <m/>
    <m/>
    <m/>
    <m/>
    <s v="Черемхово г"/>
    <d v="2024-05-03T00:00:00"/>
    <s v="Да"/>
    <m/>
    <s v="Иркутская область 0 часов"/>
    <m/>
    <m/>
    <s v="Нет"/>
    <s v="50880431-1735-443f-9185-4c67343e506a"/>
    <n v="220282"/>
    <m/>
    <s v="ИП Непомнящих Евгений Николаевич 382400966063#"/>
    <s v="Клиент"/>
    <m/>
    <s v="ROBOT"/>
    <m/>
    <m/>
    <m/>
    <s v="Российский рубль"/>
    <s v="Не могут войти в личный кабинет. Дала 03."/>
    <s v="Безроднова Юлия"/>
    <d v="2024-05-03T11:45:15"/>
    <s v="ROBOT_UT"/>
    <d v="2026-08-31T16:50:40"/>
    <m/>
    <m/>
    <n v="79500979554"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s v="49.41 Деятельность автомобильного грузового транспорта"/>
    <m/>
    <s v="Нет"/>
    <m/>
    <m/>
    <s v="ИП Непомнящих Евгений Николаевич"/>
    <s v="Черемхово г"/>
    <n v="382400966063"/>
    <m/>
    <m/>
    <m/>
    <m/>
    <m/>
    <m/>
    <m/>
    <s v="Налоговая (вендинговые аппараты)"/>
    <m/>
    <s v="Коммерческие"/>
    <s v="ИП"/>
    <n v="103438"/>
    <s v="Иркутская область 0 часов"/>
    <m/>
    <m/>
    <m/>
    <s v="Нет"/>
    <m/>
    <m/>
    <m/>
    <m/>
    <s v="Нет"/>
    <s v="Услуги. Перевозки, логистика, склад"/>
    <m/>
    <m/>
    <m/>
    <s v="2b70f56a-b211-412f-abe9-213beef7447e"/>
  </r>
  <r>
    <n v="320448"/>
    <s v="ЦП. 1С. Продажи"/>
    <s v="Y"/>
    <s v="N"/>
    <x v="0"/>
    <m/>
    <m/>
    <m/>
    <m/>
    <m/>
    <s v="Соболев Максим"/>
    <s v="ONE_C"/>
    <s v="ООО &quot;НАШ УРОЖАЙ&quot; 5031132743# - 1С-ЭПД"/>
    <s v="Продажа"/>
    <s v="Свой контакт (Менеджер)"/>
    <m/>
    <n v="1400"/>
    <s v="Российский рубль"/>
    <s v="ООО &quot;НАШ УРОЖАЙ&quot; 5031132743#"/>
    <s v="Наталья"/>
    <m/>
    <s v="нет"/>
    <d v="2026-08-31T15:24:06"/>
    <s v="Соболев Максим"/>
    <d v="2026-09-01T09:12:43"/>
    <s v="ROBOT_M"/>
    <d v="2026-08-31T00:00:00"/>
    <d v="2026-09-07T00:00:00"/>
    <s v="1С-ЭДО. ЭПД-200 на 12 месяцев"/>
    <n v="1400"/>
    <n v="1"/>
    <m/>
    <m/>
    <m/>
    <m/>
    <m/>
    <n v="5"/>
    <d v="2026-09-01T09:12:41"/>
    <m/>
    <m/>
    <m/>
    <m/>
    <m/>
    <m/>
    <s v="Договор-оферта"/>
    <s v="Нет"/>
    <n v="1"/>
    <m/>
    <m/>
    <s v="[CO]ООО &quot;НАШ УРОЖАЙ&quot; 5031132743#"/>
    <s v="Черноголовка г"/>
    <s v="ЦП. 1С и ИТС. Коммерция"/>
    <m/>
    <m/>
    <m/>
    <m/>
    <m/>
    <m/>
    <n v="0"/>
    <m/>
    <m/>
    <m/>
    <m/>
    <n v="1"/>
    <s v="/upload/crm/b1d/gpn71cwbc64ss346xoh5b1ydec29o78e/Договор-оферта.txt"/>
    <s v="ФРДТ-019303"/>
    <m/>
    <s v="ЦП. 1С. Коммерция"/>
    <m/>
    <m/>
    <m/>
    <m/>
    <d v="2026-08-31T00:00:00"/>
    <m/>
    <m/>
    <s v="[CO]ООО НПФ &quot;ФОРУС&quot; 3812023430#"/>
    <s v="Сервисы"/>
    <m/>
    <m/>
    <s v="Коммерческие"/>
    <m/>
    <m/>
    <s v="Обычный"/>
    <m/>
    <m/>
    <s v="#Загружено из Битрикс-Коробка#"/>
    <d v="2026-08-31T00:00:00"/>
    <m/>
    <m/>
    <s v="1С-ЭДО ЭПД"/>
    <m/>
    <m/>
    <m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-ЭПД"/>
    <s v="Контроль сделк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сделки"/>
    <m/>
    <m/>
    <m/>
    <m/>
    <m/>
    <d v="2026-09-01T09:12:41"/>
    <d v="2026-08-31T18:18:48"/>
    <s v="Завершен"/>
    <m/>
    <m/>
    <m/>
    <m/>
    <m/>
    <m/>
    <m/>
    <m/>
    <m/>
    <m/>
    <m/>
    <m/>
    <m/>
    <m/>
    <m/>
    <m/>
    <m/>
    <m/>
    <n v="324453"/>
    <m/>
    <m/>
    <s v="Наталья"/>
    <m/>
    <m/>
    <m/>
    <m/>
    <m/>
    <s v="ROBOT_M"/>
    <m/>
    <m/>
    <m/>
    <s v="Да"/>
    <s v="Антипин Андрей"/>
    <d v="2024-01-13T17:26:05"/>
    <s v="ROBOT"/>
    <d v="2026-09-01T08:47:38"/>
    <m/>
    <m/>
    <n v="79168111286"/>
    <m/>
    <m/>
    <m/>
    <m/>
    <m/>
    <m/>
    <m/>
    <m/>
    <m/>
    <m/>
    <m/>
    <m/>
    <s v="nata2527@mail.ru"/>
    <m/>
    <m/>
    <m/>
    <m/>
    <m/>
    <m/>
    <m/>
    <m/>
    <m/>
    <m/>
    <m/>
    <m/>
    <m/>
    <m/>
    <m/>
    <s v="Черноголовка г"/>
    <d v="2024-01-13T00:00:00"/>
    <s v="Да"/>
    <m/>
    <s v="Москва и Московская область - 5 час"/>
    <m/>
    <m/>
    <s v="Нет"/>
    <s v="a6975956-b276-46c9-9721-48e938acd839"/>
    <n v="126025"/>
    <m/>
    <s v="ООО &quot;НАШ УРОЖАЙ&quot; 5031132743#"/>
    <s v="Клиент. Группа компаний"/>
    <m/>
    <s v="ROBOT"/>
    <m/>
    <m/>
    <m/>
    <s v="Российский рубль"/>
    <m/>
    <s v="ROBOT_M"/>
    <d v="2021-07-07T11:00:41"/>
    <s v="ROBOT_UT"/>
    <d v="2026-09-01T09:11:19"/>
    <m/>
    <m/>
    <n v="79850091186"/>
    <m/>
    <m/>
    <m/>
    <m/>
    <m/>
    <m/>
    <m/>
    <m/>
    <m/>
    <m/>
    <m/>
    <m/>
    <s v="nata22527@mail.ru"/>
    <m/>
    <m/>
    <m/>
    <m/>
    <m/>
    <m/>
    <m/>
    <m/>
    <m/>
    <m/>
    <m/>
    <m/>
    <m/>
    <m/>
    <m/>
    <m/>
    <n v="0"/>
    <s v="nata22527@mail.ru"/>
    <d v="2019-02-04T00:00:00"/>
    <m/>
    <s v="01.13 Выращивание овощей, бахчевых, корнеплодных и клубнеплодных культур, грибов и трюфелей"/>
    <s v="[CO]ООО &quot;НАШ УРОЖАЙ&quot; 5031132743#"/>
    <s v="Нет"/>
    <d v="2021-02-01T00:00:00"/>
    <d v="2025-02-28T00:00:00"/>
    <s v="Наш Урожай, ООО"/>
    <s v="Черноголовка г"/>
    <n v="5031132743"/>
    <m/>
    <m/>
    <m/>
    <m/>
    <s v="nata22527@mail.ru"/>
    <m/>
    <m/>
    <m/>
    <m/>
    <s v="Коммерческие"/>
    <s v="ООО"/>
    <n v="86652"/>
    <s v="Москва и Московская область - 5 час"/>
    <m/>
    <m/>
    <m/>
    <m/>
    <m/>
    <m/>
    <m/>
    <m/>
    <s v="Нет"/>
    <s v="Производство. Сельское хозяйство"/>
    <m/>
    <m/>
    <m/>
    <s v="ceff238a-4482-41ba-8ff9-b7215e6d05e4"/>
  </r>
  <r>
    <n v="320446"/>
    <s v="ЦП. ФРЕШ. Продажи"/>
    <s v="Y"/>
    <s v="N"/>
    <x v="2"/>
    <m/>
    <m/>
    <m/>
    <m/>
    <m/>
    <s v="Россинский Вадим"/>
    <s v="ONE_C"/>
    <s v="ФРЕШ. Базовый - ИП Руденко Максим Николаевич 753005123316#"/>
    <s v="Продажа"/>
    <s v="По рекомендации/ Почкование"/>
    <s v="От БО"/>
    <n v="9500"/>
    <s v="Российский рубль"/>
    <s v="ИП Руденко Максим Николаевич 753005123316#"/>
    <s v="Руденко Максим Николаевич"/>
    <m/>
    <s v="нет"/>
    <d v="2026-08-31T15:15:34"/>
    <s v="Россинский Вадим"/>
    <d v="2026-09-02T15:24:02"/>
    <s v="ROBOT"/>
    <d v="2026-08-31T00:00:00"/>
    <d v="2026-09-07T00:00:00"/>
    <s v="1С:Фреш - 1C:Предприятие 8 через Интернет. Базовый на 6 мес. (&lt;&gt;)"/>
    <n v="9500"/>
    <n v="1"/>
    <m/>
    <m/>
    <m/>
    <m/>
    <m/>
    <n v="15488"/>
    <d v="2026-09-02T10:54:28"/>
    <m/>
    <m/>
    <m/>
    <m/>
    <m/>
    <m/>
    <s v="Договор-оферта"/>
    <s v="Нет"/>
    <n v="1"/>
    <s v="chiniks38@mail.ru"/>
    <s v="7 950 084-01-23"/>
    <m/>
    <s v="деревня Усть-Куда"/>
    <s v="ЦП. 1С и ИТС. Коммерция"/>
    <d v="2026-09-30T00:00:00"/>
    <m/>
    <m/>
    <d v="2026-09-02T00:00:00"/>
    <d v="2027-03-01T00:00:00"/>
    <m/>
    <n v="1"/>
    <s v="Максим"/>
    <m/>
    <m/>
    <m/>
    <n v="5"/>
    <s v="/upload/crm/303/pt7i07y1ogq3vzldgfm3hb3pknorg414/Договор-оферта.txt"/>
    <s v="ФРДТ-019294"/>
    <m/>
    <s v="ЦП. 1С. Коммерция"/>
    <m/>
    <m/>
    <m/>
    <m/>
    <d v="2026-08-31T00:00:00"/>
    <m/>
    <m/>
    <s v="[CO]ООО НПФ &quot;ФОРУС&quot; 3812023430#"/>
    <s v="Сервисы"/>
    <s v="Почта России"/>
    <s v="Доступ в сервисе"/>
    <s v="Коммерческие"/>
    <m/>
    <m/>
    <s v="Обычный"/>
    <m/>
    <s v="Да"/>
    <s v="#Загружено из Битрикс-Коробка#"/>
    <d v="2026-08-31T00:00:00"/>
    <m/>
    <m/>
    <s v="Фреш Коммерс Базовый"/>
    <m/>
    <m/>
    <n v="6"/>
    <m/>
    <m/>
    <m/>
    <s v="Не было отгрузок"/>
    <m/>
    <m/>
    <m/>
    <m/>
    <s v="Нет"/>
    <m/>
    <m/>
    <m/>
    <s v="ФРЕШ. Базовый"/>
    <s v="1С:УНФ"/>
    <m/>
    <m/>
    <m/>
    <m/>
    <s v="Оформить подписку / отгрузка"/>
    <s v="ФРЕШ и ГРМ"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9-02T14:57:40"/>
    <d v="2026-09-02T17:38:28"/>
    <m/>
    <m/>
    <m/>
    <m/>
    <m/>
    <m/>
    <m/>
    <m/>
    <m/>
    <m/>
    <m/>
    <m/>
    <m/>
    <m/>
    <m/>
    <m/>
    <m/>
    <m/>
    <m/>
    <n v="398219"/>
    <m/>
    <m/>
    <s v="Максим"/>
    <s v="Руденко"/>
    <s v="Николаевич"/>
    <m/>
    <m/>
    <s v="Клиенты"/>
    <s v="ROBOT"/>
    <m/>
    <s v="Свой контакт (Менеджер)"/>
    <m/>
    <s v="Да"/>
    <s v="Семенова Татьяна"/>
    <d v="2026-08-20T14:47:13"/>
    <s v="ROBOT"/>
    <d v="2026-09-02T16:06:50"/>
    <m/>
    <m/>
    <n v="79500840123"/>
    <m/>
    <m/>
    <m/>
    <m/>
    <m/>
    <m/>
    <m/>
    <m/>
    <m/>
    <m/>
    <m/>
    <m/>
    <s v="grooft.x@gmail.com"/>
    <m/>
    <m/>
    <m/>
    <m/>
    <m/>
    <m/>
    <m/>
    <m/>
    <m/>
    <m/>
    <m/>
    <m/>
    <m/>
    <m/>
    <m/>
    <s v="нас. пункт Усть-Куда д"/>
    <d v="2026-08-20T00:00:00"/>
    <s v="Да"/>
    <m/>
    <s v="Иркутская область 0 часов"/>
    <m/>
    <m/>
    <s v="Нет"/>
    <s v="ae171064-4972-4869-805e-4b94e2939575"/>
    <n v="258315"/>
    <m/>
    <s v="ИП Руденко Максим Николаевич 753005123316#"/>
    <s v="Клиент"/>
    <s v="менее 50"/>
    <s v="ROBOT"/>
    <m/>
    <s v="Информационные технологии"/>
    <s v="0.00"/>
    <s v="Российский рубль"/>
    <s v="[p] ИП Руденко Максим Николаевич Торговля розничная Факт.адрес Иркутск Юр.адрес: УСН Доходы - Расходы​ Иркутская обл, р-н Иркутский, д Усть-Куда [/p]"/>
    <s v="Семенова Татьяна"/>
    <d v="2026-08-20T13:15:34"/>
    <s v="ROBOT_M"/>
    <d v="2026-09-02T16:06:51"/>
    <m/>
    <m/>
    <n v="79500840123"/>
    <m/>
    <m/>
    <m/>
    <m/>
    <m/>
    <m/>
    <m/>
    <m/>
    <m/>
    <m/>
    <m/>
    <m/>
    <s v="grooft.x@gmail.com, tsemenova@forus.ru"/>
    <m/>
    <m/>
    <m/>
    <m/>
    <m/>
    <m/>
    <m/>
    <m/>
    <m/>
    <m/>
    <m/>
    <m/>
    <m/>
    <m/>
    <m/>
    <m/>
    <n v="0"/>
    <s v="grooft.x@gmail.com"/>
    <d v="2026-05-06T00:00:00"/>
    <m/>
    <s v="47.78 Торговля розничная прочая в специализированных магазинах"/>
    <m/>
    <s v="Нет"/>
    <m/>
    <m/>
    <s v="ИП Руденко Максим Николаевич"/>
    <s v="деревня Усть-Куда"/>
    <n v="753005123316"/>
    <s v="2. УСН: Доходы - Расходы"/>
    <m/>
    <s v="Продажи в магазине основной контакт Максим 79500840123 Работают в 1С:УНФ фреш Первичку вносить будет сам Дата регистрации 06.05.2026"/>
    <s v="Торговля. Прочая"/>
    <s v="grooft.x@gmail.com"/>
    <m/>
    <m/>
    <s v="Свой контакт (Менеджер)"/>
    <m/>
    <s v="Коммерческие"/>
    <s v="ИП"/>
    <n v="128933"/>
    <s v="Иркутская область 0 часов"/>
    <m/>
    <s v="Иркутск"/>
    <s v="БО. Комплексный сервис. ИП без работников"/>
    <s v="Нет"/>
    <m/>
    <m/>
    <m/>
    <s v="Рабочая группа № 9"/>
    <s v="Нет"/>
    <s v="Торговля. Прочая"/>
    <m/>
    <m/>
    <m/>
    <s v="51ba07a9-768c-4cd4-bcca-eefcf7f70f38"/>
  </r>
  <r>
    <n v="320445"/>
    <s v="ЦП. 1С. Продажи"/>
    <s v="N"/>
    <s v="Y"/>
    <x v="1"/>
    <m/>
    <m/>
    <m/>
    <m/>
    <m/>
    <s v="Соболев Максим"/>
    <s v="ONE_C"/>
    <s v="ИП Шишкина Наталья Михайловна 381015933360# 1С Разовые услуги"/>
    <s v="Продажа"/>
    <s v="Звонок"/>
    <s v="Звонок поступил на номер: ЦП 78-00-00 (62)."/>
    <n v="3660"/>
    <s v="Российский рубль"/>
    <s v="ИП Шишкина Наталья Михайловна 381015933360#"/>
    <s v="Шишкин Денис"/>
    <m/>
    <s v="нет"/>
    <d v="2026-08-31T15:10:29"/>
    <s v="Соболев Максим"/>
    <d v="2026-09-01T18:27:27"/>
    <s v="ROBOT"/>
    <d v="2026-08-31T00:00:00"/>
    <d v="2026-09-07T00:00:00"/>
    <s v="Линия консультаций и техподдержка 1С"/>
    <n v="3660"/>
    <n v="1"/>
    <m/>
    <m/>
    <m/>
    <m/>
    <m/>
    <n v="508"/>
    <d v="2026-09-01T17:49:02"/>
    <m/>
    <m/>
    <m/>
    <m/>
    <m/>
    <m/>
    <s v="Договор-оферта"/>
    <s v="Нет"/>
    <n v="1"/>
    <m/>
    <n v="79148893907"/>
    <m/>
    <s v="Иркутск г"/>
    <s v="ЦП. 1С и ИТС. Коммерция"/>
    <m/>
    <m/>
    <m/>
    <m/>
    <m/>
    <m/>
    <n v="0"/>
    <m/>
    <m/>
    <m/>
    <m/>
    <n v="1"/>
    <m/>
    <s v="ФРДТ-019293"/>
    <m/>
    <s v="ЦП. 1С. Коммерция"/>
    <m/>
    <m/>
    <m/>
    <m/>
    <d v="2026-08-31T00:00:00"/>
    <m/>
    <m/>
    <s v="[CO]ООО НПФ &quot;ФОРУС&quot; 3812023430#"/>
    <s v="Оказание услуг"/>
    <m/>
    <m/>
    <s v="Коммерческие"/>
    <m/>
    <m/>
    <s v="Обычный"/>
    <m/>
    <m/>
    <s v="#Загружено из Битрикс-Коробка#"/>
    <m/>
    <m/>
    <n v="267758"/>
    <s v="Услуги ЦСВ 1С консультации"/>
    <m/>
    <m/>
    <m/>
    <m/>
    <m/>
    <m/>
    <s v="Не было отгрузок"/>
    <m/>
    <m/>
    <m/>
    <m/>
    <s v="Нет"/>
    <m/>
    <m/>
    <m/>
    <m/>
    <m/>
    <m/>
    <m/>
    <m/>
    <m/>
    <m/>
    <s v="1С Разовые услуги"/>
    <m/>
    <m/>
    <s v="Не нужно"/>
    <m/>
    <m/>
    <m/>
    <s v="Отправить счет/договор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Отправить счет"/>
    <m/>
    <m/>
    <m/>
    <m/>
    <m/>
    <d v="2026-08-31T15:28:10"/>
    <d v="2026-08-31T16:38:42"/>
    <s v="Завершен"/>
    <m/>
    <m/>
    <m/>
    <m/>
    <m/>
    <m/>
    <m/>
    <m/>
    <m/>
    <m/>
    <m/>
    <m/>
    <m/>
    <m/>
    <m/>
    <m/>
    <m/>
    <m/>
    <n v="155771"/>
    <m/>
    <m/>
    <s v="Денис"/>
    <s v="Шишкин"/>
    <m/>
    <m/>
    <m/>
    <m/>
    <s v="ROBOT"/>
    <s v="&amp;#91;Автор=RobotIntegro&amp;#93;"/>
    <m/>
    <m/>
    <s v="Да"/>
    <s v="ROBOT_M"/>
    <d v="2021-07-09T04:02:29"/>
    <s v="ROBOT_UT"/>
    <d v="2026-09-01T19:18:01"/>
    <m/>
    <m/>
    <n v="79148893907"/>
    <m/>
    <m/>
    <m/>
    <m/>
    <m/>
    <m/>
    <m/>
    <m/>
    <m/>
    <m/>
    <m/>
    <m/>
    <s v="denis@my-irkutsk.ru"/>
    <m/>
    <m/>
    <m/>
    <m/>
    <m/>
    <m/>
    <m/>
    <m/>
    <m/>
    <m/>
    <m/>
    <m/>
    <m/>
    <m/>
    <m/>
    <s v="Иркутск г"/>
    <d v="2021-07-16T00:00:00"/>
    <s v="Да"/>
    <m/>
    <s v="Иркутская область 0 часов"/>
    <m/>
    <m/>
    <s v="Нет"/>
    <s v="07f15a10-9dff-49e9-a957-80a92e27d410"/>
    <n v="125372"/>
    <m/>
    <s v="ИП Шишкина Наталья Михайловна 381015933360#"/>
    <s v="Клиент"/>
    <m/>
    <s v="ROBOT"/>
    <m/>
    <m/>
    <m/>
    <s v="Российский рубль"/>
    <m/>
    <s v="ROBOT_M"/>
    <d v="2021-07-07T10:30:24"/>
    <s v="ROBOT_M"/>
    <d v="2026-09-01T18:28:40"/>
    <m/>
    <m/>
    <n v="158298050739"/>
    <m/>
    <m/>
    <m/>
    <m/>
    <m/>
    <m/>
    <m/>
    <m/>
    <m/>
    <m/>
    <m/>
    <m/>
    <s v="natali.shiskina.irk@gmail.com"/>
    <m/>
    <m/>
    <m/>
    <m/>
    <m/>
    <m/>
    <m/>
    <m/>
    <m/>
    <m/>
    <m/>
    <m/>
    <m/>
    <m/>
    <m/>
    <m/>
    <n v="0"/>
    <m/>
    <m/>
    <m/>
    <s v="47.11 Торговля розничная преимущественно пищевыми продуктами, включая напитки, и табачными изделиями в неспециализированных магазинах"/>
    <m/>
    <s v="Нет"/>
    <d v="2018-12-05T00:00:00"/>
    <d v="2021-12-21T00:00:00"/>
    <s v="ИП Шишкина Наталья Михайловна"/>
    <s v="Иркутск г"/>
    <n v="381015933360"/>
    <m/>
    <m/>
    <m/>
    <m/>
    <m/>
    <m/>
    <m/>
    <m/>
    <m/>
    <s v="Коммерческие"/>
    <s v="ИП"/>
    <n v="49538"/>
    <s v="Иркутская область 0 часов"/>
    <m/>
    <m/>
    <m/>
    <m/>
    <m/>
    <m/>
    <m/>
    <m/>
    <s v="Нет"/>
    <s v="Торговля. Продукты питания"/>
    <m/>
    <m/>
    <m/>
    <s v="4394d238-dbbf-4f4c-b03c-1eb5f477b1e6"/>
  </r>
  <r>
    <n v="320444"/>
    <s v="ЦП. 1С. Продажи"/>
    <s v="N"/>
    <s v="Y"/>
    <x v="3"/>
    <m/>
    <m/>
    <m/>
    <m/>
    <m/>
    <s v="Соболев Максим"/>
    <s v="ONE_C"/>
    <s v="ИП Шишкина Наталья Михайловна 381015933360# - 1С: Розница"/>
    <s v="Продажа"/>
    <s v="Звонок"/>
    <s v="Звонок поступил на номер: ЦП 78-00-00 (62)."/>
    <n v="4500"/>
    <s v="Российский рубль"/>
    <s v="ИП Шишкина Наталья Михайловна 381015933360#"/>
    <s v="Шишкин Денис"/>
    <m/>
    <s v="нет"/>
    <d v="2026-08-31T15:04:27"/>
    <s v="Соболев Максим"/>
    <d v="2026-09-01T18:27:28"/>
    <s v="ROBOT"/>
    <d v="2026-08-31T00:00:00"/>
    <d v="2026-09-07T00:00:00"/>
    <s v="1С:Рабочее место кассира. Электронная поставка"/>
    <n v="4500"/>
    <n v="1"/>
    <m/>
    <m/>
    <m/>
    <m/>
    <m/>
    <n v="508"/>
    <d v="2026-09-01T17:51:24"/>
    <m/>
    <m/>
    <m/>
    <m/>
    <m/>
    <m/>
    <s v="Договор-оферта"/>
    <s v="Нет"/>
    <n v="1"/>
    <m/>
    <n v="79148893907"/>
    <m/>
    <s v="Иркутск г"/>
    <s v="ЦП. 1С и ИТС. Коммерция"/>
    <m/>
    <m/>
    <m/>
    <m/>
    <m/>
    <m/>
    <n v="0"/>
    <m/>
    <m/>
    <m/>
    <m/>
    <n v="4"/>
    <m/>
    <s v="ФРДТ-019291"/>
    <m/>
    <s v="ЦП. 1С. Коммерция"/>
    <m/>
    <m/>
    <m/>
    <m/>
    <d v="2026-08-31T00:00:00"/>
    <m/>
    <m/>
    <s v="[CO]ООО НПФ &quot;ФОРУС&quot; 3812023430#"/>
    <s v="Сублицензионный"/>
    <m/>
    <m/>
    <s v="Коммерческие"/>
    <m/>
    <m/>
    <s v="Обычный"/>
    <m/>
    <m/>
    <s v="#Загружено из Битрикс-Коробка#"/>
    <m/>
    <m/>
    <n v="267758"/>
    <s v="1С РМК"/>
    <m/>
    <m/>
    <m/>
    <m/>
    <m/>
    <m/>
    <s v="Не было отгрузок"/>
    <m/>
    <m/>
    <m/>
    <m/>
    <s v="Нет"/>
    <m/>
    <m/>
    <m/>
    <m/>
    <m/>
    <m/>
    <m/>
    <m/>
    <m/>
    <m/>
    <s v="1С Программы и лицензии"/>
    <s v="1С: Розница"/>
    <s v="Эл. Поставка"/>
    <s v="Не нужно"/>
    <m/>
    <m/>
    <m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9-01T17:51:25"/>
    <d v="2026-09-01T17:50:56"/>
    <s v="Завершен"/>
    <m/>
    <m/>
    <m/>
    <m/>
    <m/>
    <m/>
    <m/>
    <m/>
    <m/>
    <m/>
    <m/>
    <m/>
    <m/>
    <m/>
    <m/>
    <m/>
    <m/>
    <m/>
    <n v="155771"/>
    <m/>
    <m/>
    <s v="Денис"/>
    <s v="Шишкин"/>
    <m/>
    <m/>
    <m/>
    <m/>
    <s v="ROBOT"/>
    <s v="&amp;#91;Автор=RobotIntegro&amp;#93;"/>
    <m/>
    <m/>
    <s v="Да"/>
    <s v="ROBOT_M"/>
    <d v="2021-07-09T04:02:29"/>
    <s v="ROBOT_UT"/>
    <d v="2026-09-01T19:18:01"/>
    <m/>
    <m/>
    <n v="79148893907"/>
    <m/>
    <m/>
    <m/>
    <m/>
    <m/>
    <m/>
    <m/>
    <m/>
    <m/>
    <m/>
    <m/>
    <m/>
    <s v="denis@my-irkutsk.ru"/>
    <m/>
    <m/>
    <m/>
    <m/>
    <m/>
    <m/>
    <m/>
    <m/>
    <m/>
    <m/>
    <m/>
    <m/>
    <m/>
    <m/>
    <m/>
    <s v="Иркутск г"/>
    <d v="2021-07-16T00:00:00"/>
    <s v="Да"/>
    <m/>
    <s v="Иркутская область 0 часов"/>
    <m/>
    <m/>
    <s v="Нет"/>
    <s v="07f15a10-9dff-49e9-a957-80a92e27d410"/>
    <n v="125372"/>
    <m/>
    <s v="ИП Шишкина Наталья Михайловна 381015933360#"/>
    <s v="Клиент"/>
    <m/>
    <s v="ROBOT"/>
    <m/>
    <m/>
    <m/>
    <s v="Российский рубль"/>
    <m/>
    <s v="ROBOT_M"/>
    <d v="2021-07-07T10:30:24"/>
    <s v="ROBOT_M"/>
    <d v="2026-09-01T18:28:40"/>
    <m/>
    <m/>
    <n v="158298050739"/>
    <m/>
    <m/>
    <m/>
    <m/>
    <m/>
    <m/>
    <m/>
    <m/>
    <m/>
    <m/>
    <m/>
    <m/>
    <s v="natali.shiskina.irk@gmail.com"/>
    <m/>
    <m/>
    <m/>
    <m/>
    <m/>
    <m/>
    <m/>
    <m/>
    <m/>
    <m/>
    <m/>
    <m/>
    <m/>
    <m/>
    <m/>
    <m/>
    <n v="0"/>
    <m/>
    <m/>
    <m/>
    <s v="47.11 Торговля розничная преимущественно пищевыми продуктами, включая напитки, и табачными изделиями в неспециализированных магазинах"/>
    <m/>
    <s v="Нет"/>
    <d v="2018-12-05T00:00:00"/>
    <d v="2021-12-21T00:00:00"/>
    <s v="ИП Шишкина Наталья Михайловна"/>
    <s v="Иркутск г"/>
    <n v="381015933360"/>
    <m/>
    <m/>
    <m/>
    <m/>
    <m/>
    <m/>
    <m/>
    <m/>
    <m/>
    <s v="Коммерческие"/>
    <s v="ИП"/>
    <n v="49538"/>
    <s v="Иркутская область 0 часов"/>
    <m/>
    <m/>
    <m/>
    <m/>
    <m/>
    <m/>
    <m/>
    <m/>
    <s v="Нет"/>
    <s v="Торговля. Продукты питания"/>
    <m/>
    <m/>
    <m/>
    <s v="4394d238-dbbf-4f4c-b03c-1eb5f477b1e6"/>
  </r>
  <r>
    <n v="320438"/>
    <s v="ЦП. 1С. Продажи"/>
    <s v="N"/>
    <s v="N"/>
    <x v="4"/>
    <m/>
    <m/>
    <m/>
    <m/>
    <m/>
    <s v="Багланова Антонина"/>
    <m/>
    <s v="1С:Договоры/ Документооборот"/>
    <s v="Продажа"/>
    <s v="По рекомендации/ Почкование"/>
    <s v="От Битрикса"/>
    <s v="0.00"/>
    <s v="Российский рубль"/>
    <m/>
    <s v="Наталья"/>
    <m/>
    <s v="нет"/>
    <d v="2026-08-31T14:57:32"/>
    <s v="Багланова Антонина"/>
    <d v="2026-08-31T16:22:35"/>
    <s v="ROBOT"/>
    <d v="2026-08-31T00:00:00"/>
    <d v="2026-09-07T00:00:00"/>
    <m/>
    <m/>
    <m/>
    <m/>
    <m/>
    <m/>
    <m/>
    <m/>
    <n v="27"/>
    <d v="2026-08-31T14:57:32"/>
    <m/>
    <m/>
    <m/>
    <m/>
    <m/>
    <m/>
    <m/>
    <s v="Нет"/>
    <n v="1"/>
    <m/>
    <m/>
    <m/>
    <m/>
    <s v="ЦП. 1С и ИТС. Коммерция"/>
    <m/>
    <m/>
    <m/>
    <m/>
    <m/>
    <m/>
    <m/>
    <m/>
    <m/>
    <m/>
    <m/>
    <n v="2"/>
    <m/>
    <m/>
    <m/>
    <s v="ЦП. 1С. Коммерция"/>
    <m/>
    <m/>
    <m/>
    <m/>
    <m/>
    <m/>
    <m/>
    <m/>
    <m/>
    <m/>
    <m/>
    <m/>
    <m/>
    <m/>
    <s v="Обычный"/>
    <m/>
    <m/>
    <m/>
    <m/>
    <m/>
    <m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s v="Необработанные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Необработанные"/>
    <m/>
    <m/>
    <m/>
    <m/>
    <m/>
    <d v="2026-08-31T14:57:32"/>
    <d v="2026-09-02T17:06:25"/>
    <m/>
    <m/>
    <m/>
    <m/>
    <m/>
    <m/>
    <m/>
    <m/>
    <m/>
    <m/>
    <m/>
    <m/>
    <m/>
    <m/>
    <m/>
    <m/>
    <m/>
    <m/>
    <m/>
    <n v="398837"/>
    <m/>
    <m/>
    <s v="Наталья"/>
    <m/>
    <m/>
    <m/>
    <m/>
    <s v="Клиенты"/>
    <s v="ROBOT"/>
    <m/>
    <s v="Звонок"/>
    <s v="Звонок поступил на номер: +7 395 219-92-00."/>
    <s v="Да"/>
    <s v="Марков Анатолий"/>
    <d v="2026-08-31T10:39:16"/>
    <s v="ROBOT"/>
    <d v="2026-08-31T10:39:16"/>
    <m/>
    <m/>
    <n v="79143737024"/>
    <m/>
    <m/>
    <m/>
    <m/>
    <m/>
    <m/>
    <m/>
    <m/>
    <m/>
    <m/>
    <m/>
    <m/>
    <s v="info@stroyka27.ru"/>
    <m/>
    <m/>
    <m/>
    <m/>
    <m/>
    <m/>
    <m/>
    <m/>
    <m/>
    <m/>
    <m/>
    <m/>
    <m/>
    <m/>
    <m/>
    <m/>
    <d v="2026-08-31T00:00:00"/>
    <s v="Да"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20424"/>
    <s v="1С. Комплексные продажи"/>
    <s v="Y"/>
    <s v="N"/>
    <x v="4"/>
    <m/>
    <m/>
    <m/>
    <m/>
    <m/>
    <s v="Россинский Вадим"/>
    <m/>
    <s v="Сделка #320424"/>
    <s v="Продажа"/>
    <s v="Звонок"/>
    <m/>
    <s v="0.00"/>
    <s v="Российский рубль"/>
    <s v="ООО НПК &quot;СПИРИТ&quot; 3810329663#"/>
    <s v="Прусак Евгения Олеговна"/>
    <m/>
    <s v="нет"/>
    <d v="2026-08-31T14:01:32"/>
    <s v="Россинский Вадим"/>
    <d v="2026-09-01T11:43:50"/>
    <s v="Россинский Вадим"/>
    <d v="2026-08-31T00:00:00"/>
    <d v="2026-09-07T00:00:00"/>
    <m/>
    <m/>
    <m/>
    <m/>
    <m/>
    <m/>
    <m/>
    <m/>
    <n v="15488"/>
    <d v="2026-08-31T14:01:32"/>
    <m/>
    <m/>
    <m/>
    <m/>
    <m/>
    <m/>
    <m/>
    <s v="Нет"/>
    <n v="0"/>
    <m/>
    <m/>
    <m/>
    <s v="Иркутск г"/>
    <s v="ЦП. 1С и ИТС. Коммерция"/>
    <m/>
    <m/>
    <m/>
    <m/>
    <m/>
    <m/>
    <m/>
    <m/>
    <m/>
    <m/>
    <m/>
    <n v="0"/>
    <m/>
    <m/>
    <m/>
    <s v="ЦП. 1С. Коммерция"/>
    <m/>
    <m/>
    <m/>
    <m/>
    <m/>
    <m/>
    <m/>
    <m/>
    <m/>
    <m/>
    <m/>
    <s v="Коммерческие"/>
    <m/>
    <m/>
    <s v="Обычный"/>
    <m/>
    <m/>
    <m/>
    <m/>
    <m/>
    <m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9-01T11:42:11"/>
    <d v="2026-09-01T11:42:11"/>
    <m/>
    <m/>
    <m/>
    <m/>
    <m/>
    <m/>
    <m/>
    <m/>
    <m/>
    <m/>
    <m/>
    <m/>
    <m/>
    <m/>
    <m/>
    <m/>
    <m/>
    <m/>
    <m/>
    <n v="344912"/>
    <m/>
    <m/>
    <s v="Евгения"/>
    <s v="Прусак"/>
    <s v="Олеговна"/>
    <m/>
    <m/>
    <m/>
    <s v="ROBOT"/>
    <m/>
    <m/>
    <m/>
    <s v="Да"/>
    <s v="Латышева Диана"/>
    <d v="2024-09-20T09:48:41"/>
    <s v="ROBOT_UT"/>
    <d v="2026-06-24T06:44:20"/>
    <m/>
    <m/>
    <n v="79501203453"/>
    <m/>
    <m/>
    <m/>
    <m/>
    <m/>
    <m/>
    <m/>
    <m/>
    <m/>
    <m/>
    <m/>
    <m/>
    <s v="baa@spirit-irk.ru, peo@spirit-irk.ru, buh@spirit-irk.ru"/>
    <m/>
    <m/>
    <m/>
    <m/>
    <m/>
    <m/>
    <m/>
    <m/>
    <m/>
    <m/>
    <m/>
    <m/>
    <m/>
    <m/>
    <m/>
    <s v="Иркутск г"/>
    <m/>
    <s v="Да"/>
    <m/>
    <s v="Иркутская область 0 часов"/>
    <m/>
    <m/>
    <s v="Нет"/>
    <s v="0c9910db-b5d4-4eb5-86a4-e7d6104bade7"/>
    <n v="124066"/>
    <m/>
    <s v="ООО НПК &quot;СПИРИТ&quot; 3810329663#"/>
    <s v="Клиент"/>
    <m/>
    <s v="ROBOT"/>
    <m/>
    <m/>
    <m/>
    <s v="Российский рубль"/>
    <s v="Обновлять удобней утром."/>
    <s v="ROBOT_M"/>
    <d v="2021-07-07T09:31:16"/>
    <s v="ROBOT_M"/>
    <d v="2026-09-01T12:19:39"/>
    <m/>
    <n v="73952767540"/>
    <n v="158526980122"/>
    <m/>
    <m/>
    <m/>
    <m/>
    <m/>
    <m/>
    <m/>
    <m/>
    <m/>
    <m/>
    <m/>
    <m/>
    <m/>
    <m/>
    <s v="buh@spirit-irk.ru"/>
    <m/>
    <m/>
    <m/>
    <m/>
    <m/>
    <m/>
    <m/>
    <m/>
    <m/>
    <m/>
    <m/>
    <m/>
    <m/>
    <m/>
    <n v="0"/>
    <s v="buh@spirit-irk.ru"/>
    <d v="2013-03-15T00:00:00"/>
    <m/>
    <s v="28.92 Производство машин и оборудования для добычи полезных ископаемых и строительства"/>
    <m/>
    <s v="Нет"/>
    <d v="2013-10-07T00:00:00"/>
    <d v="2025-07-17T00:00:00"/>
    <s v="СПИРИТ ООО НПК"/>
    <s v="Иркутск г"/>
    <n v="3810329663"/>
    <m/>
    <m/>
    <m/>
    <m/>
    <s v="buh@spirit-irk.ru"/>
    <m/>
    <m/>
    <m/>
    <m/>
    <s v="Коммерческие"/>
    <s v="ООО"/>
    <n v="31332"/>
    <s v="Иркутская область 0 часов"/>
    <m/>
    <m/>
    <m/>
    <m/>
    <s v="[C]Прусак Евгения Олеговна"/>
    <m/>
    <m/>
    <m/>
    <s v="Нет"/>
    <s v="Производство. Машиностроение"/>
    <m/>
    <m/>
    <m/>
    <s v="fe5a8e4f-e1f8-11e2-af71-0026554f9a58"/>
  </r>
  <r>
    <n v="320416"/>
    <s v="ЦП. 1С. Продажи"/>
    <s v="Y"/>
    <s v="N"/>
    <x v="0"/>
    <m/>
    <m/>
    <m/>
    <m/>
    <m/>
    <s v="Багланова Антонина"/>
    <s v="ONE_C"/>
    <s v="ООО &quot;АНК ТРЕЙД&quot; 3811470700# - 1С КП ПРОФ"/>
    <s v="Продажа"/>
    <s v="Звонок"/>
    <s v="Входящий"/>
    <n v="38000"/>
    <s v="Российский рубль"/>
    <s v="ООО &quot;АНК ТРЕЙД&quot; 3811470700#"/>
    <s v="Суслопарова Наталья Валерьевна"/>
    <m/>
    <s v="нет"/>
    <d v="2026-08-31T13:25:03"/>
    <s v="Багланова Антонина"/>
    <d v="2026-09-02T17:18:06"/>
    <s v="ROBOT_M"/>
    <d v="2026-08-31T00:00:00"/>
    <d v="2026-09-07T00:00:00"/>
    <s v="1С:КП ПРОФ на 12 месяцев по схеме 8+4"/>
    <n v="38000"/>
    <n v="1"/>
    <s v="[p] ##Родительская сделка 320414## [/p]"/>
    <m/>
    <m/>
    <m/>
    <m/>
    <n v="5"/>
    <d v="2026-09-02T09:16:38"/>
    <m/>
    <m/>
    <m/>
    <m/>
    <m/>
    <m/>
    <s v="Договор-оферта"/>
    <s v="Нет"/>
    <n v="2"/>
    <m/>
    <m/>
    <m/>
    <s v="Иркутск г"/>
    <s v="ЦП. 1С и ИТС. Коммерция"/>
    <m/>
    <m/>
    <m/>
    <m/>
    <m/>
    <m/>
    <n v="0"/>
    <m/>
    <m/>
    <m/>
    <m/>
    <n v="0"/>
    <s v="/upload/crm/604/1dbg4hoc3rwp64stdqcue6xnyyz6tpds/Договор-оферта.txt"/>
    <s v="ФРДТ-019273"/>
    <s v="[D]ООО &quot;АНК ТРЕЙД&quot; 3811470700# - 1С Программы и лицензии"/>
    <s v="ЦП. 1С. Коммерция"/>
    <m/>
    <m/>
    <m/>
    <m/>
    <d v="2026-08-31T00:00:00"/>
    <m/>
    <m/>
    <s v="[CO]ООО НПФ &quot;ФОРУС&quot; 3812023430#"/>
    <s v="Сервисы"/>
    <m/>
    <m/>
    <s v="Коммерческие"/>
    <m/>
    <m/>
    <s v="Обычный"/>
    <m/>
    <m/>
    <s v="#Загружено из Битрикс-Коробка#"/>
    <d v="2026-09-01T00:00:00"/>
    <m/>
    <m/>
    <s v="ИТС КП ПРОФ"/>
    <m/>
    <m/>
    <m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 КП ПРОФ"/>
    <s v="Контроль сделк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сделки"/>
    <m/>
    <m/>
    <m/>
    <m/>
    <m/>
    <d v="2026-09-02T09:16:38"/>
    <d v="2026-09-02T15:26:15"/>
    <m/>
    <m/>
    <m/>
    <m/>
    <m/>
    <m/>
    <m/>
    <m/>
    <m/>
    <m/>
    <m/>
    <m/>
    <m/>
    <m/>
    <m/>
    <m/>
    <m/>
    <m/>
    <m/>
    <n v="182139"/>
    <m/>
    <m/>
    <s v="Наталья"/>
    <s v="Суслопарова"/>
    <s v="Валерьевна"/>
    <m/>
    <m/>
    <m/>
    <s v="ROBOT"/>
    <s v="[Автор=Дец Вероника Юрьевна] [Автор=БитриксКоробка][Редактор=БитриксКоробка]"/>
    <m/>
    <m/>
    <s v="Да"/>
    <s v="ROBOT_M"/>
    <d v="2021-07-09T12:29:37"/>
    <s v="ROBOT"/>
    <d v="2026-08-20T16:06:46"/>
    <m/>
    <s v="+7 (3843) 003593, +73843003593"/>
    <s v="+7 (924) 5475804, +79245475804"/>
    <m/>
    <m/>
    <m/>
    <m/>
    <m/>
    <m/>
    <m/>
    <m/>
    <m/>
    <m/>
    <m/>
    <m/>
    <s v="n_susloparova@bk.ru, troslik@mail.ru"/>
    <m/>
    <m/>
    <m/>
    <m/>
    <m/>
    <m/>
    <m/>
    <m/>
    <m/>
    <m/>
    <s v="imol|livechat|18|41272|3161"/>
    <m/>
    <m/>
    <m/>
    <n v="3161"/>
    <s v="Шара-Тоготское с.п., нас. пункт Курма д"/>
    <d v="2021-02-21T00:00:00"/>
    <s v="Да"/>
    <m/>
    <s v="Иркутская область 0 часов"/>
    <m/>
    <m/>
    <s v="Нет"/>
    <s v="3572c99b-5a4c-4cdb-a9de-5a723df0abfe"/>
    <n v="124112"/>
    <m/>
    <s v="ООО &quot;АНК ТРЕЙД&quot; 3811470700#"/>
    <s v="Клиент"/>
    <m/>
    <s v="ROBOT"/>
    <m/>
    <m/>
    <m/>
    <s v="Российский рубль"/>
    <s v="[p] лк нет, спросить про сервисы [/p]"/>
    <s v="ROBOT_M"/>
    <d v="2021-07-07T09:33:20"/>
    <s v="ROBOT_UT"/>
    <d v="2026-09-02T17:18:06"/>
    <m/>
    <n v="147654468515"/>
    <n v="79245475804"/>
    <m/>
    <m/>
    <m/>
    <m/>
    <m/>
    <m/>
    <m/>
    <m/>
    <m/>
    <m/>
    <m/>
    <m/>
    <s v="n_susloparova@bk.ru, n_suslaparova@bk.ru"/>
    <m/>
    <m/>
    <m/>
    <m/>
    <m/>
    <m/>
    <m/>
    <m/>
    <m/>
    <m/>
    <s v="imol|livechat|18|6337|631, imol|livechat|18|41272|3161, imol|livechat|25|157374|18145, imol|livechat|18|160765|18145"/>
    <m/>
    <m/>
    <m/>
    <s v="631, 3161, 18145"/>
    <m/>
    <n v="0"/>
    <s v="anktradecompany@gmail.com"/>
    <d v="2020-09-17T00:00:00"/>
    <m/>
    <s v="46.71 Торговля оптовая твердым, жидким и газообразным топливом и подобными продуктами"/>
    <m/>
    <s v="Нет"/>
    <d v="2020-10-28T00:00:00"/>
    <d v="2024-10-31T00:00:00"/>
    <s v="АНК ТРЕЙД ООО"/>
    <s v="Иркутск г"/>
    <n v="3811470700"/>
    <m/>
    <m/>
    <m/>
    <m/>
    <m/>
    <m/>
    <m/>
    <m/>
    <m/>
    <s v="Коммерческие"/>
    <s v="ООО"/>
    <n v="85636"/>
    <s v="Иркутская область 0 часов"/>
    <m/>
    <m/>
    <m/>
    <m/>
    <m/>
    <m/>
    <m/>
    <m/>
    <s v="Нет"/>
    <s v="Торговля. Автотранспорт и ГСМ"/>
    <m/>
    <m/>
    <m/>
    <s v="7e27d351-ad32-497b-87f6-1ebc6dc35bcd"/>
  </r>
  <r>
    <n v="320414"/>
    <s v="ЦП. 1С. Продажи"/>
    <s v="Y"/>
    <s v="N"/>
    <x v="5"/>
    <m/>
    <m/>
    <m/>
    <m/>
    <m/>
    <s v="Багланова Антонина"/>
    <s v="ONE_C"/>
    <s v="ООО &quot;АНК ТРЕЙД&quot; 3811470700# - 1С Программы и лицензии"/>
    <s v="Продажа"/>
    <s v="Звонок"/>
    <s v="Входящий"/>
    <n v="18250"/>
    <s v="Российский рубль"/>
    <s v="ООО &quot;АНК ТРЕЙД&quot; 3811470700#"/>
    <s v="Суслопарова Наталья Валерьевна"/>
    <m/>
    <s v="нет"/>
    <d v="2026-08-31T13:14:42"/>
    <s v="Багланова Антонина"/>
    <d v="2026-09-02T17:18:05"/>
    <s v="ROBOT"/>
    <d v="2026-08-31T00:00:00"/>
    <d v="2026-09-07T00:00:00"/>
    <s v="1С:Бухгалтерия 8 ПРОФ. Электронная поставка (Апгрейд с 1С:Бухгалтерия 8. Базовая версия. Электронная поставка)"/>
    <n v="18250"/>
    <n v="1"/>
    <m/>
    <m/>
    <m/>
    <m/>
    <m/>
    <n v="27"/>
    <d v="2026-09-02T16:43:15"/>
    <m/>
    <m/>
    <m/>
    <m/>
    <m/>
    <m/>
    <s v="Договор-оферта"/>
    <s v="Нет"/>
    <n v="1"/>
    <m/>
    <m/>
    <m/>
    <s v="Иркутск г"/>
    <s v="ЦП. 1С и ИТС. Коммерция"/>
    <m/>
    <m/>
    <m/>
    <m/>
    <m/>
    <m/>
    <n v="0"/>
    <m/>
    <m/>
    <m/>
    <m/>
    <n v="3"/>
    <s v="/upload/crm/13b/ixkszuzhd7hh781yv2tp28a9ye1aug2d/Договор-оферта.txt"/>
    <s v="ФРДТ-019267"/>
    <s v="[D]ООО &quot;АНК ТРЕЙД&quot; 3811470700# - 1С КП ПРОФ"/>
    <s v="ЦП. 1С. Коммерция"/>
    <m/>
    <m/>
    <m/>
    <m/>
    <d v="2026-08-31T00:00:00"/>
    <m/>
    <s v="/upload/main/74a/jav14kng4xaunzebo0uwa4pbeauqe0kf.pdf"/>
    <s v="[CO]ООО НПФ &quot;ФОРУС&quot; 3812023430#"/>
    <s v="Сублицензионный"/>
    <m/>
    <m/>
    <s v="Коммерческие"/>
    <m/>
    <m/>
    <s v="Обычный"/>
    <m/>
    <m/>
    <s v="#Загружено из Битрикс-Коробка#"/>
    <d v="2026-09-01T00:00:00"/>
    <m/>
    <m/>
    <s v="1С 8 Бухгалтерия Коммерция"/>
    <m/>
    <m/>
    <m/>
    <m/>
    <m/>
    <m/>
    <s v="Не было отгрузок"/>
    <m/>
    <m/>
    <m/>
    <m/>
    <s v="Нет"/>
    <m/>
    <m/>
    <m/>
    <m/>
    <m/>
    <m/>
    <m/>
    <m/>
    <m/>
    <m/>
    <s v="1С Программы и лицензии"/>
    <s v="1С Бухгалтерия"/>
    <s v="Эл. Поставка. Апгрейд"/>
    <s v="Нет"/>
    <m/>
    <m/>
    <m/>
    <s v="Заказать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Заказать"/>
    <m/>
    <m/>
    <m/>
    <m/>
    <m/>
    <d v="2026-09-02T16:42:04"/>
    <d v="2026-09-02T15:29:54"/>
    <m/>
    <s v="Завершен"/>
    <m/>
    <m/>
    <s v="Выполняется"/>
    <m/>
    <m/>
    <m/>
    <m/>
    <m/>
    <m/>
    <m/>
    <m/>
    <m/>
    <m/>
    <m/>
    <m/>
    <m/>
    <m/>
    <n v="182139"/>
    <m/>
    <m/>
    <s v="Наталья"/>
    <s v="Суслопарова"/>
    <s v="Валерьевна"/>
    <m/>
    <m/>
    <m/>
    <s v="ROBOT"/>
    <s v="[Автор=Дец Вероника Юрьевна] [Автор=БитриксКоробка][Редактор=БитриксКоробка]"/>
    <m/>
    <m/>
    <s v="Да"/>
    <s v="ROBOT_M"/>
    <d v="2021-07-09T12:29:37"/>
    <s v="ROBOT"/>
    <d v="2026-08-20T16:06:46"/>
    <m/>
    <s v="+7 (3843) 003593, +73843003593"/>
    <s v="+7 (924) 5475804, +79245475804"/>
    <m/>
    <m/>
    <m/>
    <m/>
    <m/>
    <m/>
    <m/>
    <m/>
    <m/>
    <m/>
    <m/>
    <m/>
    <s v="n_susloparova@bk.ru, troslik@mail.ru"/>
    <m/>
    <m/>
    <m/>
    <m/>
    <m/>
    <m/>
    <m/>
    <m/>
    <m/>
    <m/>
    <s v="imol|livechat|18|41272|3161"/>
    <m/>
    <m/>
    <m/>
    <n v="3161"/>
    <s v="Шара-Тоготское с.п., нас. пункт Курма д"/>
    <d v="2021-02-21T00:00:00"/>
    <s v="Да"/>
    <m/>
    <s v="Иркутская область 0 часов"/>
    <m/>
    <m/>
    <s v="Нет"/>
    <s v="3572c99b-5a4c-4cdb-a9de-5a723df0abfe"/>
    <n v="124112"/>
    <m/>
    <s v="ООО &quot;АНК ТРЕЙД&quot; 3811470700#"/>
    <s v="Клиент"/>
    <m/>
    <s v="ROBOT"/>
    <m/>
    <m/>
    <m/>
    <s v="Российский рубль"/>
    <s v="[p] лк нет, спросить про сервисы [/p]"/>
    <s v="ROBOT_M"/>
    <d v="2021-07-07T09:33:20"/>
    <s v="ROBOT_UT"/>
    <d v="2026-09-02T17:18:06"/>
    <m/>
    <n v="147654468515"/>
    <n v="79245475804"/>
    <m/>
    <m/>
    <m/>
    <m/>
    <m/>
    <m/>
    <m/>
    <m/>
    <m/>
    <m/>
    <m/>
    <m/>
    <s v="n_susloparova@bk.ru, n_suslaparova@bk.ru"/>
    <m/>
    <m/>
    <m/>
    <m/>
    <m/>
    <m/>
    <m/>
    <m/>
    <m/>
    <m/>
    <s v="imol|livechat|18|6337|631, imol|livechat|18|41272|3161, imol|livechat|25|157374|18145, imol|livechat|18|160765|18145"/>
    <m/>
    <m/>
    <m/>
    <s v="631, 3161, 18145"/>
    <m/>
    <n v="0"/>
    <s v="anktradecompany@gmail.com"/>
    <d v="2020-09-17T00:00:00"/>
    <m/>
    <s v="46.71 Торговля оптовая твердым, жидким и газообразным топливом и подобными продуктами"/>
    <m/>
    <s v="Нет"/>
    <d v="2020-10-28T00:00:00"/>
    <d v="2024-10-31T00:00:00"/>
    <s v="АНК ТРЕЙД ООО"/>
    <s v="Иркутск г"/>
    <n v="3811470700"/>
    <m/>
    <m/>
    <m/>
    <m/>
    <m/>
    <m/>
    <m/>
    <m/>
    <m/>
    <s v="Коммерческие"/>
    <s v="ООО"/>
    <n v="85636"/>
    <s v="Иркутская область 0 часов"/>
    <m/>
    <m/>
    <m/>
    <m/>
    <m/>
    <m/>
    <m/>
    <m/>
    <s v="Нет"/>
    <s v="Торговля. Автотранспорт и ГСМ"/>
    <m/>
    <m/>
    <m/>
    <s v="7e27d351-ad32-497b-87f6-1ebc6dc35bcd"/>
  </r>
  <r>
    <n v="320376"/>
    <s v="ЦП. 1С. Продажи"/>
    <s v="Y"/>
    <s v="N"/>
    <x v="1"/>
    <m/>
    <m/>
    <m/>
    <m/>
    <m/>
    <s v="Соболев Максим"/>
    <s v="ONE_C"/>
    <s v="ИП Северинов Александр Васильевич 381801137343# 1С Разовые услуги"/>
    <s v="Продажа"/>
    <s v="Звонок"/>
    <s v="Звонок поступил на номер: ЦП 78-00-00 (62)."/>
    <n v="3660"/>
    <s v="Российский рубль"/>
    <s v="ИП Северинов Александр Васильевич 381801137343#"/>
    <s v="Северинова Анна"/>
    <m/>
    <s v="нет"/>
    <d v="2026-08-31T11:29:51"/>
    <s v="Соболев Максим"/>
    <d v="2026-09-01T09:21:56"/>
    <s v="ROBOT"/>
    <d v="2026-08-31T00:00:00"/>
    <d v="2026-09-07T00:00:00"/>
    <s v="Линия консультаций и техподдержка 1С"/>
    <n v="3660"/>
    <n v="1"/>
    <m/>
    <m/>
    <m/>
    <m/>
    <m/>
    <n v="508"/>
    <d v="2026-09-01T09:12:06"/>
    <m/>
    <m/>
    <m/>
    <m/>
    <m/>
    <m/>
    <s v="Договор-оферта"/>
    <s v="Нет"/>
    <n v="2"/>
    <m/>
    <n v="79526151388"/>
    <m/>
    <s v="Усть-Кут г"/>
    <s v="ЦП. 1С и ИТС. Коммерция"/>
    <m/>
    <m/>
    <m/>
    <m/>
    <m/>
    <m/>
    <n v="0"/>
    <m/>
    <m/>
    <m/>
    <m/>
    <n v="0"/>
    <m/>
    <s v="ФРДТ-019387"/>
    <m/>
    <s v="ЦП. 1С. Коммерция"/>
    <m/>
    <m/>
    <m/>
    <m/>
    <d v="2026-09-01T00:00:00"/>
    <m/>
    <m/>
    <s v="[CO]ООО НПФ &quot;ФОРУС&quot; 3812023430#"/>
    <s v="Оказание услуг"/>
    <m/>
    <m/>
    <s v="Коммерческие"/>
    <m/>
    <m/>
    <s v="Обычный"/>
    <m/>
    <m/>
    <m/>
    <m/>
    <m/>
    <n v="267665"/>
    <s v="Услуги ЦСВ 1С консультации"/>
    <m/>
    <m/>
    <m/>
    <m/>
    <m/>
    <m/>
    <s v="Не было отгрузок"/>
    <m/>
    <m/>
    <m/>
    <m/>
    <s v="Нет"/>
    <m/>
    <m/>
    <m/>
    <m/>
    <m/>
    <m/>
    <m/>
    <m/>
    <m/>
    <m/>
    <s v="1С Разовые услуги"/>
    <m/>
    <m/>
    <s v="Не нужно"/>
    <m/>
    <m/>
    <m/>
    <s v="Отправить счет/договор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Отправить счет"/>
    <m/>
    <m/>
    <m/>
    <m/>
    <m/>
    <d v="2026-09-01T08:58:32"/>
    <d v="2026-08-31T11:08:18"/>
    <m/>
    <m/>
    <m/>
    <m/>
    <m/>
    <m/>
    <m/>
    <m/>
    <m/>
    <m/>
    <m/>
    <m/>
    <m/>
    <m/>
    <m/>
    <m/>
    <m/>
    <m/>
    <m/>
    <n v="285447"/>
    <m/>
    <m/>
    <s v="Анна"/>
    <s v="Северинова"/>
    <m/>
    <m/>
    <m/>
    <m/>
    <s v="ROBOT"/>
    <s v="[Автор=RobotIntegro][Редактор=БитриксКоробка]"/>
    <m/>
    <m/>
    <s v="Да"/>
    <s v="ROBOT_M"/>
    <d v="2022-03-22T17:35:08"/>
    <s v="ROBOT"/>
    <d v="2026-09-01T09:07:30"/>
    <m/>
    <m/>
    <n v="79526151388"/>
    <m/>
    <m/>
    <m/>
    <m/>
    <m/>
    <m/>
    <m/>
    <m/>
    <m/>
    <m/>
    <m/>
    <m/>
    <s v="konstantinova-anna1989@mail.ru"/>
    <m/>
    <m/>
    <m/>
    <m/>
    <m/>
    <m/>
    <m/>
    <m/>
    <m/>
    <m/>
    <m/>
    <m/>
    <m/>
    <m/>
    <m/>
    <s v="Усть-Кут г"/>
    <d v="2022-03-22T00:00:00"/>
    <s v="Да"/>
    <m/>
    <s v="Иркутская область 0 часов"/>
    <m/>
    <m/>
    <s v="Нет"/>
    <s v="bf5a1554-6b43-4f54-a6c7-3d996def69d2"/>
    <n v="196930"/>
    <m/>
    <s v="ИП Северинов Александр Васильевич 381801137343#"/>
    <s v="Клиент"/>
    <m/>
    <s v="ROBOT"/>
    <m/>
    <m/>
    <m/>
    <s v="Российский рубль"/>
    <m/>
    <s v="ROBOT_M"/>
    <d v="2022-03-22T17:32:28"/>
    <s v="ROBOT_UT"/>
    <d v="2026-09-01T09:21:56"/>
    <m/>
    <m/>
    <n v="79501026842"/>
    <m/>
    <m/>
    <m/>
    <m/>
    <m/>
    <m/>
    <m/>
    <m/>
    <m/>
    <m/>
    <m/>
    <m/>
    <m/>
    <m/>
    <m/>
    <m/>
    <m/>
    <m/>
    <m/>
    <m/>
    <m/>
    <m/>
    <m/>
    <m/>
    <s v="imol|ank_chats_app24_whatsapp|32|79501026842|21067"/>
    <m/>
    <m/>
    <n v="21067"/>
    <m/>
    <n v="0"/>
    <s v="konstantinova-anna1989@mail.ru"/>
    <m/>
    <m/>
    <s v="49.41 Деятельность автомобильного грузового транспорта"/>
    <m/>
    <s v="Нет"/>
    <d v="2022-03-24T00:00:00"/>
    <d v="2025-02-28T00:00:00"/>
    <s v="ИП Северинов Александр Васильевич"/>
    <s v="Усть-Кут г"/>
    <n v="381801137343"/>
    <m/>
    <m/>
    <m/>
    <m/>
    <s v="konstantinova-anna1989@mail.ru"/>
    <m/>
    <m/>
    <s v="Свой контакт (Менеджер)"/>
    <m/>
    <s v="Коммерческие"/>
    <s v="ИП"/>
    <n v="91261"/>
    <s v="Иркутская область 0 часов"/>
    <m/>
    <m/>
    <m/>
    <m/>
    <m/>
    <m/>
    <m/>
    <m/>
    <s v="Нет"/>
    <s v="Услуги. Перевозки, логистика, склад"/>
    <m/>
    <m/>
    <m/>
    <s v="1f248177-c008-45a1-95ab-6b088fb9f482"/>
  </r>
  <r>
    <n v="320365"/>
    <s v="ЦП. 1С. Продажи"/>
    <s v="Y"/>
    <s v="N"/>
    <x v="3"/>
    <m/>
    <m/>
    <m/>
    <m/>
    <m/>
    <s v="Соболев Максим"/>
    <s v="ONE_C"/>
    <s v="ООО &quot;НОВОТЭК&quot; 3849035626# - 1С КП ПРОФ"/>
    <s v="Продажа"/>
    <s v="Звонок"/>
    <s v="Звонок поступил на номер: ЦП 78-00-00 (62)."/>
    <n v="57000"/>
    <s v="Российский рубль"/>
    <s v="ООО &quot;НОВОТЭК&quot; 3849035626#"/>
    <s v="Вербенко Александра Владимировна"/>
    <m/>
    <s v="нет"/>
    <d v="2026-08-31T10:46:07"/>
    <s v="Соболев Максим"/>
    <d v="2026-09-02T13:07:44"/>
    <s v="ROBOT"/>
    <d v="2026-08-31T00:00:00"/>
    <d v="2026-09-07T00:00:00"/>
    <s v="1С:КП ПРОФ на 12 месяцев Льготная цена"/>
    <n v="57000"/>
    <n v="1"/>
    <m/>
    <m/>
    <m/>
    <m/>
    <m/>
    <n v="508"/>
    <d v="2026-09-02T11:55:27"/>
    <m/>
    <m/>
    <m/>
    <m/>
    <m/>
    <m/>
    <s v="Договор-оферта"/>
    <s v="Нет"/>
    <n v="1"/>
    <m/>
    <n v="79029474439"/>
    <m/>
    <s v="г Иркутск"/>
    <s v="ЦП. 1С и ИТС. Коммерция"/>
    <m/>
    <m/>
    <m/>
    <m/>
    <m/>
    <m/>
    <n v="0"/>
    <m/>
    <m/>
    <m/>
    <m/>
    <n v="13"/>
    <m/>
    <s v="ФРДТ-019241"/>
    <m/>
    <s v="ЦП. 1С. Коммерция"/>
    <m/>
    <m/>
    <m/>
    <m/>
    <d v="2026-09-02T00:00:00"/>
    <m/>
    <m/>
    <s v="[CO]ООО НПФ &quot;ФОРУС&quot; 3812023430#"/>
    <s v="Сервисы"/>
    <m/>
    <m/>
    <s v="Коммерческие"/>
    <m/>
    <m/>
    <s v="Обычный"/>
    <m/>
    <m/>
    <s v="#Загружено из Битрикс-Коробка#"/>
    <m/>
    <m/>
    <n v="267649"/>
    <s v="ИТС КП ПРОФ"/>
    <m/>
    <m/>
    <m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 КП ПРОФ"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9-02T11:55:28"/>
    <d v="2026-09-02T15:31:54"/>
    <s v="Завершен"/>
    <m/>
    <m/>
    <m/>
    <m/>
    <m/>
    <m/>
    <m/>
    <m/>
    <m/>
    <m/>
    <m/>
    <m/>
    <m/>
    <m/>
    <m/>
    <m/>
    <m/>
    <m/>
    <n v="398054"/>
    <m/>
    <m/>
    <s v="Александра"/>
    <s v="Вербенко"/>
    <s v="Владимировна"/>
    <m/>
    <m/>
    <s v="Клиенты"/>
    <s v="ROBOT"/>
    <s v="[p] уточняла по заявке [/p]"/>
    <s v="Свой контакт (Менеджер)"/>
    <s v="Звонок поступил на номер: ЦКС. Основной 78-23-08 (94)."/>
    <s v="Да"/>
    <s v="Дунаевская Светлана"/>
    <d v="2026-08-18T15:11:08"/>
    <s v="ROBOT"/>
    <d v="2026-09-02T13:10:10"/>
    <m/>
    <m/>
    <n v="79029474439"/>
    <m/>
    <m/>
    <m/>
    <m/>
    <m/>
    <m/>
    <m/>
    <m/>
    <m/>
    <m/>
    <m/>
    <m/>
    <m/>
    <m/>
    <m/>
    <m/>
    <m/>
    <m/>
    <m/>
    <m/>
    <m/>
    <m/>
    <m/>
    <m/>
    <m/>
    <m/>
    <m/>
    <m/>
    <s v="нас. пункт Иркутск г"/>
    <d v="2026-08-18T00:00:00"/>
    <s v="Да"/>
    <m/>
    <s v="Иркутская область 0 часов"/>
    <m/>
    <m/>
    <s v="Нет"/>
    <s v="f205aa26-e418-4451-ab66-1e4ff4a65b01"/>
    <n v="215402"/>
    <m/>
    <s v="ООО &quot;НОВОТЭК&quot; 3849035626#"/>
    <s v="Клиент"/>
    <m/>
    <s v="ROBOT"/>
    <m/>
    <m/>
    <m/>
    <s v="Российский рубль"/>
    <s v="Договор 1С:ИТС оформлен другим партнером с 30.11.24 по 29.11.25. ИТС уровня Проф"/>
    <s v="Антипин Андрей"/>
    <d v="2023-12-20T10:06:58"/>
    <s v="ROBOT_M"/>
    <d v="2026-09-02T13:10:10"/>
    <m/>
    <n v="73952499707"/>
    <n v="158495330240"/>
    <m/>
    <m/>
    <m/>
    <m/>
    <m/>
    <m/>
    <m/>
    <m/>
    <m/>
    <m/>
    <m/>
    <m/>
    <m/>
    <m/>
    <s v="buh1@tk-novotek.ru"/>
    <m/>
    <m/>
    <m/>
    <m/>
    <m/>
    <m/>
    <m/>
    <m/>
    <m/>
    <m/>
    <m/>
    <m/>
    <m/>
    <m/>
    <n v="0"/>
    <s v="buh1@tk-novotek.ru"/>
    <d v="2014-04-23T00:00:00"/>
    <m/>
    <s v="52.29 Деятельность вспомогательная прочая, связанная с перевозками"/>
    <m/>
    <s v="Нет"/>
    <d v="2024-12-03T00:00:00"/>
    <d v="2025-06-27T00:00:00"/>
    <s v="НОВОТЭК ООО"/>
    <s v="г Иркутск"/>
    <n v="3849035626"/>
    <m/>
    <m/>
    <s v="Актив 504,7 млн Выручка 2,7 млрд Чистая прибыль 22,9 млн"/>
    <s v="Услуги. Перевозки, логистика, склад"/>
    <s v="buh1@tk-novotek.ru"/>
    <m/>
    <m/>
    <s v="Свой контакт (Менеджер)"/>
    <m/>
    <s v="Коммерческие"/>
    <s v="ООО"/>
    <n v="110230"/>
    <s v="Иркутская область 0 часов"/>
    <m/>
    <m/>
    <m/>
    <m/>
    <m/>
    <m/>
    <m/>
    <m/>
    <s v="Нет"/>
    <s v="Услуги. Перевозки, логистика, склад"/>
    <m/>
    <m/>
    <m/>
    <s v="d8f22503-bfdc-404c-8617-775cb920cd64"/>
  </r>
  <r>
    <n v="320270"/>
    <s v="ЦП. ФРЕШ. Продажи"/>
    <s v="N"/>
    <s v="N"/>
    <x v="4"/>
    <m/>
    <m/>
    <m/>
    <m/>
    <m/>
    <s v="Федорова Анастасия"/>
    <m/>
    <s v="Успешная регистрация в сервисе 1С:Предприятие через Интернет."/>
    <s v="Продажа"/>
    <s v="1С Аукцион ФРЕШ"/>
    <s v="1С_ФР_УНФ - Мобильное приложениеЧасовой пояс:"/>
    <s v="0.00"/>
    <s v="Российский рубль"/>
    <m/>
    <s v="Александр"/>
    <m/>
    <s v="нет"/>
    <d v="2026-08-30T07:27:39"/>
    <s v="Иноземцева Надежда"/>
    <d v="2026-09-02T16:15:25"/>
    <s v="ROBOT"/>
    <d v="2026-08-29T00:00:00"/>
    <d v="2026-09-06T00:00:00"/>
    <m/>
    <m/>
    <m/>
    <s v="Клиент из менеджера сервиса: [p]Здравствуйте! [/p] [p]Успешная регистрация в сервисе [b]1С:Предприятие через Интернет[/b].[/p] [p] [b]Дата регистрации:[/b] 29 августа 2026г. [b]Имя абонента:[/b] Александр [b]Код абонента:[/b] 1402975 [b]Адрес электронной почты:[/b] [url=www.vyatkatreidstro@yandex.ru]www.vyatkatreidstro@yandex.ru[/url] [b]Номер телефона:[/b] 89052820336 [b]Адрес сайта регистрации:[/b] [url=https://1cfresh.com]https://1cfresh.com[/url] [b]Версия сайта регистрации:[/b] 1С_ФР_УНФ - Мобильное приложение [b]Часовой пояс:[/b] [/p] [p] , команда проекта &quot;1С:Предприятие через Интернет&quot;. [/p] Источник - 1С Аукцион ФРЕШ Дата завершения тестового доступа = 29.09.2026"/>
    <m/>
    <m/>
    <m/>
    <m/>
    <n v="884"/>
    <d v="2026-08-30T07:27:39"/>
    <m/>
    <m/>
    <m/>
    <m/>
    <m/>
    <m/>
    <m/>
    <s v="Нет"/>
    <n v="1"/>
    <s v="www.vyatkatreidstro@yandex.ru"/>
    <n v="89052820336"/>
    <m/>
    <m/>
    <s v="ЦП. 1С и ИТС. Коммерция"/>
    <d v="2026-09-29T00:00:00"/>
    <m/>
    <m/>
    <m/>
    <d v="2026-09-29T00:00:00"/>
    <m/>
    <n v="0"/>
    <s v="Александр"/>
    <m/>
    <m/>
    <m/>
    <n v="2"/>
    <m/>
    <m/>
    <m/>
    <s v="ЦП. 1С. Коммерция"/>
    <m/>
    <m/>
    <m/>
    <m/>
    <m/>
    <m/>
    <m/>
    <m/>
    <m/>
    <m/>
    <m/>
    <m/>
    <m/>
    <m/>
    <s v="Обычный"/>
    <m/>
    <m/>
    <m/>
    <m/>
    <m/>
    <m/>
    <m/>
    <m/>
    <m/>
    <m/>
    <m/>
    <m/>
    <m/>
    <s v="Не было отгрузок"/>
    <m/>
    <m/>
    <m/>
    <m/>
    <s v="Нет"/>
    <m/>
    <m/>
    <m/>
    <m/>
    <m/>
    <s v="1 402 975"/>
    <m/>
    <m/>
    <m/>
    <s v="Необработанные"/>
    <s v="ФРЕШ и ГРМ"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31T07:27:41"/>
    <d v="2026-09-02T17:23:45"/>
    <m/>
    <m/>
    <m/>
    <m/>
    <m/>
    <m/>
    <m/>
    <m/>
    <m/>
    <m/>
    <m/>
    <m/>
    <m/>
    <m/>
    <m/>
    <m/>
    <m/>
    <m/>
    <m/>
    <n v="385404"/>
    <m/>
    <m/>
    <s v="Александр"/>
    <m/>
    <m/>
    <m/>
    <m/>
    <s v="Клиенты"/>
    <s v="ROBOT"/>
    <m/>
    <s v="Свой контакт (Менеджер)"/>
    <m/>
    <s v="Да"/>
    <s v="Россинский Вадим"/>
    <d v="2026-02-27T12:07:39"/>
    <s v="Соломатова Милена"/>
    <d v="2026-08-24T14:41:53"/>
    <m/>
    <m/>
    <n v="79052820336"/>
    <m/>
    <m/>
    <m/>
    <m/>
    <m/>
    <m/>
    <m/>
    <m/>
    <m/>
    <m/>
    <m/>
    <m/>
    <s v="ooovyatkatreidstro@yandex.ru"/>
    <m/>
    <m/>
    <m/>
    <m/>
    <m/>
    <m/>
    <m/>
    <m/>
    <m/>
    <m/>
    <m/>
    <m/>
    <m/>
    <m/>
    <m/>
    <m/>
    <d v="2026-02-27T00:00:00"/>
    <s v="Да"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20265"/>
    <s v="ЦП. 1С. Продажи"/>
    <s v="N"/>
    <s v="N"/>
    <x v="3"/>
    <m/>
    <m/>
    <m/>
    <m/>
    <m/>
    <s v="Соболев Максим"/>
    <s v="ONE_C"/>
    <s v="ИП Скальская Нина Александровна 231806011808# - 1С Разовые услуги"/>
    <s v="Продажа"/>
    <s v="Свой контакт (Менеджер)"/>
    <m/>
    <n v="8000"/>
    <s v="Российский рубль"/>
    <s v="ИП Скальская Нина Александровна 231806011808#"/>
    <s v="Скальская Нина Александровна"/>
    <m/>
    <s v="нет"/>
    <d v="2026-08-29T09:20:50"/>
    <s v="Соболев Максим"/>
    <d v="2026-08-31T14:15:24"/>
    <s v="ROBOT"/>
    <d v="2026-08-29T00:00:00"/>
    <d v="2026-09-05T00:00:00"/>
    <s v="Оценка требований"/>
    <n v="4000"/>
    <n v="2"/>
    <m/>
    <m/>
    <m/>
    <m/>
    <m/>
    <n v="508"/>
    <d v="2026-08-31T13:50:50"/>
    <m/>
    <m/>
    <m/>
    <m/>
    <m/>
    <m/>
    <s v="Договор-оферта"/>
    <s v="Нет"/>
    <n v="1"/>
    <m/>
    <m/>
    <m/>
    <s v="г Сочи"/>
    <s v="ЦП. 1С и ИТС. Коммерция"/>
    <m/>
    <m/>
    <m/>
    <m/>
    <m/>
    <m/>
    <n v="0"/>
    <m/>
    <m/>
    <m/>
    <m/>
    <n v="1"/>
    <m/>
    <s v="ФРДТ-019185"/>
    <m/>
    <s v="ЦП. 1С. Коммерция"/>
    <m/>
    <m/>
    <m/>
    <m/>
    <d v="2026-08-29T00:00:00"/>
    <m/>
    <m/>
    <s v="[CO]ООО НПФ &quot;ФОРУС&quot; 3812023430#"/>
    <s v="Оказание услуг"/>
    <m/>
    <m/>
    <s v="Коммерческие"/>
    <m/>
    <m/>
    <s v="Обычный"/>
    <m/>
    <m/>
    <s v="#Загружено из Битрикс-Коробка#"/>
    <m/>
    <m/>
    <m/>
    <s v="Услуги ЦСВ 1С консультации"/>
    <m/>
    <m/>
    <m/>
    <m/>
    <m/>
    <m/>
    <s v="Не было отгрузок"/>
    <m/>
    <m/>
    <m/>
    <m/>
    <s v="Нет"/>
    <m/>
    <m/>
    <m/>
    <m/>
    <m/>
    <m/>
    <m/>
    <m/>
    <m/>
    <m/>
    <s v="1С Разовые услуги"/>
    <m/>
    <m/>
    <s v="Не нужно"/>
    <m/>
    <m/>
    <m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8-31T13:50:52"/>
    <d v="2026-08-31T18:33:02"/>
    <s v="Завершен"/>
    <m/>
    <m/>
    <m/>
    <m/>
    <m/>
    <m/>
    <m/>
    <m/>
    <m/>
    <m/>
    <m/>
    <m/>
    <m/>
    <m/>
    <m/>
    <m/>
    <m/>
    <m/>
    <n v="387416"/>
    <m/>
    <m/>
    <s v="Нина"/>
    <s v="Скальская"/>
    <s v="Александровна"/>
    <m/>
    <m/>
    <s v="Клиенты"/>
    <s v="ROBOT"/>
    <m/>
    <s v="Свой контакт (Менеджер)"/>
    <m/>
    <s v="Да"/>
    <s v="Федосеев Максим"/>
    <d v="2026-03-31T09:59:24"/>
    <s v="ROBOT_UT"/>
    <d v="2026-08-30T06:44:36"/>
    <m/>
    <m/>
    <n v="79183030376"/>
    <m/>
    <m/>
    <m/>
    <m/>
    <m/>
    <m/>
    <m/>
    <m/>
    <m/>
    <m/>
    <m/>
    <m/>
    <s v="ninanina@mail.ru"/>
    <m/>
    <m/>
    <m/>
    <m/>
    <m/>
    <m/>
    <m/>
    <m/>
    <m/>
    <m/>
    <m/>
    <m/>
    <m/>
    <m/>
    <m/>
    <s v="Сочи г"/>
    <d v="2026-03-31T00:00:00"/>
    <s v="Да"/>
    <m/>
    <s v="Краснодарский край - 5 час"/>
    <m/>
    <m/>
    <s v="Нет"/>
    <s v="d83cb260-06e6-4198-a502-23a54bf3101a"/>
    <n v="258643"/>
    <m/>
    <s v="ИП Скальская Нина Александровна 231806011808#"/>
    <s v="Клиент"/>
    <s v="менее 50"/>
    <s v="ROBOT"/>
    <m/>
    <s v="Информационные технологии"/>
    <s v="0.00"/>
    <s v="Российский рубль"/>
    <m/>
    <s v="Соболев Максим"/>
    <d v="2026-08-28T16:55:53"/>
    <s v="ROBOT_UT"/>
    <d v="2026-08-31T18:45: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s v="47.77.21 Торговля розничная ювелирными изделиями из серебра в специализированных магазинах"/>
    <m/>
    <s v="Нет"/>
    <m/>
    <m/>
    <s v="ИП Скальская Нина Александровна"/>
    <s v="г Сочи"/>
    <n v="231806011808"/>
    <m/>
    <m/>
    <m/>
    <m/>
    <m/>
    <m/>
    <m/>
    <s v="Свой контакт (Менеджер)"/>
    <m/>
    <s v="Коммерческие"/>
    <s v="ИП"/>
    <n v="129176"/>
    <s v="Краснодарский край - 5 час"/>
    <m/>
    <m/>
    <m/>
    <s v="Нет"/>
    <m/>
    <m/>
    <m/>
    <m/>
    <s v="Нет"/>
    <s v="Торговля. Прочая"/>
    <m/>
    <m/>
    <m/>
    <s v="6d61f7de-7df1-4da0-8bb2-7b440ee863fc"/>
  </r>
  <r>
    <n v="320264"/>
    <s v="ЦП. ФРЕШ. Продажи"/>
    <s v="N"/>
    <s v="N"/>
    <x v="6"/>
    <m/>
    <m/>
    <m/>
    <m/>
    <m/>
    <s v="Соболев Максим"/>
    <s v="ONE_C"/>
    <s v="ИП Скальская Нина Александровна 231806011808# - ФРЕШ. Базовый"/>
    <s v="Продажа"/>
    <s v="Свой контакт (Менеджер)"/>
    <m/>
    <n v="12400"/>
    <s v="Российский рубль"/>
    <s v="ИП Скальская Нина Александровна 231806011808#"/>
    <s v="Скальская Нина Александровна"/>
    <m/>
    <s v="нет"/>
    <d v="2026-08-29T09:12:27"/>
    <s v="Соболев Максим"/>
    <d v="2026-08-31T18:45:37"/>
    <s v="ROBOT"/>
    <d v="2026-08-29T00:00:00"/>
    <d v="2026-09-05T00:00:00"/>
    <s v="1C:Фреш-1C:Предприятие 8 через Интернет. Акция. Базовый 15"/>
    <n v="12400"/>
    <n v="1"/>
    <m/>
    <m/>
    <m/>
    <m/>
    <m/>
    <n v="5"/>
    <d v="2026-08-31T18:35:09"/>
    <m/>
    <m/>
    <m/>
    <m/>
    <m/>
    <m/>
    <s v="Договор-оферта"/>
    <s v="Нет"/>
    <n v="2"/>
    <s v="ninanina@mail.ru"/>
    <s v="+7 918 303-03-76"/>
    <m/>
    <s v="г Сочи"/>
    <s v="ЦП. 1С и ИТС. Коммерция"/>
    <d v="2026-09-28T00:00:00"/>
    <m/>
    <m/>
    <m/>
    <m/>
    <m/>
    <n v="0"/>
    <s v="Скальская Нина Александровна"/>
    <m/>
    <m/>
    <m/>
    <n v="0"/>
    <m/>
    <s v="ФРДТ-019184"/>
    <m/>
    <s v="ЦП. 1С. Коммерция"/>
    <m/>
    <m/>
    <m/>
    <m/>
    <d v="2026-08-29T00:00:00"/>
    <m/>
    <m/>
    <s v="[CO]ООО НПФ &quot;ФОРУС&quot; 3812023430#"/>
    <s v="Сервисы"/>
    <m/>
    <m/>
    <s v="Коммерческие"/>
    <m/>
    <m/>
    <s v="Обычный"/>
    <m/>
    <m/>
    <s v="#Загружено из Битрикс-Коробка#"/>
    <m/>
    <m/>
    <m/>
    <s v="Фреш Коммерс Базовый"/>
    <m/>
    <m/>
    <m/>
    <m/>
    <m/>
    <m/>
    <s v="Не было отгрузок"/>
    <m/>
    <m/>
    <m/>
    <m/>
    <s v="Нет"/>
    <m/>
    <m/>
    <m/>
    <s v="ФРЕШ. Базовый"/>
    <s v="1С:УНФ"/>
    <m/>
    <m/>
    <m/>
    <m/>
    <s v="Уточнить потребности / Дать тест. доступ"/>
    <s v="ФРЕШ и ГРМ"/>
    <m/>
    <m/>
    <s v="Не нужно"/>
    <m/>
    <m/>
    <m/>
    <s v="Уточнить потребност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Уточнить потребности"/>
    <m/>
    <m/>
    <m/>
    <m/>
    <m/>
    <d v="2026-08-31T18:35:09"/>
    <m/>
    <m/>
    <m/>
    <m/>
    <m/>
    <m/>
    <m/>
    <m/>
    <m/>
    <m/>
    <m/>
    <m/>
    <m/>
    <m/>
    <m/>
    <m/>
    <m/>
    <m/>
    <m/>
    <m/>
    <n v="387416"/>
    <m/>
    <m/>
    <s v="Нина"/>
    <s v="Скальская"/>
    <s v="Александровна"/>
    <m/>
    <m/>
    <s v="Клиенты"/>
    <s v="ROBOT"/>
    <m/>
    <s v="Свой контакт (Менеджер)"/>
    <m/>
    <s v="Да"/>
    <s v="Федосеев Максим"/>
    <d v="2026-03-31T09:59:24"/>
    <s v="ROBOT_UT"/>
    <d v="2026-08-30T06:44:36"/>
    <m/>
    <m/>
    <n v="79183030376"/>
    <m/>
    <m/>
    <m/>
    <m/>
    <m/>
    <m/>
    <m/>
    <m/>
    <m/>
    <m/>
    <m/>
    <m/>
    <s v="ninanina@mail.ru"/>
    <m/>
    <m/>
    <m/>
    <m/>
    <m/>
    <m/>
    <m/>
    <m/>
    <m/>
    <m/>
    <m/>
    <m/>
    <m/>
    <m/>
    <m/>
    <s v="Сочи г"/>
    <d v="2026-03-31T00:00:00"/>
    <s v="Да"/>
    <m/>
    <s v="Краснодарский край - 5 час"/>
    <m/>
    <m/>
    <s v="Нет"/>
    <s v="d83cb260-06e6-4198-a502-23a54bf3101a"/>
    <n v="258643"/>
    <m/>
    <s v="ИП Скальская Нина Александровна 231806011808#"/>
    <s v="Клиент"/>
    <s v="менее 50"/>
    <s v="ROBOT"/>
    <m/>
    <s v="Информационные технологии"/>
    <s v="0.00"/>
    <s v="Российский рубль"/>
    <m/>
    <s v="Соболев Максим"/>
    <d v="2026-08-28T16:55:53"/>
    <s v="ROBOT_UT"/>
    <d v="2026-08-31T18:45: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s v="47.77.21 Торговля розничная ювелирными изделиями из серебра в специализированных магазинах"/>
    <m/>
    <s v="Нет"/>
    <m/>
    <m/>
    <s v="ИП Скальская Нина Александровна"/>
    <s v="г Сочи"/>
    <n v="231806011808"/>
    <m/>
    <m/>
    <m/>
    <m/>
    <m/>
    <m/>
    <m/>
    <s v="Свой контакт (Менеджер)"/>
    <m/>
    <s v="Коммерческие"/>
    <s v="ИП"/>
    <n v="129176"/>
    <s v="Краснодарский край - 5 час"/>
    <m/>
    <m/>
    <m/>
    <s v="Нет"/>
    <m/>
    <m/>
    <m/>
    <m/>
    <s v="Нет"/>
    <s v="Торговля. Прочая"/>
    <m/>
    <m/>
    <m/>
    <s v="6d61f7de-7df1-4da0-8bb2-7b440ee863fc"/>
  </r>
  <r>
    <n v="320262"/>
    <s v="ЦП. ФРЕШ. Продажи"/>
    <s v="N"/>
    <s v="N"/>
    <x v="4"/>
    <m/>
    <m/>
    <m/>
    <m/>
    <m/>
    <s v="Федосеев Максим"/>
    <m/>
    <s v="Успешная регистрация в сервисе 1С:Предприятие через Интернет."/>
    <s v="Продажа"/>
    <s v="1С Аукцион ФРЕШ"/>
    <s v="http://bigone.demist.ruЧасовой пояс: Asia/Yekaterinburg"/>
    <s v="0.00"/>
    <s v="Российский рубль"/>
    <m/>
    <m/>
    <m/>
    <s v="нет"/>
    <d v="2026-08-28T22:25:07"/>
    <s v="Неумывакин Захар"/>
    <d v="2026-08-29T22:25:10"/>
    <s v="ROBOT_M"/>
    <d v="2026-08-28T00:00:00"/>
    <d v="2026-09-04T00:00:00"/>
    <m/>
    <m/>
    <m/>
    <s v="Клиент из менеджера сервиса: [p]Здравствуйте! [/p] [p]Успешная регистрация в сервисе [b]1С:Предприятие через Интернет[/b].[/p] [p] [b]Дата регистрации:[/b] 28 августа 2026г. [b]Имя абонента:[/b] Эвелина [b]Код абонента:[/b] 1402739 [b]Адрес электронной почты:[/b] evelina14077@gmail.com [b]Номер телефона:[/b] 89631306410 [b]Адрес сайта регистрации:[/b] [url=https://1cfresh.com]https://1cfresh.com[/url] [b]Версия сайта регистрации:[/b] [url=http://bigone.demist.ru]http://bigone.demist.ru[/url] [b]Часовой пояс:[/b] Asia/Yekaterinburg [/p] [p] , команда проекта &quot;1С:Предприятие через Интернет&quot;. [/p] Источник - 1С Аукцион ФРЕШ Дата завершения тестового доступа = 27.09.2026"/>
    <m/>
    <m/>
    <m/>
    <m/>
    <n v="2298"/>
    <d v="2026-08-28T22:25:07"/>
    <m/>
    <m/>
    <m/>
    <m/>
    <m/>
    <m/>
    <m/>
    <s v="Нет"/>
    <n v="1"/>
    <s v="evelina14077@gmail.com"/>
    <n v="89631306410"/>
    <m/>
    <m/>
    <s v="ЦП. 1С и ИТС. Коммерция"/>
    <d v="2026-09-27T00:00:00"/>
    <m/>
    <m/>
    <m/>
    <d v="2026-09-27T00:00:00"/>
    <m/>
    <n v="0"/>
    <s v="Эвелина"/>
    <m/>
    <m/>
    <m/>
    <n v="0"/>
    <m/>
    <m/>
    <m/>
    <s v="ЦП. 1С. Коммерция"/>
    <m/>
    <m/>
    <m/>
    <m/>
    <m/>
    <m/>
    <m/>
    <m/>
    <m/>
    <m/>
    <m/>
    <m/>
    <m/>
    <m/>
    <s v="Обычный"/>
    <m/>
    <m/>
    <m/>
    <m/>
    <m/>
    <m/>
    <m/>
    <m/>
    <m/>
    <m/>
    <m/>
    <m/>
    <m/>
    <s v="Не было отгрузок"/>
    <m/>
    <m/>
    <m/>
    <m/>
    <s v="Нет"/>
    <m/>
    <m/>
    <m/>
    <m/>
    <m/>
    <s v="1 402 739"/>
    <m/>
    <m/>
    <m/>
    <s v="Необработанные"/>
    <s v="ФРЕШ и ГРМ"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29T22:25: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20255"/>
    <s v="ЦП. 1С. Продажи"/>
    <s v="Y"/>
    <s v="N"/>
    <x v="3"/>
    <m/>
    <m/>
    <m/>
    <m/>
    <m/>
    <s v="Соболев Максим"/>
    <s v="ONE_C"/>
    <s v="ИП Круталевич Елена Юрьевна 380806982866# - 1С Разовые услуги"/>
    <s v="Продажа"/>
    <s v="Звонок"/>
    <m/>
    <n v="5700"/>
    <s v="Российский рубль"/>
    <s v="ИП Круталевич Елена Юрьевна 380806982866#"/>
    <s v="Углова Алена Юрьевна"/>
    <m/>
    <s v="нет"/>
    <d v="2026-08-28T18:29:47"/>
    <s v="Соболев Максим"/>
    <d v="2026-09-02T14:04:21"/>
    <s v="Иванова Евгения"/>
    <d v="2026-08-28T00:00:00"/>
    <d v="2026-09-04T00:00:00"/>
    <s v="Подключение сканера к товароучетной системе"/>
    <n v="1900"/>
    <n v="3"/>
    <m/>
    <m/>
    <m/>
    <m/>
    <m/>
    <n v="508"/>
    <d v="2026-08-28T18:38:15"/>
    <m/>
    <m/>
    <m/>
    <m/>
    <m/>
    <m/>
    <s v="Договор-оферта"/>
    <s v="Нет"/>
    <n v="1"/>
    <m/>
    <m/>
    <m/>
    <s v="Иркутск г"/>
    <s v="ЦП. 1С и ИТС. Коммерция"/>
    <m/>
    <m/>
    <m/>
    <m/>
    <m/>
    <m/>
    <n v="0"/>
    <m/>
    <m/>
    <m/>
    <m/>
    <n v="0"/>
    <m/>
    <s v="ФРДТ-019175"/>
    <m/>
    <s v="ЦП. 1С. Коммерция"/>
    <m/>
    <m/>
    <m/>
    <m/>
    <d v="2026-08-28T00:00:00"/>
    <m/>
    <m/>
    <s v="[CO]ООО НПФ &quot;ФОРУС&quot; 3812023430#"/>
    <s v="Оказание услуг"/>
    <m/>
    <m/>
    <s v="Коммерческие"/>
    <m/>
    <m/>
    <s v="Обычный"/>
    <m/>
    <m/>
    <s v="#Загружено из Битрикс-Коробка#"/>
    <m/>
    <m/>
    <m/>
    <s v="Услуги ЦСВ Кассы"/>
    <m/>
    <m/>
    <m/>
    <m/>
    <m/>
    <m/>
    <s v="Не было отгрузок"/>
    <m/>
    <m/>
    <m/>
    <m/>
    <s v="Нет"/>
    <m/>
    <m/>
    <m/>
    <m/>
    <m/>
    <m/>
    <m/>
    <m/>
    <m/>
    <m/>
    <s v="1С Разовые услуги"/>
    <m/>
    <m/>
    <s v="Не нужно"/>
    <m/>
    <m/>
    <m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9-02T14:02:46"/>
    <d v="2026-09-02T14:02:46"/>
    <s v="Завершен"/>
    <m/>
    <m/>
    <m/>
    <m/>
    <m/>
    <m/>
    <m/>
    <m/>
    <m/>
    <m/>
    <m/>
    <m/>
    <m/>
    <m/>
    <m/>
    <m/>
    <m/>
    <m/>
    <n v="316634"/>
    <m/>
    <m/>
    <s v="Алена"/>
    <s v="Углова"/>
    <s v="Юрьевна"/>
    <m/>
    <m/>
    <s v="Клиенты"/>
    <s v="ROBOT"/>
    <s v="[p] . [/p]"/>
    <s v="Свой контакт (Менеджер)"/>
    <m/>
    <s v="Да"/>
    <s v="Торокова Мария"/>
    <d v="2023-10-11T15:15:57"/>
    <s v="ROBOT"/>
    <d v="2026-09-01T16:14:40"/>
    <m/>
    <m/>
    <n v="158332815216"/>
    <m/>
    <m/>
    <m/>
    <m/>
    <m/>
    <m/>
    <m/>
    <m/>
    <m/>
    <m/>
    <m/>
    <m/>
    <s v="m4sterovoy@yandex.ru"/>
    <m/>
    <m/>
    <m/>
    <m/>
    <m/>
    <m/>
    <m/>
    <m/>
    <m/>
    <m/>
    <m/>
    <s v="imol|ank_chats_app24_whatsapp|32|79086485626|5629"/>
    <m/>
    <m/>
    <n v="5629"/>
    <s v="Иркутск г"/>
    <d v="2023-10-11T00:00:00"/>
    <s v="Да"/>
    <m/>
    <s v="Иркутская область 0 часов"/>
    <m/>
    <m/>
    <s v="Нет"/>
    <s v="99d44168-831c-49b1-9880-1f024f52cc8a"/>
    <n v="217223"/>
    <m/>
    <s v="ИП Круталевич Елена Юрьевна 380806982866#"/>
    <s v="Клиент"/>
    <s v="менее 50"/>
    <s v="ROBOT"/>
    <m/>
    <s v="Информационные технологии"/>
    <m/>
    <s v="Российский рубль"/>
    <s v="Данные из БУХМАСТЕР: Доверенность до:15.02.2025 Сфера деятельности: Кол-во сотрудников: Где база:УФА СНО:ПСН, УСН15%нулевая Тариф договора: Периодичность запроса первички: Доступ в банк: Нет Адрей банк-клиента: Наличие онлайн-кассы:Нет Адрес онлайн кассы: Платформа офд Касса: Нет Наличие ЭДО:"/>
    <s v="Сирина Карина"/>
    <d v="2024-02-14T12:44:46"/>
    <s v="ROBOT_UT"/>
    <d v="2026-09-01T16:19:44"/>
    <m/>
    <m/>
    <n v="79148955959"/>
    <m/>
    <m/>
    <m/>
    <m/>
    <m/>
    <m/>
    <m/>
    <m/>
    <m/>
    <m/>
    <m/>
    <m/>
    <s v="m4sterovoy@yandex.ru"/>
    <m/>
    <m/>
    <m/>
    <m/>
    <m/>
    <m/>
    <m/>
    <m/>
    <m/>
    <m/>
    <m/>
    <s v="imol|ank_chats_app24_telegram|47|private-813447807h-1628279926093130285|22673"/>
    <m/>
    <m/>
    <n v="22673"/>
    <m/>
    <n v="0"/>
    <s v="m4sterovoy@yandex.ru"/>
    <m/>
    <m/>
    <s v="47.52 Торговля розничная скобяными изделиями, лакокрасочными материалами и стеклом в специализированных магазинах"/>
    <m/>
    <s v="Нет"/>
    <m/>
    <m/>
    <s v="ИП Круталевич Елена Юрьевна"/>
    <s v="Иркутск г"/>
    <n v="380806982866"/>
    <s v="4. УСН: Доходы + НДС"/>
    <m/>
    <m/>
    <m/>
    <s v="m4sterovoy@yandex.ru"/>
    <m/>
    <m/>
    <s v="Звонок"/>
    <m/>
    <s v="Коммерческие"/>
    <s v="ИП"/>
    <n v="100754"/>
    <s v="Иркутская область 0 часов"/>
    <m/>
    <s v="Иркутск"/>
    <s v="БО. Комплексный сервис"/>
    <m/>
    <m/>
    <m/>
    <n v="1"/>
    <s v="Рабочая группа № 6"/>
    <s v="Нет"/>
    <s v="Торговля. Прочая"/>
    <m/>
    <m/>
    <m/>
    <s v="922630c5-afc5-4dd6-8dae-3c2dc33b7523"/>
  </r>
  <r>
    <n v="320255"/>
    <s v="ЦП. 1С. Продажи"/>
    <s v="Y"/>
    <s v="N"/>
    <x v="3"/>
    <m/>
    <m/>
    <m/>
    <m/>
    <m/>
    <s v="Соболев Максим"/>
    <s v="ONE_C"/>
    <s v="ИП Круталевич Елена Юрьевна 380806982866# - 1С Разовые услуги"/>
    <s v="Продажа"/>
    <s v="Звонок"/>
    <m/>
    <n v="4800"/>
    <s v="Российский рубль"/>
    <s v="ИП Круталевич Елена Юрьевна 380806982866#"/>
    <s v="Углова Алена Юрьевна"/>
    <m/>
    <s v="нет"/>
    <d v="2026-08-28T18:29:47"/>
    <s v="Соболев Максим"/>
    <d v="2026-09-02T14:04:21"/>
    <s v="Иванова Евгения"/>
    <d v="2026-08-28T00:00:00"/>
    <d v="2026-09-04T00:00:00"/>
    <s v="Регистрация онлайн -кассы в ФНС и ОФД"/>
    <n v="2400"/>
    <n v="2"/>
    <m/>
    <m/>
    <m/>
    <m/>
    <m/>
    <n v="508"/>
    <d v="2026-08-28T18:38:15"/>
    <m/>
    <m/>
    <m/>
    <m/>
    <m/>
    <m/>
    <s v="Договор-оферта"/>
    <s v="Нет"/>
    <n v="1"/>
    <m/>
    <m/>
    <m/>
    <s v="Иркутск г"/>
    <s v="ЦП. 1С и ИТС. Коммерция"/>
    <m/>
    <m/>
    <m/>
    <m/>
    <m/>
    <m/>
    <n v="0"/>
    <m/>
    <m/>
    <m/>
    <m/>
    <n v="0"/>
    <m/>
    <s v="ФРДТ-019175"/>
    <m/>
    <s v="ЦП. 1С. Коммерция"/>
    <m/>
    <m/>
    <m/>
    <m/>
    <d v="2026-08-28T00:00:00"/>
    <m/>
    <m/>
    <s v="[CO]ООО НПФ &quot;ФОРУС&quot; 3812023430#"/>
    <s v="Оказание услуг"/>
    <m/>
    <m/>
    <s v="Коммерческие"/>
    <m/>
    <m/>
    <s v="Обычный"/>
    <m/>
    <m/>
    <s v="#Загружено из Битрикс-Коробка#"/>
    <m/>
    <m/>
    <m/>
    <s v="Услуги ЦСВ Кассы"/>
    <m/>
    <m/>
    <m/>
    <m/>
    <m/>
    <m/>
    <s v="Не было отгрузок"/>
    <m/>
    <m/>
    <m/>
    <m/>
    <s v="Нет"/>
    <m/>
    <m/>
    <m/>
    <m/>
    <m/>
    <m/>
    <m/>
    <m/>
    <m/>
    <m/>
    <s v="1С Разовые услуги"/>
    <m/>
    <m/>
    <s v="Не нужно"/>
    <m/>
    <m/>
    <m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9-02T14:02:46"/>
    <d v="2026-09-02T14:02:46"/>
    <s v="Завершен"/>
    <m/>
    <m/>
    <m/>
    <m/>
    <m/>
    <m/>
    <m/>
    <m/>
    <m/>
    <m/>
    <m/>
    <m/>
    <m/>
    <m/>
    <m/>
    <m/>
    <m/>
    <m/>
    <n v="316634"/>
    <m/>
    <m/>
    <s v="Алена"/>
    <s v="Углова"/>
    <s v="Юрьевна"/>
    <m/>
    <m/>
    <s v="Клиенты"/>
    <s v="ROBOT"/>
    <s v="[p] . [/p]"/>
    <s v="Свой контакт (Менеджер)"/>
    <m/>
    <s v="Да"/>
    <s v="Торокова Мария"/>
    <d v="2023-10-11T15:15:57"/>
    <s v="ROBOT"/>
    <d v="2026-09-01T16:14:40"/>
    <m/>
    <m/>
    <n v="158332815216"/>
    <m/>
    <m/>
    <m/>
    <m/>
    <m/>
    <m/>
    <m/>
    <m/>
    <m/>
    <m/>
    <m/>
    <m/>
    <s v="m4sterovoy@yandex.ru"/>
    <m/>
    <m/>
    <m/>
    <m/>
    <m/>
    <m/>
    <m/>
    <m/>
    <m/>
    <m/>
    <m/>
    <s v="imol|ank_chats_app24_whatsapp|32|79086485626|5629"/>
    <m/>
    <m/>
    <n v="5629"/>
    <s v="Иркутск г"/>
    <d v="2023-10-11T00:00:00"/>
    <s v="Да"/>
    <m/>
    <s v="Иркутская область 0 часов"/>
    <m/>
    <m/>
    <s v="Нет"/>
    <s v="99d44168-831c-49b1-9880-1f024f52cc8a"/>
    <n v="217223"/>
    <m/>
    <s v="ИП Круталевич Елена Юрьевна 380806982866#"/>
    <s v="Клиент"/>
    <s v="менее 50"/>
    <s v="ROBOT"/>
    <m/>
    <s v="Информационные технологии"/>
    <m/>
    <s v="Российский рубль"/>
    <s v="Данные из БУХМАСТЕР: Доверенность до:15.02.2025 Сфера деятельности: Кол-во сотрудников: Где база:УФА СНО:ПСН, УСН15%нулевая Тариф договора: Периодичность запроса первички: Доступ в банк: Нет Адрей банк-клиента: Наличие онлайн-кассы:Нет Адрес онлайн кассы: Платформа офд Касса: Нет Наличие ЭДО:"/>
    <s v="Сирина Карина"/>
    <d v="2024-02-14T12:44:46"/>
    <s v="ROBOT_UT"/>
    <d v="2026-09-01T16:19:44"/>
    <m/>
    <m/>
    <n v="79148955959"/>
    <m/>
    <m/>
    <m/>
    <m/>
    <m/>
    <m/>
    <m/>
    <m/>
    <m/>
    <m/>
    <m/>
    <m/>
    <s v="m4sterovoy@yandex.ru"/>
    <m/>
    <m/>
    <m/>
    <m/>
    <m/>
    <m/>
    <m/>
    <m/>
    <m/>
    <m/>
    <m/>
    <s v="imol|ank_chats_app24_telegram|47|private-813447807h-1628279926093130285|22673"/>
    <m/>
    <m/>
    <n v="22673"/>
    <m/>
    <n v="0"/>
    <s v="m4sterovoy@yandex.ru"/>
    <m/>
    <m/>
    <s v="47.52 Торговля розничная скобяными изделиями, лакокрасочными материалами и стеклом в специализированных магазинах"/>
    <m/>
    <s v="Нет"/>
    <m/>
    <m/>
    <s v="ИП Круталевич Елена Юрьевна"/>
    <s v="Иркутск г"/>
    <n v="380806982866"/>
    <s v="4. УСН: Доходы + НДС"/>
    <m/>
    <m/>
    <m/>
    <s v="m4sterovoy@yandex.ru"/>
    <m/>
    <m/>
    <s v="Звонок"/>
    <m/>
    <s v="Коммерческие"/>
    <s v="ИП"/>
    <n v="100754"/>
    <s v="Иркутская область 0 часов"/>
    <m/>
    <s v="Иркутск"/>
    <s v="БО. Комплексный сервис"/>
    <m/>
    <m/>
    <m/>
    <n v="1"/>
    <s v="Рабочая группа № 6"/>
    <s v="Нет"/>
    <s v="Торговля. Прочая"/>
    <m/>
    <m/>
    <m/>
    <s v="922630c5-afc5-4dd6-8dae-3c2dc33b7523"/>
  </r>
  <r>
    <n v="320255"/>
    <s v="ЦП. 1С. Продажи"/>
    <s v="Y"/>
    <s v="N"/>
    <x v="3"/>
    <m/>
    <m/>
    <m/>
    <m/>
    <m/>
    <s v="Соболев Максим"/>
    <s v="ONE_C"/>
    <s v="ИП Круталевич Елена Юрьевна 380806982866# - 1С Разовые услуги"/>
    <s v="Продажа"/>
    <s v="Звонок"/>
    <m/>
    <n v="3000"/>
    <s v="Российский рубль"/>
    <s v="ИП Круталевич Елена Юрьевна 380806982866#"/>
    <s v="Углова Алена Юрьевна"/>
    <m/>
    <s v="нет"/>
    <d v="2026-08-28T18:29:47"/>
    <s v="Соболев Максим"/>
    <d v="2026-09-02T14:04:21"/>
    <s v="Иванова Евгения"/>
    <d v="2026-08-28T00:00:00"/>
    <d v="2026-09-04T00:00:00"/>
    <s v="Регистрация в системе &quot;Честный ЗНАК&quot;: настройка рабочего места для работы на портале честныйзнак.рф; помощь в заполнении формы регистрации; настройка Личного Кабинета; помощь в корректном заполнении профиля пользователя в Личном кабинете"/>
    <n v="3000"/>
    <n v="1"/>
    <m/>
    <m/>
    <m/>
    <m/>
    <m/>
    <n v="508"/>
    <d v="2026-08-28T18:38:15"/>
    <m/>
    <m/>
    <m/>
    <m/>
    <m/>
    <m/>
    <s v="Договор-оферта"/>
    <s v="Нет"/>
    <n v="1"/>
    <m/>
    <m/>
    <m/>
    <s v="Иркутск г"/>
    <s v="ЦП. 1С и ИТС. Коммерция"/>
    <m/>
    <m/>
    <m/>
    <m/>
    <m/>
    <m/>
    <n v="0"/>
    <m/>
    <m/>
    <m/>
    <m/>
    <n v="0"/>
    <m/>
    <s v="ФРДТ-019175"/>
    <m/>
    <s v="ЦП. 1С. Коммерция"/>
    <m/>
    <m/>
    <m/>
    <m/>
    <d v="2026-08-28T00:00:00"/>
    <m/>
    <m/>
    <s v="[CO]ООО НПФ &quot;ФОРУС&quot; 3812023430#"/>
    <s v="Оказание услуг"/>
    <m/>
    <m/>
    <s v="Коммерческие"/>
    <m/>
    <m/>
    <s v="Обычный"/>
    <m/>
    <m/>
    <s v="#Загружено из Битрикс-Коробка#"/>
    <m/>
    <m/>
    <m/>
    <s v="Услуги ЦСВ Кассы"/>
    <m/>
    <m/>
    <m/>
    <m/>
    <m/>
    <m/>
    <s v="Не было отгрузок"/>
    <m/>
    <m/>
    <m/>
    <m/>
    <s v="Нет"/>
    <m/>
    <m/>
    <m/>
    <m/>
    <m/>
    <m/>
    <m/>
    <m/>
    <m/>
    <m/>
    <s v="1С Разовые услуги"/>
    <m/>
    <m/>
    <s v="Не нужно"/>
    <m/>
    <m/>
    <m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9-02T14:02:46"/>
    <d v="2026-09-02T14:02:46"/>
    <s v="Завершен"/>
    <m/>
    <m/>
    <m/>
    <m/>
    <m/>
    <m/>
    <m/>
    <m/>
    <m/>
    <m/>
    <m/>
    <m/>
    <m/>
    <m/>
    <m/>
    <m/>
    <m/>
    <m/>
    <n v="316634"/>
    <m/>
    <m/>
    <s v="Алена"/>
    <s v="Углова"/>
    <s v="Юрьевна"/>
    <m/>
    <m/>
    <s v="Клиенты"/>
    <s v="ROBOT"/>
    <s v="[p] . [/p]"/>
    <s v="Свой контакт (Менеджер)"/>
    <m/>
    <s v="Да"/>
    <s v="Торокова Мария"/>
    <d v="2023-10-11T15:15:57"/>
    <s v="ROBOT"/>
    <d v="2026-09-01T16:14:40"/>
    <m/>
    <m/>
    <n v="158332815216"/>
    <m/>
    <m/>
    <m/>
    <m/>
    <m/>
    <m/>
    <m/>
    <m/>
    <m/>
    <m/>
    <m/>
    <m/>
    <s v="m4sterovoy@yandex.ru"/>
    <m/>
    <m/>
    <m/>
    <m/>
    <m/>
    <m/>
    <m/>
    <m/>
    <m/>
    <m/>
    <m/>
    <s v="imol|ank_chats_app24_whatsapp|32|79086485626|5629"/>
    <m/>
    <m/>
    <n v="5629"/>
    <s v="Иркутск г"/>
    <d v="2023-10-11T00:00:00"/>
    <s v="Да"/>
    <m/>
    <s v="Иркутская область 0 часов"/>
    <m/>
    <m/>
    <s v="Нет"/>
    <s v="99d44168-831c-49b1-9880-1f024f52cc8a"/>
    <n v="217223"/>
    <m/>
    <s v="ИП Круталевич Елена Юрьевна 380806982866#"/>
    <s v="Клиент"/>
    <s v="менее 50"/>
    <s v="ROBOT"/>
    <m/>
    <s v="Информационные технологии"/>
    <m/>
    <s v="Российский рубль"/>
    <s v="Данные из БУХМАСТЕР: Доверенность до:15.02.2025 Сфера деятельности: Кол-во сотрудников: Где база:УФА СНО:ПСН, УСН15%нулевая Тариф договора: Периодичность запроса первички: Доступ в банк: Нет Адрей банк-клиента: Наличие онлайн-кассы:Нет Адрес онлайн кассы: Платформа офд Касса: Нет Наличие ЭДО:"/>
    <s v="Сирина Карина"/>
    <d v="2024-02-14T12:44:46"/>
    <s v="ROBOT_UT"/>
    <d v="2026-09-01T16:19:44"/>
    <m/>
    <m/>
    <n v="79148955959"/>
    <m/>
    <m/>
    <m/>
    <m/>
    <m/>
    <m/>
    <m/>
    <m/>
    <m/>
    <m/>
    <m/>
    <m/>
    <s v="m4sterovoy@yandex.ru"/>
    <m/>
    <m/>
    <m/>
    <m/>
    <m/>
    <m/>
    <m/>
    <m/>
    <m/>
    <m/>
    <m/>
    <s v="imol|ank_chats_app24_telegram|47|private-813447807h-1628279926093130285|22673"/>
    <m/>
    <m/>
    <n v="22673"/>
    <m/>
    <n v="0"/>
    <s v="m4sterovoy@yandex.ru"/>
    <m/>
    <m/>
    <s v="47.52 Торговля розничная скобяными изделиями, лакокрасочными материалами и стеклом в специализированных магазинах"/>
    <m/>
    <s v="Нет"/>
    <m/>
    <m/>
    <s v="ИП Круталевич Елена Юрьевна"/>
    <s v="Иркутск г"/>
    <n v="380806982866"/>
    <s v="4. УСН: Доходы + НДС"/>
    <m/>
    <m/>
    <m/>
    <s v="m4sterovoy@yandex.ru"/>
    <m/>
    <m/>
    <s v="Звонок"/>
    <m/>
    <s v="Коммерческие"/>
    <s v="ИП"/>
    <n v="100754"/>
    <s v="Иркутская область 0 часов"/>
    <m/>
    <s v="Иркутск"/>
    <s v="БО. Комплексный сервис"/>
    <m/>
    <m/>
    <m/>
    <n v="1"/>
    <s v="Рабочая группа № 6"/>
    <s v="Нет"/>
    <s v="Торговля. Прочая"/>
    <m/>
    <m/>
    <m/>
    <s v="922630c5-afc5-4dd6-8dae-3c2dc33b7523"/>
  </r>
  <r>
    <n v="320250"/>
    <s v="ЦП. 1С. Продажи"/>
    <s v="N"/>
    <s v="N"/>
    <x v="3"/>
    <m/>
    <m/>
    <m/>
    <m/>
    <m/>
    <s v="Багланова Антонина"/>
    <s v="ONE_C"/>
    <s v="ИП Добровольская Софья Андреевна 381112458103# - 1С Разовые услуги"/>
    <s v="Продажа"/>
    <s v="Звонок"/>
    <s v="Звонок поступил на номер: ЦП 78-00-00 (62)."/>
    <n v="3660"/>
    <s v="Российский рубль"/>
    <s v="ИП Добровольская Софья Андреевна 381112458103#"/>
    <s v="Пестерева Ольга"/>
    <m/>
    <s v="нет"/>
    <d v="2026-08-28T17:46:47"/>
    <s v="Багланова Антонина"/>
    <d v="2026-09-02T00:03:49"/>
    <s v="ROBOT_M"/>
    <d v="2026-08-12T00:00:00"/>
    <d v="2026-08-19T00:00:00"/>
    <s v="Линия консультаций и техподдержка 1С"/>
    <n v="3660"/>
    <n v="1"/>
    <s v="##Родительская сделка 317999##"/>
    <m/>
    <m/>
    <m/>
    <m/>
    <n v="27"/>
    <d v="2026-08-28T18:02:41"/>
    <m/>
    <m/>
    <m/>
    <m/>
    <m/>
    <m/>
    <s v="Договор-оферта"/>
    <s v="Нет"/>
    <n v="2"/>
    <m/>
    <n v="79500701801"/>
    <m/>
    <m/>
    <s v="ЦП. 1С и ИТС. Коммерция"/>
    <m/>
    <m/>
    <m/>
    <m/>
    <m/>
    <m/>
    <n v="0"/>
    <m/>
    <m/>
    <m/>
    <m/>
    <n v="4"/>
    <m/>
    <s v="ФРДТ-019171"/>
    <s v="[D]ИП Добровольская Софья Андреевна 381112458103# - 1С: УНФ"/>
    <s v="ЦП. 1С. Коммерция"/>
    <m/>
    <m/>
    <m/>
    <m/>
    <d v="2026-08-28T00:00:00"/>
    <m/>
    <m/>
    <s v="[CO]ООО НПФ &quot;ФОРУС&quot; 3812023430#"/>
    <s v="Оказание услуг"/>
    <m/>
    <m/>
    <m/>
    <m/>
    <m/>
    <s v="Обычный"/>
    <m/>
    <m/>
    <s v="#Загружено из Битрикс-Коробка#"/>
    <m/>
    <m/>
    <n v="264428"/>
    <s v="Услуги ЦСВ 1С консультации"/>
    <m/>
    <m/>
    <m/>
    <m/>
    <m/>
    <m/>
    <s v="Не было отгрузок"/>
    <m/>
    <m/>
    <m/>
    <m/>
    <s v="Нет"/>
    <m/>
    <m/>
    <m/>
    <m/>
    <m/>
    <m/>
    <m/>
    <m/>
    <m/>
    <m/>
    <s v="1С Разовые услуги"/>
    <s v="1С: УНФ"/>
    <s v="Эл. Поставка"/>
    <s v="Не нужно"/>
    <m/>
    <m/>
    <m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было оплат"/>
    <m/>
    <m/>
    <s v="Да"/>
    <s v="Нет"/>
    <m/>
    <m/>
    <s v="Не было отгрузок"/>
    <m/>
    <s v="Не оформляется"/>
    <m/>
    <m/>
    <m/>
    <s v="Не запущен"/>
    <s v="Управление товарами и ценообразованием, Продажи и CRM, Закупки и поставщики, Интеграции"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9-02T00:02:55"/>
    <m/>
    <m/>
    <m/>
    <m/>
    <m/>
    <m/>
    <m/>
    <m/>
    <m/>
    <m/>
    <m/>
    <m/>
    <m/>
    <m/>
    <m/>
    <m/>
    <m/>
    <m/>
    <m/>
    <m/>
    <n v="352661"/>
    <m/>
    <m/>
    <s v="Ольга"/>
    <s v="Пестерева"/>
    <m/>
    <m/>
    <m/>
    <s v="Клиенты"/>
    <s v="ROBOT"/>
    <s v="[p] тп 1с о - 3301 [/p]"/>
    <s v="Звонок"/>
    <s v="Звонок поступил на номер: ЦП 78-00-00 (Общий) (62)."/>
    <s v="Да"/>
    <s v="Нечаева Елизавета"/>
    <d v="2024-12-17T14:58:59"/>
    <s v="Дунаевская Светлана"/>
    <d v="2026-08-14T06:44:31"/>
    <m/>
    <m/>
    <n v="79500701801"/>
    <m/>
    <m/>
    <m/>
    <m/>
    <m/>
    <m/>
    <m/>
    <m/>
    <m/>
    <m/>
    <m/>
    <m/>
    <s v="sht.irk@mail.ru"/>
    <m/>
    <m/>
    <s v="oap_0976@mail.ru"/>
    <m/>
    <m/>
    <m/>
    <m/>
    <m/>
    <m/>
    <m/>
    <m/>
    <m/>
    <m/>
    <m/>
    <m/>
    <s v="Иркутск г"/>
    <d v="2024-12-17T00:00:00"/>
    <s v="Да"/>
    <m/>
    <s v="Иркутская область 0 часов"/>
    <m/>
    <m/>
    <s v="Нет"/>
    <s v="8c048559-c33c-4e0f-ad6b-bffe4e5e2ba3"/>
    <n v="257379"/>
    <m/>
    <s v="ИП Добровольская Софья Андреевна 381112458103#"/>
    <s v="Клиент"/>
    <s v="менее 50"/>
    <s v="ROBOT"/>
    <m/>
    <s v="Информационные технологии"/>
    <s v="0.00"/>
    <s v="Российский рубль"/>
    <m/>
    <s v="Приходько Екатерина"/>
    <d v="2026-07-23T14:48:30"/>
    <s v="ROBOT_UT"/>
    <d v="2026-08-28T18:10:53"/>
    <m/>
    <m/>
    <m/>
    <m/>
    <m/>
    <m/>
    <m/>
    <m/>
    <m/>
    <m/>
    <m/>
    <m/>
    <m/>
    <m/>
    <m/>
    <s v="elena-pushkareva@yandex.ru"/>
    <m/>
    <m/>
    <m/>
    <m/>
    <m/>
    <m/>
    <m/>
    <m/>
    <m/>
    <m/>
    <m/>
    <m/>
    <m/>
    <m/>
    <m/>
    <m/>
    <n v="0"/>
    <m/>
    <m/>
    <m/>
    <s v="46.90 Торговля оптовая неспециализированная"/>
    <s v="[CO]ООО &quot;АТК&quot; 3849063084#"/>
    <s v="Нет"/>
    <m/>
    <m/>
    <s v="ИП Добровольская Софья Андреевна, Инн 381112458103"/>
    <s v="г Иркутск"/>
    <n v="381112458103"/>
    <m/>
    <m/>
    <m/>
    <m/>
    <m/>
    <m/>
    <m/>
    <s v="Свой контакт (Менеджер)"/>
    <m/>
    <s v="Коммерческие"/>
    <s v="ИП"/>
    <n v="128204"/>
    <s v="Иркутская область 0 часов"/>
    <m/>
    <m/>
    <m/>
    <s v="Нет"/>
    <m/>
    <m/>
    <m/>
    <m/>
    <s v="Нет"/>
    <s v="Торговля. Прочая"/>
    <m/>
    <m/>
    <m/>
    <s v="457cda7f-30fe-4ebd-b188-f94988cf16c7"/>
  </r>
  <r>
    <n v="320248"/>
    <s v="ЦП. УЦ. Продажи"/>
    <s v="Y"/>
    <s v="N"/>
    <x v="7"/>
    <m/>
    <s v="Шкуренко Дарья Соболев Максим"/>
    <m/>
    <m/>
    <m/>
    <s v="Соболев Максим"/>
    <s v="ONE_C"/>
    <s v="1С:Подпись. ИП Круталевич Елена Юрьевна 380806982866#"/>
    <s v="Продажа"/>
    <s v="Звонок"/>
    <m/>
    <n v="3000"/>
    <s v="Российский рубль"/>
    <s v="ИП Круталевич Елена Юрьевна 380806982866#"/>
    <s v="Углова Алена Юрьевна"/>
    <m/>
    <s v="нет"/>
    <d v="2026-08-28T17:33:23"/>
    <s v="Соболев Максим"/>
    <d v="2026-09-02T14:04:21"/>
    <s v="Иванова Евгения"/>
    <d v="2026-08-28T00:00:00"/>
    <d v="2026-09-04T00:00:00"/>
    <s v="1С:Подпись.ЭПД"/>
    <n v="1500"/>
    <n v="2"/>
    <m/>
    <m/>
    <m/>
    <m/>
    <m/>
    <n v="6346"/>
    <d v="2026-09-01T09:47:29"/>
    <m/>
    <m/>
    <m/>
    <m/>
    <m/>
    <m/>
    <s v="Договор-оферта"/>
    <s v="Нет"/>
    <n v="2"/>
    <m/>
    <m/>
    <m/>
    <s v="Иркутск г"/>
    <s v="ЦП. 1С и ИТС. Коммерция"/>
    <d v="2026-10-09T00:00:00"/>
    <m/>
    <m/>
    <m/>
    <m/>
    <m/>
    <n v="0"/>
    <m/>
    <m/>
    <m/>
    <m/>
    <n v="4"/>
    <s v="/upload/crm/7bf/j8nnw2sr6mwsk8g8nj5ay1e6cx67p8ql/Договор-оферта.txt"/>
    <s v="ФРДТ-019173"/>
    <m/>
    <s v="ЦП. 1С. Коммерция"/>
    <m/>
    <m/>
    <m/>
    <m/>
    <d v="2026-08-28T00:00:00"/>
    <m/>
    <m/>
    <s v="[CO]ООО НПФ &quot;ФОРУС&quot; 3812023430#"/>
    <s v="Сервисы"/>
    <s v="Почта России"/>
    <s v="Доступ в сервисе"/>
    <s v="Коммерческие"/>
    <m/>
    <m/>
    <s v="Обычный"/>
    <m/>
    <m/>
    <s v="#Загружено из Битрикс-Коробка#"/>
    <d v="2026-08-31T00:00:00"/>
    <m/>
    <m/>
    <s v="1С:Подпись"/>
    <m/>
    <m/>
    <m/>
    <m/>
    <m/>
    <m/>
    <s v="Не было отгрузок"/>
    <m/>
    <m/>
    <m/>
    <m/>
    <s v="Нет"/>
    <m/>
    <m/>
    <m/>
    <m/>
    <m/>
    <m/>
    <m/>
    <m/>
    <m/>
    <m/>
    <s v="УЦ"/>
    <m/>
    <m/>
    <s v="Не нужно"/>
    <m/>
    <m/>
    <m/>
    <s v="Контроль оплаты"/>
    <m/>
    <m/>
    <m/>
    <m/>
    <s v="1С:Подпись"/>
    <s v="Форус"/>
    <s v="Оплаче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Оплачено"/>
    <m/>
    <m/>
    <m/>
    <m/>
    <m/>
    <d v="2026-09-02T14:02:46"/>
    <d v="2026-09-02T14:02:46"/>
    <s v="Завершен"/>
    <m/>
    <m/>
    <m/>
    <m/>
    <m/>
    <m/>
    <m/>
    <m/>
    <m/>
    <m/>
    <m/>
    <m/>
    <m/>
    <m/>
    <m/>
    <m/>
    <m/>
    <m/>
    <n v="316634"/>
    <m/>
    <m/>
    <s v="Алена"/>
    <s v="Углова"/>
    <s v="Юрьевна"/>
    <m/>
    <m/>
    <s v="Клиенты"/>
    <s v="ROBOT"/>
    <s v="[p] . [/p]"/>
    <s v="Свой контакт (Менеджер)"/>
    <m/>
    <s v="Да"/>
    <s v="Торокова Мария"/>
    <d v="2023-10-11T15:15:57"/>
    <s v="ROBOT"/>
    <d v="2026-09-01T16:14:40"/>
    <m/>
    <m/>
    <n v="158332815216"/>
    <m/>
    <m/>
    <m/>
    <m/>
    <m/>
    <m/>
    <m/>
    <m/>
    <m/>
    <m/>
    <m/>
    <m/>
    <s v="m4sterovoy@yandex.ru"/>
    <m/>
    <m/>
    <m/>
    <m/>
    <m/>
    <m/>
    <m/>
    <m/>
    <m/>
    <m/>
    <m/>
    <s v="imol|ank_chats_app24_whatsapp|32|79086485626|5629"/>
    <m/>
    <m/>
    <n v="5629"/>
    <s v="Иркутск г"/>
    <d v="2023-10-11T00:00:00"/>
    <s v="Да"/>
    <m/>
    <s v="Иркутская область 0 часов"/>
    <m/>
    <m/>
    <s v="Нет"/>
    <s v="99d44168-831c-49b1-9880-1f024f52cc8a"/>
    <n v="217223"/>
    <m/>
    <s v="ИП Круталевич Елена Юрьевна 380806982866#"/>
    <s v="Клиент"/>
    <s v="менее 50"/>
    <s v="ROBOT"/>
    <m/>
    <s v="Информационные технологии"/>
    <m/>
    <s v="Российский рубль"/>
    <s v="Данные из БУХМАСТЕР: Доверенность до:15.02.2025 Сфера деятельности: Кол-во сотрудников: Где база:УФА СНО:ПСН, УСН15%нулевая Тариф договора: Периодичность запроса первички: Доступ в банк: Нет Адрей банк-клиента: Наличие онлайн-кассы:Нет Адрес онлайн кассы: Платформа офд Касса: Нет Наличие ЭДО:"/>
    <s v="Сирина Карина"/>
    <d v="2024-02-14T12:44:46"/>
    <s v="ROBOT_UT"/>
    <d v="2026-09-01T16:19:44"/>
    <m/>
    <m/>
    <n v="79148955959"/>
    <m/>
    <m/>
    <m/>
    <m/>
    <m/>
    <m/>
    <m/>
    <m/>
    <m/>
    <m/>
    <m/>
    <m/>
    <s v="m4sterovoy@yandex.ru"/>
    <m/>
    <m/>
    <m/>
    <m/>
    <m/>
    <m/>
    <m/>
    <m/>
    <m/>
    <m/>
    <m/>
    <s v="imol|ank_chats_app24_telegram|47|private-813447807h-1628279926093130285|22673"/>
    <m/>
    <m/>
    <n v="22673"/>
    <m/>
    <n v="0"/>
    <s v="m4sterovoy@yandex.ru"/>
    <m/>
    <m/>
    <s v="47.52 Торговля розничная скобяными изделиями, лакокрасочными материалами и стеклом в специализированных магазинах"/>
    <m/>
    <s v="Нет"/>
    <m/>
    <m/>
    <s v="ИП Круталевич Елена Юрьевна"/>
    <s v="Иркутск г"/>
    <n v="380806982866"/>
    <s v="4. УСН: Доходы + НДС"/>
    <m/>
    <m/>
    <m/>
    <s v="m4sterovoy@yandex.ru"/>
    <m/>
    <m/>
    <s v="Звонок"/>
    <m/>
    <s v="Коммерческие"/>
    <s v="ИП"/>
    <n v="100754"/>
    <s v="Иркутская область 0 часов"/>
    <m/>
    <s v="Иркутск"/>
    <s v="БО. Комплексный сервис"/>
    <m/>
    <m/>
    <m/>
    <n v="1"/>
    <s v="Рабочая группа № 6"/>
    <s v="Нет"/>
    <s v="Торговля. Прочая"/>
    <m/>
    <m/>
    <m/>
    <s v="922630c5-afc5-4dd6-8dae-3c2dc33b7523"/>
  </r>
  <r>
    <n v="320223"/>
    <s v="ЦП. 1С. Продажи"/>
    <s v="N"/>
    <s v="N"/>
    <x v="8"/>
    <m/>
    <m/>
    <m/>
    <m/>
    <m/>
    <s v="Федорова Анастасия"/>
    <s v="ONE_C"/>
    <s v="ООО &quot;АСТАШКИН И К&quot; 3827045476#"/>
    <s v="Продажа"/>
    <s v="1С Сайт its.1c.ru"/>
    <m/>
    <n v="3660"/>
    <s v="Российский рубль"/>
    <s v="ООО &quot;АСТАШКИН И К&quot; 3827045476#"/>
    <s v="Самойлова Юлия Вениаминовна"/>
    <m/>
    <s v="нет"/>
    <d v="2026-08-28T17:10:32"/>
    <s v="Федорова Анастасия"/>
    <d v="2026-09-01T14:28:43"/>
    <s v="ROBOT_M"/>
    <d v="2026-07-30T00:00:00"/>
    <d v="2026-08-27T00:00:00"/>
    <s v="Линия консультаций и техподдержка 1С"/>
    <n v="3660"/>
    <n v="1"/>
    <s v="[p] Заказ на сайте [url=https://its.1c.ru]its.1c.ru[/url] ORD260727-1785150834 [/p] [p] a:hover, a:active{color:#16489b;text-decoration:underline} #mail-message-wrapper a:hover, #mail-message-wrapper a:active{color:#16489b;text-decoration:underline} [b]Новый заказ на сайте [/b][url=https://its.1c.ru][b]its.1c.ru[/b][/url] [/p] [p] Уважаемый партнер! [/p] [p] [/p] [p] Вы получили новый заказ на сайте [url=https://its.1c.ru]its.1c.ru[/url]: [/p] [p] Номер заказа: ORD260727-1785150834 Источник: [url=https://its.1c.ru]its.1c.ru[/url] Время отправки: 2026-07-27 19:13:54 Контактное лицо: Самойлова Юлия Вениаминовна Телефон: &amp;#43;79025777596 E-mail: [url=mailto:1969811@mail.ru]1969811@mail.ru[/url] ИНН/ЕДРПОУ: Регион (город): Иркутская область, Иркутск Комментарий: Заказ на 1С-ЭПД [/p] [p] Внимательно ознакомьтесь с правилами обработки заказа в [url=https://its.1c.ru/db/partnerits#content:1636:hdoc]справочнике партнера[/url]. [/p] [p] 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[*]В течение 1 рабочего часа с момента получения заказа свяжитесь с клиентом, уточните заказ и поставьте отметку о том, что вы приняли заказ в работу.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 [/p] [p] Вопросы по обработке заказа присылайте на электронную почту [url=mailto:web-its@1c.ru]web-its@1c.ru[/url]. [/p] [p] [/p] [p][/p] [p] С уважением, администрация сайта [url=https://its.1c.ru/]its.1c.ru[/url]. [/p] ##Родительская сделка 314977##"/>
    <m/>
    <m/>
    <m/>
    <m/>
    <n v="23689"/>
    <d v="2026-09-01T10:58:55"/>
    <m/>
    <m/>
    <m/>
    <m/>
    <m/>
    <m/>
    <s v="Договор-оферта"/>
    <s v="Нет"/>
    <n v="2"/>
    <s v="1969811@mail.ru"/>
    <n v="79025777596"/>
    <m/>
    <m/>
    <s v="ЦП. 1С и ИТС. Коммерция"/>
    <m/>
    <m/>
    <m/>
    <m/>
    <m/>
    <m/>
    <n v="1"/>
    <s v="Юлия"/>
    <s v="Заказ на сайте its.1c.ru ORD260727-1785150834 a:hover, a:active {color:#16489b;text-decoration:underline} #mail-message-wrapper a:hover, #mail-message-wrapper a:active {color:#16489b;text-decoration:underline} [b]Новый заказ на сайте its.1c.ru[/b] [p]Уважаемый партнер![/p] [p]Вы получили новый заказ на сайте its.1c.ru:[/p] Номер заказа: ORD260727-1785150834 Источник: its.1c.ru Время отправки: 2026-07-27 19:13:54 Контактное лицо: Самойлова Юлия Вениаминовна Телефон: &amp;amp;#43;79025777596 E-mail: [url=mailto:1969811@mail.ru]1969811@mail.ru[/url] ИНН/ЕДРПОУ: Регион (город): Иркутская область, Иркутск Комментарий: Заказ на 1С-ЭПД [p]Внимательно ознакомьтесь с правилами обработки заказа в [url=https://its.1c.ru/db/partnerits#content:1636:hdoc]справочнике партнера[/url].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 [*]В течение 1 рабочего часа с момента получения заказа свяжитесь с клиентом, уточните заказ и поставьте отметку о том, что вы приняли заказ в работу. 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Вопросы по обработке заказа присылайте на электронную почту [url=mailto:web-its@1c.ru]web-its@1c.ru[/url].[/p] [p]С уважением, администрация сайта [url=https://its.1c.ru/]its.1c.ru[/url].[p] [/p][/p]"/>
    <m/>
    <m/>
    <n v="12"/>
    <m/>
    <s v="ФРДТ-019167"/>
    <s v="[D] 1С КП и Сервисы"/>
    <s v="ЦП. 1С. Коммерция"/>
    <m/>
    <m/>
    <m/>
    <m/>
    <d v="2026-08-28T00:00:00"/>
    <m/>
    <m/>
    <s v="[CO]ООО НПФ &quot;ФОРУС&quot; 3812023430#"/>
    <s v="Оказание услуг"/>
    <m/>
    <m/>
    <m/>
    <m/>
    <m/>
    <s v="Обычный"/>
    <m/>
    <m/>
    <s v="#Загружено из Битрикс-Коробка#"/>
    <m/>
    <m/>
    <n v="261990"/>
    <s v="Услуги ЦСВ 1С консультации"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s v="Уточнить потребност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было оплат"/>
    <d v="2026-08-27T00:00:00"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Уточнить потребности"/>
    <m/>
    <m/>
    <m/>
    <m/>
    <m/>
    <d v="2026-09-01T10:58:57"/>
    <d v="2026-09-02T15:47:22"/>
    <m/>
    <m/>
    <m/>
    <m/>
    <m/>
    <m/>
    <m/>
    <m/>
    <m/>
    <m/>
    <m/>
    <m/>
    <m/>
    <m/>
    <m/>
    <m/>
    <m/>
    <m/>
    <m/>
    <n v="301166"/>
    <m/>
    <m/>
    <s v="Юлия"/>
    <s v="Самойлова"/>
    <s v="Вениаминовна"/>
    <m/>
    <m/>
    <s v="Клиенты"/>
    <s v="ROBOT"/>
    <s v="по 3 ндфл"/>
    <s v="Звонок"/>
    <s v="Звонок поступил на номер: АБУ 25-87-32 (МРК) (2)."/>
    <s v="Да"/>
    <s v="Бутуханова Ольга"/>
    <d v="2023-02-02T11:49:20"/>
    <s v="ROBOT"/>
    <d v="2026-07-30T11:39:21"/>
    <m/>
    <m/>
    <s v="79149147106, 89025777596"/>
    <m/>
    <m/>
    <m/>
    <m/>
    <m/>
    <m/>
    <m/>
    <m/>
    <m/>
    <m/>
    <m/>
    <m/>
    <s v="1969811@mail.ru"/>
    <m/>
    <m/>
    <m/>
    <m/>
    <m/>
    <m/>
    <m/>
    <m/>
    <m/>
    <m/>
    <m/>
    <m/>
    <m/>
    <m/>
    <m/>
    <m/>
    <d v="2023-02-02T00:00:00"/>
    <s v="Да"/>
    <m/>
    <m/>
    <m/>
    <m/>
    <s v="Нет"/>
    <m/>
    <n v="126052"/>
    <m/>
    <s v="ООО &quot;АСТАШКИН И К&quot; 3827045476#"/>
    <s v="Клиент"/>
    <m/>
    <s v="ROBOT"/>
    <m/>
    <m/>
    <m/>
    <s v="Российский рубль"/>
    <m/>
    <s v="ROBOT_M"/>
    <d v="2021-07-07T11:01:51"/>
    <s v="ROBOT_UT"/>
    <d v="2026-09-01T14:28:43"/>
    <m/>
    <m/>
    <n v="158051384707"/>
    <m/>
    <m/>
    <m/>
    <m/>
    <m/>
    <m/>
    <m/>
    <m/>
    <m/>
    <m/>
    <m/>
    <m/>
    <s v="1969811@mail.ru"/>
    <m/>
    <m/>
    <m/>
    <m/>
    <m/>
    <m/>
    <m/>
    <m/>
    <m/>
    <m/>
    <m/>
    <m/>
    <m/>
    <m/>
    <m/>
    <m/>
    <n v="0"/>
    <s v="a3101t@mail.ru"/>
    <d v="2014-07-02T00:00:00"/>
    <m/>
    <s v="49.4 Деятельность автомобильного грузового транспорта и услуги по перевозкам"/>
    <m/>
    <s v="Нет"/>
    <d v="2018-02-14T00:00:00"/>
    <d v="2018-07-16T00:00:00"/>
    <s v="АСТАШКИН И К ООО"/>
    <s v=", Новая Разводная п"/>
    <n v="3827045476"/>
    <m/>
    <m/>
    <m/>
    <m/>
    <m/>
    <m/>
    <m/>
    <m/>
    <m/>
    <s v="Коммерческие"/>
    <s v="ООО"/>
    <n v="46486"/>
    <s v="Иркутская область 0 часов"/>
    <m/>
    <s v="Иркутск"/>
    <m/>
    <m/>
    <m/>
    <m/>
    <m/>
    <m/>
    <s v="Нет"/>
    <s v="Услуги. Перевозки, логистика, склад"/>
    <m/>
    <m/>
    <m/>
    <s v="2fc7bbee-e581-4048-9deb-dfa50ca168fa"/>
  </r>
  <r>
    <n v="320221"/>
    <s v="ЦП. ФРЕШ. Продажи"/>
    <s v="N"/>
    <s v="N"/>
    <x v="6"/>
    <m/>
    <m/>
    <m/>
    <m/>
    <m/>
    <s v="Соболев Максим"/>
    <m/>
    <s v="Успешная регистрация в сервисе 1С:Предприятие через Интернет."/>
    <s v="Продажа"/>
    <s v="1С Аукцион ФРЕШ"/>
    <s v="http://bigone.demist.ruЧасовой пояс: Europe/Saratov"/>
    <s v="0.00"/>
    <s v="Российский рубль"/>
    <m/>
    <s v="Мринский Игорь"/>
    <m/>
    <s v="нет"/>
    <d v="2026-08-28T17:09:20"/>
    <s v="Иноземцева Надежда"/>
    <d v="2026-08-29T09:07:34"/>
    <s v="ROBOT_M"/>
    <d v="2026-08-28T00:00:00"/>
    <d v="2026-09-04T00:00:00"/>
    <m/>
    <m/>
    <m/>
    <s v="Клиент из менеджера сервиса: [p]Здравствуйте! [/p] [p]Успешная регистрация в сервисе [b]1С:Предприятие через Интернет[/b].[/p] [p] [b]Дата регистрации:[/b] 28 августа 2026г. [b]Имя абонента:[/b] Игорь [b]Код абонента:[/b] 1402464 [b]Адрес электронной почты:[/b] ruuubyroid13@mail.ru [b]Номер телефона:[/b] 89225459652 [b]Адрес сайта регистрации:[/b] [url=https://1cfresh.com]https://1cfresh.com[/url] [b]Версия сайта регистрации:[/b] [url=http://bigone.demist.ru]http://bigone.demist.ru[/url] [b]Часовой пояс:[/b] Europe/Saratov [/p] [p] , команда проекта &quot;1С:Предприятие через Интернет&quot;. [/p] Источник - 1С Аукцион ФРЕШ Дата завершения тестового доступа = 27.09.2026"/>
    <m/>
    <m/>
    <m/>
    <m/>
    <n v="508"/>
    <d v="2026-08-29T09:07:33"/>
    <m/>
    <m/>
    <m/>
    <m/>
    <m/>
    <m/>
    <m/>
    <s v="Нет"/>
    <n v="1"/>
    <s v="-"/>
    <s v="-"/>
    <m/>
    <m/>
    <s v="ЦП. 1С и ИТС. Коммерция"/>
    <d v="2026-09-27T00:00:00"/>
    <m/>
    <m/>
    <m/>
    <d v="2026-09-27T00:00:00"/>
    <m/>
    <n v="0"/>
    <m/>
    <m/>
    <m/>
    <m/>
    <n v="0"/>
    <m/>
    <m/>
    <m/>
    <s v="ЦП. 1С. Коммерция"/>
    <m/>
    <m/>
    <m/>
    <m/>
    <m/>
    <m/>
    <m/>
    <m/>
    <m/>
    <m/>
    <m/>
    <m/>
    <m/>
    <m/>
    <s v="Обычный"/>
    <m/>
    <m/>
    <m/>
    <m/>
    <m/>
    <m/>
    <m/>
    <m/>
    <m/>
    <m/>
    <m/>
    <m/>
    <m/>
    <s v="Не было отгрузок"/>
    <m/>
    <m/>
    <m/>
    <m/>
    <s v="Нет"/>
    <m/>
    <m/>
    <m/>
    <m/>
    <m/>
    <s v="1 402 464"/>
    <m/>
    <m/>
    <m/>
    <s v="Необработанные"/>
    <s v="ФРЕШ и ГРМ"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29T09:07:34"/>
    <m/>
    <m/>
    <m/>
    <m/>
    <m/>
    <m/>
    <m/>
    <m/>
    <m/>
    <m/>
    <m/>
    <m/>
    <m/>
    <m/>
    <m/>
    <m/>
    <m/>
    <m/>
    <m/>
    <m/>
    <n v="398826"/>
    <m/>
    <m/>
    <s v="Игорь"/>
    <s v="Мринский"/>
    <m/>
    <m/>
    <m/>
    <s v="Клиенты"/>
    <s v="ROBOT"/>
    <m/>
    <s v="Свой контакт (Менеджер)"/>
    <m/>
    <s v="Да"/>
    <s v="Соболев Максим"/>
    <d v="2026-08-29T09:05:03"/>
    <s v="Соболев Максим"/>
    <d v="2026-08-29T09:07:24"/>
    <m/>
    <m/>
    <n v="89225459652"/>
    <m/>
    <m/>
    <m/>
    <m/>
    <m/>
    <m/>
    <m/>
    <m/>
    <m/>
    <m/>
    <m/>
    <m/>
    <s v="ruuubyroid13@mail.ru"/>
    <m/>
    <m/>
    <m/>
    <m/>
    <m/>
    <m/>
    <m/>
    <m/>
    <m/>
    <m/>
    <m/>
    <m/>
    <m/>
    <m/>
    <m/>
    <m/>
    <d v="2026-08-29T00:00:00"/>
    <s v="Да"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20189"/>
    <s v="ЦП. ФРЕШ. Продажи"/>
    <s v="Y"/>
    <s v="N"/>
    <x v="6"/>
    <m/>
    <m/>
    <m/>
    <m/>
    <m/>
    <s v="Россинский Вадим"/>
    <m/>
    <s v="ООО &quot;СТРОЙ КОНСАЛТ&quot; 3808198903#"/>
    <s v="Продажа"/>
    <s v="Визит в офис"/>
    <m/>
    <s v="0.00"/>
    <s v="Российский рубль"/>
    <s v="ООО &quot;СТРОЙ КОНСАЛТ&quot; 3808198903#"/>
    <m/>
    <m/>
    <s v="нет"/>
    <d v="2026-08-28T15:11:47"/>
    <s v="Россинский Вадим"/>
    <d v="2026-08-28T15:12:21"/>
    <s v="ROBOT_M"/>
    <d v="2026-08-28T00:00:00"/>
    <d v="2026-09-04T00:00:00"/>
    <m/>
    <m/>
    <m/>
    <m/>
    <m/>
    <m/>
    <m/>
    <m/>
    <n v="5"/>
    <d v="2026-08-28T15:12:19"/>
    <m/>
    <m/>
    <m/>
    <m/>
    <m/>
    <m/>
    <m/>
    <s v="Нет"/>
    <n v="1"/>
    <m/>
    <m/>
    <s v="[CO]ООО &quot;ИРТЭК&quot; 3849075611#"/>
    <s v="Иркутск г"/>
    <s v="ЦП. 1С и ИТС. Коммерция"/>
    <d v="2026-09-27T00:00:00"/>
    <m/>
    <m/>
    <m/>
    <m/>
    <m/>
    <n v="0"/>
    <m/>
    <m/>
    <m/>
    <m/>
    <n v="1"/>
    <m/>
    <m/>
    <m/>
    <s v="ЦП. 1С. Коммерция"/>
    <m/>
    <m/>
    <m/>
    <m/>
    <m/>
    <m/>
    <m/>
    <m/>
    <m/>
    <m/>
    <m/>
    <s v="Коммерческие"/>
    <m/>
    <m/>
    <s v="Обычный"/>
    <m/>
    <m/>
    <m/>
    <m/>
    <m/>
    <m/>
    <m/>
    <m/>
    <m/>
    <m/>
    <m/>
    <m/>
    <m/>
    <s v="Не было отгрузок"/>
    <m/>
    <m/>
    <m/>
    <m/>
    <s v="Нет"/>
    <m/>
    <m/>
    <m/>
    <m/>
    <m/>
    <m/>
    <m/>
    <m/>
    <m/>
    <s v="Необработанные"/>
    <s v="ФРЕШ и ГРМ"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28T15:12:20"/>
    <d v="2026-08-28T15:14: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0137"/>
    <m/>
    <s v="ООО &quot;СТРОЙ КОНСАЛТ&quot; 3808198903#"/>
    <s v="Клиент"/>
    <m/>
    <s v="ROBOT"/>
    <m/>
    <m/>
    <m/>
    <s v="Российский рубль"/>
    <s v="Просит не отправлять зак. документы заказным письмом Не работают по ЭДО/10.09.2020/Бадмаев Юрий Владимирович 7 914 890-83-82/Заборская А."/>
    <s v="ROBOT_M"/>
    <d v="2021-07-08T03:24:21"/>
    <s v="ROBOT_M"/>
    <d v="2026-08-28T15:12:36"/>
    <m/>
    <m/>
    <m/>
    <m/>
    <m/>
    <m/>
    <m/>
    <m/>
    <m/>
    <m/>
    <m/>
    <m/>
    <m/>
    <m/>
    <m/>
    <s v="ybadmaev@mail.ru, sc.38@bk.ru"/>
    <m/>
    <m/>
    <m/>
    <m/>
    <m/>
    <m/>
    <m/>
    <m/>
    <m/>
    <m/>
    <m/>
    <m/>
    <m/>
    <m/>
    <m/>
    <m/>
    <n v="0"/>
    <s v="ybadmaev@mail.ru"/>
    <d v="2017-03-22T00:00:00"/>
    <m/>
    <s v="46.47 Торговля оптовая мебелью, коврами и осветительным оборудованием"/>
    <s v="[CO]ООО &quot;ИРТЭК&quot; 3849075611#"/>
    <s v="Нет"/>
    <d v="2017-04-27T00:00:00"/>
    <d v="2024-07-31T00:00:00"/>
    <s v="СТРОЙ КОНСАЛТ ООО"/>
    <s v="Иркутск г"/>
    <n v="3808198903"/>
    <m/>
    <m/>
    <m/>
    <m/>
    <m/>
    <m/>
    <m/>
    <m/>
    <m/>
    <s v="Коммерческие"/>
    <s v="ООО"/>
    <n v="43916"/>
    <s v="Иркутская область 0 часов"/>
    <m/>
    <m/>
    <m/>
    <m/>
    <m/>
    <m/>
    <m/>
    <m/>
    <s v="Нет"/>
    <s v="Торговля. Прочая"/>
    <m/>
    <m/>
    <m/>
    <s v="9e1a8e39-295d-11e7-80dd-0026554f9a58"/>
  </r>
  <r>
    <n v="320180"/>
    <s v="ЦП. 1С. Продажи"/>
    <s v="N"/>
    <s v="Y"/>
    <x v="4"/>
    <m/>
    <m/>
    <m/>
    <m/>
    <m/>
    <s v="Россинский Вадим"/>
    <m/>
    <s v="7 903 829-86-81 - Входящий звонок"/>
    <s v="Продажа"/>
    <s v="Звонок"/>
    <s v="Звонок поступил на номер: ЦП 78-00-00 (62)."/>
    <s v="0.00"/>
    <s v="Российский рубль"/>
    <m/>
    <s v="Супонькина Оксана Валерьевна"/>
    <m/>
    <s v="нет"/>
    <d v="2026-08-28T14:46:32"/>
    <s v="Россинский Вадим"/>
    <d v="2026-08-28T14:46:33"/>
    <s v="ROBOT_M"/>
    <d v="2026-08-28T00:00:00"/>
    <d v="2026-09-04T00:00:00"/>
    <m/>
    <m/>
    <m/>
    <s v="[p] -5 [/p]"/>
    <m/>
    <m/>
    <m/>
    <m/>
    <n v="15488"/>
    <d v="2026-08-28T14:46:32"/>
    <m/>
    <m/>
    <m/>
    <m/>
    <m/>
    <m/>
    <m/>
    <s v="Нет"/>
    <n v="1"/>
    <m/>
    <n v="79038298681"/>
    <m/>
    <m/>
    <s v="ЦП. 1С и ИТС. Коммерция"/>
    <m/>
    <m/>
    <m/>
    <m/>
    <m/>
    <m/>
    <m/>
    <m/>
    <s v="[p] -5 [/p]"/>
    <m/>
    <m/>
    <n v="0"/>
    <m/>
    <m/>
    <m/>
    <s v="ЦП. 1С. Коммерция"/>
    <m/>
    <m/>
    <m/>
    <m/>
    <m/>
    <m/>
    <m/>
    <m/>
    <m/>
    <m/>
    <m/>
    <m/>
    <m/>
    <m/>
    <s v="Обычный"/>
    <m/>
    <m/>
    <m/>
    <m/>
    <m/>
    <n v="267364"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s v="Необработанные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Необработанные"/>
    <m/>
    <m/>
    <m/>
    <m/>
    <m/>
    <d v="2026-08-28T14:46:32"/>
    <d v="2026-08-28T14:36:16"/>
    <m/>
    <m/>
    <m/>
    <m/>
    <m/>
    <m/>
    <m/>
    <m/>
    <m/>
    <m/>
    <m/>
    <m/>
    <m/>
    <m/>
    <m/>
    <m/>
    <m/>
    <m/>
    <m/>
    <n v="346941"/>
    <m/>
    <m/>
    <s v="Оксана"/>
    <s v="Супонькина"/>
    <s v="Валерьевна"/>
    <m/>
    <m/>
    <m/>
    <s v="ROBOT"/>
    <m/>
    <s v="Звонок"/>
    <s v="Звонок поступил на номер: ЦП 78-00-00 (Общий) (62)."/>
    <s v="Да"/>
    <s v="Савинская Евгения"/>
    <d v="2024-10-14T14:33:23"/>
    <s v="ROBOT_UT"/>
    <d v="2026-08-30T06:44:17"/>
    <m/>
    <m/>
    <n v="79038298681"/>
    <m/>
    <m/>
    <m/>
    <m/>
    <m/>
    <m/>
    <m/>
    <m/>
    <m/>
    <m/>
    <m/>
    <m/>
    <s v="2782288@mail.ru"/>
    <m/>
    <m/>
    <m/>
    <m/>
    <m/>
    <m/>
    <m/>
    <m/>
    <m/>
    <m/>
    <m/>
    <m/>
    <m/>
    <m/>
    <m/>
    <s v="Покровские Горки д"/>
    <d v="2024-10-14T00:00:00"/>
    <s v="Да"/>
    <m/>
    <s v="Ярославская область - 5 час"/>
    <m/>
    <m/>
    <s v="Нет"/>
    <s v="d248293a-9393-4c2d-877d-6978cdfe11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20175"/>
    <s v="ЦП. 1С. Продажи"/>
    <s v="Y"/>
    <s v="N"/>
    <x v="7"/>
    <m/>
    <m/>
    <m/>
    <m/>
    <m/>
    <s v="Багланова Антонина"/>
    <s v="ONE_C"/>
    <s v="МАУ &quot;ЦЕНТР БЛАГОУСТРОЙСТВА&quot; 3801167254# - 1С Разовые услуги"/>
    <s v="Продажа"/>
    <s v="Свой контакт (Менеджер)"/>
    <m/>
    <n v="13680"/>
    <s v="Российский рубль"/>
    <s v="МАУ &quot;ЦЕНТР БЛАГОУСТРОЙСТВА&quot; 3801167254#"/>
    <s v="Елена"/>
    <m/>
    <s v="нет"/>
    <d v="2026-08-28T14:30:12"/>
    <s v="Багланова Антонина"/>
    <d v="2026-09-02T11:25:16"/>
    <s v="ROBOT"/>
    <d v="2026-08-28T00:00:00"/>
    <d v="2026-09-04T00:00:00"/>
    <s v="Линия консультаций и техподдержка 1С"/>
    <n v="3420"/>
    <n v="4"/>
    <m/>
    <m/>
    <m/>
    <m/>
    <m/>
    <n v="6346"/>
    <d v="2026-09-01T09:52:38"/>
    <m/>
    <m/>
    <m/>
    <m/>
    <m/>
    <m/>
    <s v="Договор-оферта"/>
    <s v="Нет"/>
    <n v="1"/>
    <m/>
    <m/>
    <m/>
    <s v="поселок Новонукутский"/>
    <s v="ЦП. 1С и ИТС. Коммерция"/>
    <m/>
    <m/>
    <m/>
    <m/>
    <m/>
    <m/>
    <n v="0"/>
    <m/>
    <m/>
    <m/>
    <m/>
    <n v="1"/>
    <s v="/upload/crm/f6a/ot3vut9wm5dw1f0esezeof9m1ykxue8n/Договор-оферта.txt"/>
    <s v="ФРДТ-019142"/>
    <m/>
    <s v="ЦП. 1С. Коммерция"/>
    <m/>
    <m/>
    <m/>
    <m/>
    <d v="2026-08-28T00:00:00"/>
    <m/>
    <m/>
    <s v="[CO]ООО НПФ &quot;ФОРУС&quot; 3812023430#"/>
    <s v="Оказание услуг"/>
    <m/>
    <m/>
    <s v="Бюджетные"/>
    <m/>
    <m/>
    <s v="Обычный"/>
    <m/>
    <m/>
    <s v="#Загружено из Битрикс-Коробка#"/>
    <d v="2026-08-31T00:00:00"/>
    <m/>
    <m/>
    <s v="Услуги ЦСВ 1С консультации"/>
    <m/>
    <m/>
    <m/>
    <m/>
    <n v="13680"/>
    <d v="2026-09-01T00:00:00"/>
    <s v="Не было отгрузок"/>
    <m/>
    <m/>
    <m/>
    <m/>
    <s v="Нет"/>
    <m/>
    <m/>
    <m/>
    <m/>
    <m/>
    <m/>
    <m/>
    <m/>
    <m/>
    <m/>
    <s v="1С Разовые услуги"/>
    <m/>
    <m/>
    <s v="Не нужно"/>
    <m/>
    <m/>
    <m/>
    <s v="Оплаче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n v="13680"/>
    <d v="2026-09-01T00:00:00"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МАУ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Оплачено"/>
    <m/>
    <m/>
    <m/>
    <m/>
    <m/>
    <d v="2026-09-02T11:13:51"/>
    <d v="2026-09-02T12:29:17"/>
    <m/>
    <m/>
    <m/>
    <m/>
    <m/>
    <m/>
    <m/>
    <m/>
    <m/>
    <m/>
    <m/>
    <m/>
    <m/>
    <m/>
    <m/>
    <m/>
    <m/>
    <m/>
    <m/>
    <n v="398613"/>
    <m/>
    <m/>
    <s v="Елена"/>
    <m/>
    <m/>
    <m/>
    <m/>
    <s v="Клиенты"/>
    <s v="ROBOT"/>
    <m/>
    <s v="Свой контакт (Менеджер)"/>
    <s v="Звонок поступил на номер: ЦП 78-00-00 (62)."/>
    <s v="Да"/>
    <s v="ROBOT_UT"/>
    <d v="2026-08-26T15:54:26"/>
    <s v="Бабань Елена"/>
    <d v="2026-09-02T11:15:21"/>
    <m/>
    <m/>
    <n v="79500839019"/>
    <m/>
    <m/>
    <m/>
    <m/>
    <m/>
    <m/>
    <m/>
    <m/>
    <m/>
    <m/>
    <m/>
    <m/>
    <s v="mau-cb@mail.ru"/>
    <m/>
    <m/>
    <m/>
    <m/>
    <m/>
    <m/>
    <m/>
    <m/>
    <m/>
    <m/>
    <m/>
    <m/>
    <m/>
    <m/>
    <m/>
    <s v="нас. пункт Новонукутский п"/>
    <d v="2026-08-26T00:00:00"/>
    <s v="Да"/>
    <m/>
    <s v="Иркутская область 0 часов"/>
    <m/>
    <m/>
    <s v="Нет"/>
    <s v="b3b36b87-5e9b-4d88-86c6-927cd2630435"/>
    <n v="252843"/>
    <m/>
    <s v="МАУ &quot;ЦЕНТР БЛАГОУСТРОЙСТВА&quot; 3801167254#"/>
    <s v="Клиент"/>
    <m/>
    <s v="ROBOT"/>
    <m/>
    <m/>
    <m/>
    <s v="Российский рубль"/>
    <m/>
    <s v="ROBOT_M"/>
    <d v="2026-06-01T13:52:14"/>
    <s v="Хотамова Асилат"/>
    <d v="2026-09-02T15:12:42"/>
    <m/>
    <m/>
    <m/>
    <m/>
    <m/>
    <m/>
    <m/>
    <m/>
    <m/>
    <m/>
    <m/>
    <m/>
    <m/>
    <m/>
    <m/>
    <s v="mau-cb@mail.ru"/>
    <m/>
    <m/>
    <m/>
    <m/>
    <m/>
    <m/>
    <m/>
    <m/>
    <m/>
    <m/>
    <m/>
    <m/>
    <m/>
    <m/>
    <m/>
    <m/>
    <n v="0"/>
    <s v="mau-cb@mail.ru"/>
    <d v="2026-03-27T00:00:00"/>
    <m/>
    <s v="81.30 Деятельность по благоустройству ландшафта"/>
    <m/>
    <s v="Нет"/>
    <m/>
    <m/>
    <s v="ЦЕНТР БЛАГОУСТРОЙСТВА МАУ"/>
    <s v="поселок Новонукутский"/>
    <n v="3801167254"/>
    <m/>
    <m/>
    <m/>
    <m/>
    <s v="mau-cb@mail.ru"/>
    <m/>
    <m/>
    <s v="Контур.Биллинг"/>
    <m/>
    <s v="Бюджетные"/>
    <s v="МАУ"/>
    <n v="125138"/>
    <s v="Иркутская область 0 часов"/>
    <m/>
    <m/>
    <m/>
    <s v="Нет"/>
    <m/>
    <m/>
    <m/>
    <m/>
    <s v="Нет"/>
    <s v="Услуги. Прочие"/>
    <m/>
    <m/>
    <m/>
    <s v="6ad06d8d-928b-4b72-993d-0d3826519bb5"/>
  </r>
  <r>
    <n v="320174"/>
    <s v="ЦП. УЦ. Продажи"/>
    <s v="Y"/>
    <s v="N"/>
    <x v="7"/>
    <m/>
    <m/>
    <m/>
    <m/>
    <m/>
    <s v="Федосеев Максим"/>
    <s v="ONE_C"/>
    <s v="Носители. ФЛ Частный покупатель 772070816777#"/>
    <s v="Продажа"/>
    <s v="Визит в офис"/>
    <m/>
    <n v="2900"/>
    <s v="Российский рубль"/>
    <s v="ФЛ Частный покупатель 772070816777#"/>
    <m/>
    <m/>
    <s v="нет"/>
    <d v="2026-08-28T14:29:14"/>
    <s v="Россинский Вадим"/>
    <d v="2026-09-01T00:18:25"/>
    <s v="ROBOT"/>
    <d v="2026-08-28T00:00:00"/>
    <d v="2026-09-04T00:00:00"/>
    <s v="Рутокен ЭЦП 3.0 3120, серт. ФСБ, инд. уп."/>
    <n v="2900"/>
    <n v="1"/>
    <m/>
    <m/>
    <m/>
    <m/>
    <m/>
    <n v="14748"/>
    <d v="2026-08-28T14:43:16"/>
    <m/>
    <m/>
    <m/>
    <m/>
    <m/>
    <m/>
    <s v="Договор-оферта"/>
    <s v="Нет"/>
    <n v="5"/>
    <m/>
    <m/>
    <m/>
    <s v="ИРКУТСК"/>
    <s v="ЦП. 1С и ИТС. Коммерция"/>
    <d v="2026-10-09T00:00:00"/>
    <m/>
    <m/>
    <m/>
    <m/>
    <m/>
    <n v="0"/>
    <m/>
    <m/>
    <m/>
    <m/>
    <n v="0"/>
    <s v="/upload/crm/045/un7y70v282vu4n0l1awu0812xdet53b9/Договор-оферта.txt"/>
    <s v="ФРДТ-019141"/>
    <m/>
    <s v="ЦП. 1С. Коммерция"/>
    <m/>
    <s v="Отсутствует, физлицо"/>
    <m/>
    <m/>
    <d v="2026-08-28T00:00:00"/>
    <m/>
    <m/>
    <s v="[CO]ООО НПФ &quot;ФОРУС&quot; 3812023430#"/>
    <s v="Поставка товара"/>
    <m/>
    <m/>
    <s v="Физ.лицо"/>
    <m/>
    <m/>
    <s v="Обычный"/>
    <m/>
    <m/>
    <s v="#Загружено из Битрикс-Коробка#"/>
    <d v="2026-08-28T00:00:00"/>
    <m/>
    <m/>
    <s v="СЭД Токены"/>
    <m/>
    <m/>
    <m/>
    <m/>
    <n v="2900"/>
    <d v="2026-08-28T00:00:00"/>
    <s v="Не было отгрузок"/>
    <m/>
    <m/>
    <m/>
    <m/>
    <s v="Нет"/>
    <m/>
    <m/>
    <m/>
    <m/>
    <m/>
    <m/>
    <m/>
    <m/>
    <m/>
    <m/>
    <s v="УЦ"/>
    <m/>
    <m/>
    <s v="Не нужно"/>
    <m/>
    <m/>
    <m/>
    <s v="Необработанные"/>
    <m/>
    <m/>
    <m/>
    <m/>
    <s v="Носители"/>
    <m/>
    <s v="Оплаче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n v="2900"/>
    <d v="2026-08-28T00:00:00"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Оплачено"/>
    <m/>
    <m/>
    <m/>
    <m/>
    <m/>
    <d v="2026-09-01T00:02: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8176"/>
    <m/>
    <s v="ФЛ Частный покупатель 772070816777#"/>
    <s v="Клиент"/>
    <m/>
    <s v="ROBOT"/>
    <m/>
    <m/>
    <m/>
    <s v="Российский рубль"/>
    <s v="[p] по рутокену ждет ответ [/p]"/>
    <s v="ROBOT_UT"/>
    <d v="2024-10-09T16:35:29"/>
    <s v="ROBOT_UT"/>
    <d v="2026-09-02T11:34:06"/>
    <m/>
    <m/>
    <n v="79648163440"/>
    <m/>
    <m/>
    <m/>
    <m/>
    <m/>
    <m/>
    <m/>
    <m/>
    <m/>
    <m/>
    <m/>
    <m/>
    <m/>
    <m/>
    <m/>
    <m/>
    <m/>
    <m/>
    <m/>
    <m/>
    <m/>
    <m/>
    <m/>
    <m/>
    <m/>
    <m/>
    <m/>
    <m/>
    <m/>
    <n v="6"/>
    <m/>
    <d v="2003-02-03T00:00:00"/>
    <m/>
    <s v="69.20.2 Деятельность по оказанию услуг в области бухгалтерского учета"/>
    <m/>
    <s v="Нет"/>
    <d v="2010-01-08T00:00:00"/>
    <d v="2025-08-26T00:00:00"/>
    <s v="Частный покупатель"/>
    <s v="ИРКУТСК"/>
    <n v="772070816777"/>
    <s v="15. НДФЛ"/>
    <m/>
    <m/>
    <m/>
    <m/>
    <m/>
    <s v="Отсутствует, физлицо"/>
    <s v="Свой контакт (Менеджер)"/>
    <m/>
    <s v="Физ.лицо"/>
    <m/>
    <n v="24700"/>
    <s v="Москва и Московская область - 5 час"/>
    <m/>
    <s v="Иркутск"/>
    <m/>
    <m/>
    <m/>
    <n v="5"/>
    <m/>
    <m/>
    <s v="Нет"/>
    <s v="Услуги. Бухгалтерский учёт и аутсорсинг"/>
    <m/>
    <m/>
    <m/>
    <s v="5ff9cd41-ed0e-11dd-bc6a-001517351dde"/>
  </r>
  <r>
    <n v="320171"/>
    <s v="ЦП. ФРЕШ. Продажи"/>
    <s v="N"/>
    <s v="N"/>
    <x v="3"/>
    <m/>
    <m/>
    <m/>
    <m/>
    <m/>
    <s v="Федосеев Максим"/>
    <s v="ONE_C"/>
    <s v="ФРЕШ. Базовый - ООО &quot;ИРКОБЛКРЕМАТОРИЙ&quot; 3808298954#"/>
    <s v="Продажа"/>
    <s v="Звонок"/>
    <s v="Входящий"/>
    <n v="18100"/>
    <s v="Российский рубль"/>
    <s v="ООО &quot;ИРКОБЛКРЕМАТОРИЙ&quot; 3808298954#"/>
    <s v="Черных Надежда Юрьевна"/>
    <m/>
    <s v="нет"/>
    <d v="2026-08-28T14:19:39"/>
    <s v="Федосеев Максим"/>
    <d v="2026-09-02T08:32:26"/>
    <s v="ROBOT"/>
    <d v="2026-08-28T00:00:00"/>
    <d v="2026-09-04T00:00:00"/>
    <s v="1С:Фреш - 1C:Предприятие 8 через Интернет. Базовый на 12 мес. (&lt;&gt;)"/>
    <n v="18100"/>
    <n v="1"/>
    <m/>
    <m/>
    <m/>
    <m/>
    <m/>
    <n v="14748"/>
    <d v="2026-09-02T08:31:10"/>
    <m/>
    <m/>
    <m/>
    <m/>
    <m/>
    <m/>
    <s v="Договор-оферта"/>
    <s v="Нет"/>
    <n v="2"/>
    <s v="nadinndn@mail.ru"/>
    <s v="7 914 929-67-08"/>
    <s v="[CO]ООО &quot;МЕГАПОЛИС&quot; 3818032463#"/>
    <s v="Иркутск г"/>
    <s v="ЦП. 1С и ИТС. Коммерция"/>
    <d v="2026-09-27T00:00:00"/>
    <m/>
    <m/>
    <m/>
    <d v="2026-09-27T00:00:00"/>
    <m/>
    <n v="0"/>
    <s v="Надежда"/>
    <m/>
    <m/>
    <m/>
    <n v="2"/>
    <m/>
    <s v="ФРДТ-019139"/>
    <m/>
    <s v="ЦП. 1С. Коммерция"/>
    <m/>
    <m/>
    <m/>
    <m/>
    <d v="2026-08-28T00:00:00"/>
    <m/>
    <m/>
    <s v="[CO]ООО НПФ &quot;ФОРУС&quot; 3812023430#"/>
    <s v="Сервисы"/>
    <m/>
    <m/>
    <s v="Коммерческие"/>
    <m/>
    <m/>
    <s v="Обычный"/>
    <m/>
    <m/>
    <s v="#Загружено из Битрикс-Коробка#"/>
    <m/>
    <m/>
    <m/>
    <s v="Фреш Коммерс Базовый"/>
    <m/>
    <m/>
    <m/>
    <m/>
    <m/>
    <m/>
    <s v="Не было отгрузок"/>
    <m/>
    <m/>
    <m/>
    <m/>
    <s v="Нет"/>
    <m/>
    <m/>
    <m/>
    <s v="ФРЕШ. Базовый"/>
    <s v="1С:Бух +ЭТК"/>
    <s v="-"/>
    <s v="Основная"/>
    <m/>
    <m/>
    <s v="Контроль оплаты"/>
    <s v="ФРЕШ и ГРМ"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9-01T11:24:13"/>
    <d v="2026-09-02T08:31:00"/>
    <m/>
    <m/>
    <m/>
    <m/>
    <m/>
    <m/>
    <m/>
    <m/>
    <m/>
    <m/>
    <m/>
    <m/>
    <m/>
    <m/>
    <m/>
    <m/>
    <m/>
    <m/>
    <m/>
    <n v="381310"/>
    <m/>
    <m/>
    <s v="Надежда"/>
    <s v="Черных"/>
    <s v="Юрьевна"/>
    <m/>
    <m/>
    <s v="Клиенты"/>
    <s v="ROBOT"/>
    <s v="[p] Заказ на сайте [url=https://its.1c.ru]its.1c.ru[/url] ORD260725-1784974424 [/p] [p] a:hover, a:active{color:#16489b;text-decoration:underline} #mail-message-wrapper a:hover, #mail-message-wrapper a:active{color:#16489b;text-decoration:underline} [b]Новый заказ на сайте [/b][url=https://its.1c.ru][b]its.1c.ru[/b][/url] [/p] [p] Уважаемый партнер! [/p] [p] [/p] [p] Вы получили новый заказ на сайте [url=https://its.1c.ru]its.1c.ru[/url]: [/p] [p] Номер заказа: ORD260725-1784974424 Источник: [url=https://its.1c.ru]its.1c.ru[/url] Время отправки: 2026-07-25 18:13:44 Контактное лицо: Надежда Телефон: 89149296708 E-mail: [url=mailto:nadinndn@mail.ru]nadinndn@mail.ru[/url] ИНН/ЕДРПОУ: Регион (город): Иркутск Комментарий: Заказ на 1С-ЭПД [/p] [p] Внимательно ознакомьтесь с правилами обработки заказа в [url=https://its.1c.ru/db/partnerits#content:1636:hdoc]справочнике партнера[/url]. [/p] [p] 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[*]В течение 1 рабочего часа с момента получения заказа свяжитесь с клиентом, уточните заказ и поставьте отметку о том, что вы приняли заказ в работу.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 [/p] [p] Вопросы по обработке заказа присылайте на электронную почту [url=mailto:web-its@1c.ru]web-its@1c.ru[/url]. [/p] [p] [/p] [p][/p] [p] С уважением, администрация сайта [url=https://its.1c.ru/]its.1c.ru[/url]. [/p]"/>
    <s v="Свой контакт (Менеджер)"/>
    <m/>
    <s v="Да"/>
    <s v="Захарова Ольга"/>
    <d v="2025-12-24T14:54:44"/>
    <s v="ROBOT_UT"/>
    <d v="2026-09-01T14:18:01"/>
    <m/>
    <m/>
    <n v="79149296708"/>
    <m/>
    <m/>
    <m/>
    <m/>
    <m/>
    <m/>
    <m/>
    <m/>
    <m/>
    <m/>
    <m/>
    <m/>
    <s v="bukhsovet@bk.ru, nadinndn@mail.ru"/>
    <m/>
    <m/>
    <m/>
    <m/>
    <m/>
    <m/>
    <m/>
    <m/>
    <m/>
    <m/>
    <m/>
    <m/>
    <m/>
    <m/>
    <m/>
    <m/>
    <d v="2025-12-24T00:00:00"/>
    <s v="Да"/>
    <m/>
    <s v="Иркутская область 0 часов"/>
    <m/>
    <m/>
    <s v="Нет"/>
    <s v="a32f9fc2-a6da-4ad5-b1fa-22727a4a13ff"/>
    <n v="258708"/>
    <m/>
    <s v="ООО &quot;ИРКОБЛКРЕМАТОРИЙ&quot; 3808298954#"/>
    <s v="Клиент"/>
    <s v="менее 50"/>
    <s v="ROBOT"/>
    <m/>
    <s v="Информационные технологии"/>
    <s v="0.00"/>
    <s v="Российский рубль"/>
    <m/>
    <s v="Федосеев Максим"/>
    <d v="2026-09-01T12:09:51"/>
    <s v="ROBOT_M"/>
    <d v="2026-09-02T08:37:28"/>
    <m/>
    <m/>
    <n v="79149296708"/>
    <m/>
    <m/>
    <m/>
    <m/>
    <m/>
    <m/>
    <m/>
    <m/>
    <m/>
    <m/>
    <m/>
    <m/>
    <s v="nadinndn@mail.ru"/>
    <m/>
    <m/>
    <m/>
    <m/>
    <m/>
    <m/>
    <m/>
    <m/>
    <m/>
    <m/>
    <m/>
    <m/>
    <m/>
    <m/>
    <m/>
    <m/>
    <n v="0"/>
    <s v="nadinndn@mail.ru"/>
    <d v="2026-06-29T00:00:00"/>
    <m/>
    <s v="96.03 Организация похорон и представление связанных с ними услуг"/>
    <m/>
    <s v="Нет"/>
    <m/>
    <m/>
    <s v="ИРКОБЛКРЕМАТОРИЙ ООО"/>
    <s v="ИРКУТСК"/>
    <n v="3808298954"/>
    <m/>
    <m/>
    <m/>
    <m/>
    <s v="nadinndn@mail.ru"/>
    <m/>
    <m/>
    <s v="Свой контакт (Менеджер)"/>
    <m/>
    <s v="Коммерческие"/>
    <s v="ООО"/>
    <n v="129246"/>
    <s v="Иркутская область 0 часов"/>
    <m/>
    <m/>
    <m/>
    <s v="Нет"/>
    <m/>
    <m/>
    <m/>
    <m/>
    <s v="Нет"/>
    <s v="Услуги. Прочие"/>
    <m/>
    <m/>
    <m/>
    <s v="783d3b23-9422-470e-a370-1c503e5de5bc"/>
  </r>
  <r>
    <n v="320125"/>
    <s v="ЦП. ФРЕШ. Продажи"/>
    <s v="N"/>
    <s v="N"/>
    <x v="6"/>
    <m/>
    <m/>
    <m/>
    <m/>
    <m/>
    <s v="Соболев Максим"/>
    <m/>
    <s v="ООО &quot;ИКПБ-38&quot; 3804124114#"/>
    <s v="Продажа"/>
    <s v="Свой контакт (Менеджер)"/>
    <m/>
    <s v="0.00"/>
    <s v="Российский рубль"/>
    <s v="ООО &quot;ИКПБ-38&quot; 3804124114#"/>
    <m/>
    <m/>
    <s v="нет"/>
    <d v="2026-08-28T10:34:39"/>
    <s v="Соболев Максим"/>
    <d v="2026-08-28T10:35:12"/>
    <s v="ROBOT_M"/>
    <d v="2026-08-28T00:00:00"/>
    <d v="2026-09-04T00:00:00"/>
    <m/>
    <m/>
    <m/>
    <m/>
    <m/>
    <m/>
    <m/>
    <m/>
    <n v="5"/>
    <d v="2026-08-28T10:35:12"/>
    <m/>
    <m/>
    <m/>
    <m/>
    <m/>
    <m/>
    <m/>
    <s v="Нет"/>
    <n v="1"/>
    <m/>
    <m/>
    <m/>
    <s v="г Братск"/>
    <s v="ЦП. 1С и ИТС. Коммерция"/>
    <d v="2026-09-27T00:00:00"/>
    <m/>
    <m/>
    <m/>
    <m/>
    <m/>
    <n v="0"/>
    <m/>
    <m/>
    <m/>
    <m/>
    <n v="0"/>
    <m/>
    <m/>
    <m/>
    <s v="ЦП. 1С. Коммерция"/>
    <m/>
    <m/>
    <m/>
    <m/>
    <m/>
    <m/>
    <m/>
    <m/>
    <m/>
    <m/>
    <m/>
    <s v="Коммерческие"/>
    <m/>
    <m/>
    <s v="Обычный"/>
    <m/>
    <m/>
    <m/>
    <m/>
    <m/>
    <m/>
    <m/>
    <m/>
    <m/>
    <m/>
    <m/>
    <m/>
    <m/>
    <s v="Не было отгрузок"/>
    <m/>
    <m/>
    <m/>
    <m/>
    <s v="Нет"/>
    <m/>
    <m/>
    <m/>
    <m/>
    <m/>
    <m/>
    <m/>
    <m/>
    <m/>
    <s v="Необработанные"/>
    <s v="ФРЕШ и ГРМ"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28T10:35: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8547"/>
    <m/>
    <s v="ООО &quot;ИКПБ-38&quot; 3804124114#"/>
    <s v="Клиент"/>
    <s v="менее 50"/>
    <s v="ROBOT"/>
    <m/>
    <s v="Информационные технологии"/>
    <s v="0.00"/>
    <s v="Российский рубль"/>
    <m/>
    <s v="Соболев Максим"/>
    <d v="2026-08-27T11:51:38"/>
    <s v="ROBOT_UT"/>
    <d v="2026-09-02T09:34:24"/>
    <m/>
    <m/>
    <m/>
    <m/>
    <m/>
    <m/>
    <m/>
    <m/>
    <m/>
    <m/>
    <m/>
    <m/>
    <m/>
    <m/>
    <m/>
    <s v="ikpb-38@mail.ru"/>
    <m/>
    <m/>
    <m/>
    <m/>
    <m/>
    <m/>
    <m/>
    <m/>
    <m/>
    <m/>
    <m/>
    <m/>
    <m/>
    <m/>
    <m/>
    <m/>
    <n v="0"/>
    <s v="ikpb-38@mail.ru"/>
    <d v="2026-04-14T00:00:00"/>
    <m/>
    <s v="42.11 Строительство автомобильных дорог и автомагистралей"/>
    <m/>
    <s v="Нет"/>
    <m/>
    <m/>
    <s v="ИКПБ-38 ООО"/>
    <s v="г Братск"/>
    <n v="3804124114"/>
    <m/>
    <m/>
    <m/>
    <m/>
    <s v="ikpb-38@mail.ru"/>
    <m/>
    <m/>
    <s v="Свой контакт (Менеджер)"/>
    <m/>
    <s v="Коммерческие"/>
    <s v="ООО"/>
    <n v="129114"/>
    <s v="Иркутская область 0 часов"/>
    <m/>
    <m/>
    <m/>
    <s v="Нет"/>
    <m/>
    <m/>
    <m/>
    <m/>
    <s v="Нет"/>
    <s v="Строительство"/>
    <m/>
    <m/>
    <m/>
    <s v="08198058-2b8f-40d7-b2b6-35a91ba72ad7"/>
  </r>
  <r>
    <n v="320119"/>
    <s v="ЦП. 1С. Продажи"/>
    <s v="N"/>
    <s v="N"/>
    <x v="1"/>
    <m/>
    <m/>
    <m/>
    <m/>
    <m/>
    <s v="Соболев Максим"/>
    <m/>
    <s v="ИП Родионов Роман Сергеевич 381297835457# 1С Программы и лицензии"/>
    <s v="Продажа"/>
    <s v="Свой контакт (Менеджер)"/>
    <m/>
    <s v="0.00"/>
    <s v="Российский рубль"/>
    <s v="ИП Родионов Роман Сергеевич 381297835457#"/>
    <s v="Пушкарева Елена"/>
    <m/>
    <s v="нет"/>
    <d v="2026-08-28T10:17:04"/>
    <s v="Соболев Максим"/>
    <d v="2026-08-28T10:20:32"/>
    <s v="ROBOT"/>
    <d v="2026-08-28T00:00:00"/>
    <d v="2026-09-04T00:00:00"/>
    <m/>
    <m/>
    <m/>
    <m/>
    <m/>
    <m/>
    <m/>
    <m/>
    <n v="508"/>
    <d v="2026-08-28T10:20:22"/>
    <m/>
    <m/>
    <m/>
    <m/>
    <m/>
    <m/>
    <m/>
    <s v="Нет"/>
    <n v="1"/>
    <m/>
    <m/>
    <s v="[CO]ООО &quot;АТК&quot; 3849063084#"/>
    <s v="деревня Новолисиха"/>
    <s v="ЦП. 1С и ИТС. Коммерция"/>
    <m/>
    <m/>
    <m/>
    <m/>
    <m/>
    <m/>
    <n v="2"/>
    <m/>
    <m/>
    <m/>
    <m/>
    <n v="3"/>
    <m/>
    <m/>
    <m/>
    <s v="ЦП. 1С. Коммерция"/>
    <m/>
    <m/>
    <m/>
    <m/>
    <m/>
    <m/>
    <m/>
    <m/>
    <m/>
    <m/>
    <m/>
    <s v="Коммерческие"/>
    <m/>
    <m/>
    <s v="Обычный"/>
    <m/>
    <m/>
    <m/>
    <m/>
    <m/>
    <m/>
    <m/>
    <m/>
    <m/>
    <m/>
    <m/>
    <m/>
    <m/>
    <s v="Не было отгрузок"/>
    <m/>
    <m/>
    <m/>
    <m/>
    <s v="Нет"/>
    <m/>
    <m/>
    <m/>
    <m/>
    <m/>
    <m/>
    <m/>
    <m/>
    <m/>
    <m/>
    <s v="1С Программы и лицензии"/>
    <s v="1С Бухгалтерия"/>
    <s v="Эл. Поставка"/>
    <s v="Не нужно"/>
    <m/>
    <m/>
    <m/>
    <s v="Отправить счет/договор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Отправить счет"/>
    <m/>
    <m/>
    <m/>
    <m/>
    <m/>
    <d v="2026-08-28T10:20:23"/>
    <d v="2026-08-28T16:08:56"/>
    <m/>
    <m/>
    <m/>
    <m/>
    <m/>
    <m/>
    <m/>
    <m/>
    <m/>
    <m/>
    <m/>
    <m/>
    <m/>
    <m/>
    <m/>
    <m/>
    <m/>
    <m/>
    <m/>
    <n v="127692"/>
    <m/>
    <m/>
    <s v="Елена"/>
    <s v="Пушкарева"/>
    <m/>
    <m/>
    <m/>
    <m/>
    <s v="ROBOT"/>
    <s v="&amp;#91;Автор=WEBITIL&amp;#93;"/>
    <m/>
    <m/>
    <s v="Да"/>
    <s v="ROBOT_M"/>
    <d v="2021-07-08T17:07:57"/>
    <s v="ROBOT"/>
    <d v="2026-05-14T16:10:27"/>
    <m/>
    <m/>
    <n v="79025193904"/>
    <m/>
    <m/>
    <m/>
    <m/>
    <m/>
    <m/>
    <m/>
    <m/>
    <m/>
    <m/>
    <m/>
    <m/>
    <s v="elena-pushkareva@yandex.ru"/>
    <m/>
    <m/>
    <m/>
    <m/>
    <m/>
    <m/>
    <m/>
    <m/>
    <m/>
    <m/>
    <m/>
    <m/>
    <m/>
    <m/>
    <m/>
    <s v="Иркутск г, Радужный мкр."/>
    <d v="2019-11-01T00:00:00"/>
    <s v="Да"/>
    <m/>
    <s v="Иркутская область 0 часов"/>
    <m/>
    <m/>
    <s v="Нет"/>
    <s v="88d8ec0c-4402-11e6-9036-0026554f9a58"/>
    <n v="248082"/>
    <m/>
    <s v="ИП Родионов Роман Сергеевич 381297835457#"/>
    <s v="Клиент"/>
    <s v="менее 50"/>
    <s v="ROBOT"/>
    <m/>
    <s v="Информационные технологии"/>
    <m/>
    <s v="Российский рубль"/>
    <m/>
    <s v="Устинова Анастасия"/>
    <d v="2026-01-23T11:45:18"/>
    <s v="ROBOT_M"/>
    <d v="2026-08-28T11:03:25"/>
    <m/>
    <m/>
    <m/>
    <m/>
    <m/>
    <m/>
    <m/>
    <m/>
    <m/>
    <m/>
    <m/>
    <m/>
    <m/>
    <m/>
    <m/>
    <s v="roma1888@mail.ru"/>
    <m/>
    <m/>
    <m/>
    <m/>
    <m/>
    <m/>
    <m/>
    <m/>
    <m/>
    <m/>
    <m/>
    <m/>
    <m/>
    <m/>
    <m/>
    <m/>
    <n v="0"/>
    <s v="roma1888@mail.ru"/>
    <m/>
    <m/>
    <s v="47.76.1 Торговля розничная цветами и другими растениями, семенами и удобрениями в специализированных магазинах"/>
    <s v="[CO]ООО &quot;АТК&quot; 3849063084#"/>
    <s v="Нет"/>
    <m/>
    <m/>
    <s v="Родионов Роман Сергеевич"/>
    <s v="деревня Новолисиха"/>
    <n v="381297835457"/>
    <m/>
    <m/>
    <m/>
    <m/>
    <s v="roma1888@mail.ru"/>
    <m/>
    <m/>
    <s v="Свой контакт (Менеджер)"/>
    <m/>
    <s v="Коммерческие"/>
    <s v="ИП"/>
    <n v="121299"/>
    <s v="Иркутская область 0 часов"/>
    <m/>
    <m/>
    <m/>
    <s v="Нет"/>
    <m/>
    <m/>
    <m/>
    <m/>
    <s v="Нет"/>
    <s v="Торговля. Прочая"/>
    <m/>
    <m/>
    <m/>
    <s v="3dddcc82-e979-4092-8eae-a2895e550cfe"/>
  </r>
  <r>
    <n v="320115"/>
    <s v="ЦП. 1С. Продажи"/>
    <s v="Y"/>
    <s v="N"/>
    <x v="0"/>
    <m/>
    <m/>
    <m/>
    <m/>
    <m/>
    <s v="Багланова Антонина"/>
    <s v="ONE_C"/>
    <s v="ООО &quot;АВАНГАРД&quot; 3812526811# - 1С-ЭПД"/>
    <s v="Продажа"/>
    <s v="Звонок"/>
    <s v="Входящий"/>
    <n v="1400"/>
    <s v="Российский рубль"/>
    <s v="ООО &quot;АВАНГАРД&quot; 3812526811#"/>
    <s v="Аносов Николай Викторович"/>
    <m/>
    <s v="нет"/>
    <d v="2026-08-28T10:04:47"/>
    <s v="Багланова Антонина"/>
    <d v="2026-08-31T09:09:12"/>
    <s v="ROBOT_M"/>
    <d v="2026-08-28T00:00:00"/>
    <d v="2026-09-04T00:00:00"/>
    <s v="1С-ЭДО. ЭПД-200 на 12 месяцев"/>
    <n v="1400"/>
    <n v="1"/>
    <m/>
    <m/>
    <m/>
    <m/>
    <m/>
    <n v="5"/>
    <d v="2026-08-31T09:09:11"/>
    <m/>
    <m/>
    <m/>
    <m/>
    <m/>
    <m/>
    <s v="Договор-оферта"/>
    <s v="Нет"/>
    <n v="1"/>
    <m/>
    <m/>
    <m/>
    <s v="ИРКУТСК"/>
    <s v="ЦП. 1С и ИТС. Коммерция"/>
    <m/>
    <m/>
    <m/>
    <m/>
    <m/>
    <m/>
    <n v="0"/>
    <m/>
    <m/>
    <m/>
    <m/>
    <n v="1"/>
    <s v="/upload/crm/ff3/b70r3w12rttp5sbazlssglyznuuf2hai/Договор-оферта.txt"/>
    <s v="ФРДТ-019113"/>
    <m/>
    <s v="ЦП. 1С. Коммерция"/>
    <m/>
    <s v="001 - 004"/>
    <m/>
    <m/>
    <d v="2026-08-28T00:00:00"/>
    <m/>
    <m/>
    <s v="[CO]ООО НПФ &quot;ФОРУС&quot; 3812023430#"/>
    <s v="Сервисы"/>
    <m/>
    <m/>
    <s v="Коммерческие"/>
    <m/>
    <m/>
    <s v="Обычный"/>
    <m/>
    <m/>
    <s v="#Загружено из Битрикс-Коробка#"/>
    <d v="2026-08-28T00:00:00"/>
    <m/>
    <m/>
    <s v="1С-ЭДО ЭПД"/>
    <m/>
    <m/>
    <m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-ЭПД"/>
    <s v="Контроль сделк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m/>
    <m/>
    <s v="Не было отгрузок"/>
    <m/>
    <s v="Не оформляется"/>
    <m/>
    <m/>
    <m/>
    <s v="Не запущен"/>
    <s v="Продажи и CRM, Закупки и поставщики"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сделки"/>
    <m/>
    <m/>
    <m/>
    <m/>
    <m/>
    <d v="2026-08-31T09:09:11"/>
    <d v="2026-08-28T10:15:52"/>
    <m/>
    <m/>
    <m/>
    <m/>
    <m/>
    <m/>
    <m/>
    <m/>
    <m/>
    <m/>
    <m/>
    <m/>
    <m/>
    <m/>
    <m/>
    <m/>
    <m/>
    <m/>
    <m/>
    <n v="285778"/>
    <m/>
    <m/>
    <s v="Николай"/>
    <s v="Аносов"/>
    <s v="Викторович"/>
    <m/>
    <s v="представитель компании по Доверенности"/>
    <m/>
    <s v="ROBOT"/>
    <s v="[Автор=RobotIntegro][Редактор=БитриксКоробка] [Автор=БитриксКоробка]"/>
    <m/>
    <m/>
    <s v="Да"/>
    <s v="ROBOT_M"/>
    <d v="2022-03-29T10:33:52"/>
    <s v="ROBOT"/>
    <d v="2026-09-01T13:00:52"/>
    <m/>
    <m/>
    <n v="79025166859"/>
    <m/>
    <m/>
    <m/>
    <m/>
    <m/>
    <m/>
    <m/>
    <m/>
    <m/>
    <m/>
    <m/>
    <m/>
    <s v="prominter-irk@mail.ru, avangard-irk@mail.ru, anvirus@mail.ru"/>
    <m/>
    <m/>
    <m/>
    <m/>
    <m/>
    <m/>
    <m/>
    <m/>
    <m/>
    <m/>
    <m/>
    <m/>
    <m/>
    <m/>
    <m/>
    <s v="Иркутск г"/>
    <d v="2022-03-29T00:00:00"/>
    <s v="Да"/>
    <m/>
    <s v="Иркутская область 0 часов"/>
    <m/>
    <m/>
    <s v="Нет"/>
    <s v="88bf7bda-68a4-457a-aee2-5d659fd94ecb"/>
    <n v="145488"/>
    <m/>
    <s v="ООО &quot;АВАНГАРД&quot; 3812526811#"/>
    <s v="Клиент"/>
    <m/>
    <s v="ROBOT"/>
    <m/>
    <m/>
    <m/>
    <s v="Российский рубль"/>
    <s v="звонил новый сотрудник по трудоустройству"/>
    <s v="ROBOT_M"/>
    <d v="2021-07-23T16:21:55"/>
    <s v="ROBOT_UT"/>
    <d v="2026-08-31T09:08:10"/>
    <m/>
    <m/>
    <n v="158666268274"/>
    <m/>
    <m/>
    <m/>
    <m/>
    <m/>
    <m/>
    <m/>
    <m/>
    <m/>
    <m/>
    <m/>
    <m/>
    <s v="avangard-irk@mail.ru"/>
    <m/>
    <m/>
    <m/>
    <m/>
    <m/>
    <m/>
    <m/>
    <m/>
    <m/>
    <m/>
    <m/>
    <m/>
    <m/>
    <m/>
    <m/>
    <m/>
    <n v="0"/>
    <s v="avangard-irk@mail.ru"/>
    <d v="2019-03-06T00:00:00"/>
    <m/>
    <s v="46.71 Торговля оптовая твердым, жидким и газообразным топливом и подобными продуктами"/>
    <m/>
    <s v="Нет"/>
    <d v="2022-03-25T00:00:00"/>
    <d v="2023-11-30T00:00:00"/>
    <s v="АВАНГАРД Иркутск"/>
    <s v="ИРКУТСК"/>
    <n v="3812526811"/>
    <s v="7. ОСН (общая)"/>
    <m/>
    <s v="Работают с 2019 г. Торговля маслами Лукойл. Опытный пользователь 1С. Сейчас заключает большой контракт. Активность бизнеса увеличится. Планирует приобретать у Форус 1С:УНФ ПРОФ локальную для настройки обмена с нашей 1С:БП."/>
    <m/>
    <s v="avangard-irk@mail.ru"/>
    <m/>
    <s v="001 - 004"/>
    <m/>
    <m/>
    <s v="Коммерческие"/>
    <s v="ООО"/>
    <n v="81489"/>
    <s v="Иркутская область 0 часов"/>
    <m/>
    <s v="Иркутск"/>
    <s v="БО. Комплексный сервис"/>
    <m/>
    <m/>
    <m/>
    <n v="6"/>
    <s v="Рабочая группа № 2"/>
    <s v="Нет"/>
    <s v="Торговля. Автотранспорт и ГСМ"/>
    <m/>
    <m/>
    <m/>
    <s v="22090387-af05-4ce8-8781-f7300c58fb4d"/>
  </r>
  <r>
    <n v="320112"/>
    <s v="ЦП. 1С. Продажи"/>
    <s v="N"/>
    <s v="N"/>
    <x v="1"/>
    <m/>
    <m/>
    <m/>
    <m/>
    <m/>
    <s v="Федорова Анастасия"/>
    <m/>
    <s v="ООО &quot;ТК ТЕЛЕПОРТ&quot; 3849101942# 1С КП и Сервисы"/>
    <s v="Продажа"/>
    <s v="1С Сайт its.1c.ru"/>
    <m/>
    <s v="0.00"/>
    <s v="Российский рубль"/>
    <s v="ООО &quot;ТК ТЕЛЕПОРТ&quot; 3849101942#"/>
    <s v="Дарья"/>
    <m/>
    <s v="нет"/>
    <d v="2026-08-28T09:46:51"/>
    <s v="Федорова Анастасия"/>
    <d v="2026-09-02T16:00:35"/>
    <s v="Федорова Анастасия"/>
    <d v="2026-08-28T00:00:00"/>
    <d v="2026-09-04T00:00:00"/>
    <m/>
    <m/>
    <m/>
    <s v="[p] Заказ на сайте [url=https://its.1c.ru]its.1c.ru[/url] ORD260827-1787803219 [/p] [p] a:hover, a:active{color:#16489b;text-decoration:underline} #mail-message-wrapper a:hover, #mail-message-wrapper a:active{color:#16489b;text-decoration:underline} [b]Новый заказ на сайте [/b][url=https://its.1c.ru][b]its.1c.ru[/b][/url] [/p] [p] Уважаемый партнер! [/p] [p] [/p] [p] Вы получили новый заказ на сайте [url=https://its.1c.ru]its.1c.ru[/url]: [/p] [p] Номер заказа: ORD260827-1787803219 Источник: [url=https://its.1c.ru]its.1c.ru[/url], ЭПД Время отправки: 2026-08-27 12:00:19 Контактное лицо: Дарья Телефон: 89027651267 E-mail: [url=mailto:dasha_h89@mail.ru]dasha_h89@mail.ru[/url] ИНН/ЕДРПОУ: Регион (город): Иркутская область, Иркутск Комментарий: Заказ сервиса 1С-ЭПД [/p] [p] Внимательно ознакомьтесь с правилами обработки заказа в [url=https://its.1c.ru/db/partnerits#content:1636:hdoc]справочнике партнера[/url]. [/p] [p] 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[*]В течение 1 рабочего часа с момента получения заказа свяжитесь с клиентом, уточните заказ и поставьте отметку о том, что вы приняли заказ в работу.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 [/p] [p] Вопросы по обработке заказа присылайте на электронную почту [url=mailto:web-its@1c.ru]web-its@1c.ru[/url]. [/p] [p] [/p] [p][/p] [p] С уважением, администрация сайта [url=https://its.1c.ru/]its.1c.ru[/url]. [/p]"/>
    <m/>
    <m/>
    <m/>
    <m/>
    <n v="23689"/>
    <d v="2026-08-28T10:47:35"/>
    <m/>
    <m/>
    <m/>
    <m/>
    <m/>
    <m/>
    <m/>
    <s v="Нет"/>
    <n v="1"/>
    <s v="dasha_h89@mail.ru"/>
    <n v="89027651267"/>
    <m/>
    <s v="г Иркутск"/>
    <s v="ЦП. 1С и ИТС. Коммерция"/>
    <m/>
    <m/>
    <m/>
    <m/>
    <m/>
    <m/>
    <n v="0"/>
    <m/>
    <s v="Заказ на сайте its.1c.ru ORD260827-1787803219 a:hover, a:active {color:#16489b;text-decoration:underline} #mail-message-wrapper a:hover, #mail-message-wrapper a:active {color:#16489b;text-decoration:underline} [b]Новый заказ на сайте its.1c.ru[/b] [p]Уважаемый партнер![/p] [p]Вы получили новый заказ на сайте its.1c.ru:[/p] Номер заказа: ORD260827-1787803219 Источник: its.1c.ru, ЭПД Время отправки: 2026-08-27 12:00:19 Контактное лицо: Дарья Телефон: 89027651267 E-mail: [url=mailto:dasha_h89@mail.ru]dasha_h89@mail.ru[/url] ИНН/ЕДРПОУ: Регион (город): Иркутская область, Иркутск Комментарий: Заказ сервиса 1С-ЭПД [p]Внимательно ознакомьтесь с правилами обработки заказа в [url=https://its.1c.ru/db/partnerits#content:1636:hdoc]справочнике партнера[/url].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 [*]В течение 1 рабочего часа с момента получения заказа свяжитесь с клиентом, уточните заказ и поставьте отметку о том, что вы приняли заказ в работу. 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Вопросы по обработке заказа присылайте на электронную почту [url=mailto:web-its@1c.ru]web-its@1c.ru[/url].[/p] [p]С уважением, администрация сайта [url=https://its.1c.ru/]its.1c.ru[/url].[p] [/p][/p]"/>
    <m/>
    <m/>
    <n v="7"/>
    <m/>
    <m/>
    <m/>
    <s v="ЦП. 1С. Коммерция"/>
    <m/>
    <m/>
    <m/>
    <m/>
    <m/>
    <m/>
    <m/>
    <m/>
    <m/>
    <m/>
    <m/>
    <s v="Коммерческие"/>
    <m/>
    <m/>
    <s v="Обычный"/>
    <m/>
    <m/>
    <m/>
    <m/>
    <m/>
    <n v="267219"/>
    <m/>
    <m/>
    <m/>
    <m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-ЭПД"/>
    <s v="Отправить счет/договор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Отправить счет"/>
    <m/>
    <m/>
    <m/>
    <m/>
    <m/>
    <d v="2026-09-02T16:00:00"/>
    <d v="2026-09-02T16:04:11"/>
    <m/>
    <m/>
    <m/>
    <m/>
    <m/>
    <m/>
    <m/>
    <m/>
    <m/>
    <m/>
    <m/>
    <m/>
    <m/>
    <m/>
    <m/>
    <m/>
    <m/>
    <m/>
    <m/>
    <n v="398736"/>
    <m/>
    <m/>
    <s v="Дарья"/>
    <m/>
    <m/>
    <m/>
    <m/>
    <s v="Клиенты"/>
    <s v="ROBOT"/>
    <m/>
    <s v="Свой контакт (Менеджер)"/>
    <m/>
    <s v="Да"/>
    <s v="Федорова Анастасия"/>
    <d v="2026-08-28T09:46:32"/>
    <s v="ROBOT"/>
    <d v="2026-08-28T09:46:32"/>
    <m/>
    <m/>
    <n v="79027651267"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8-28T00:00:00"/>
    <s v="Да"/>
    <m/>
    <m/>
    <m/>
    <m/>
    <s v="Нет"/>
    <m/>
    <n v="247986"/>
    <m/>
    <s v="ООО &quot;ТК ТЕЛЕПОРТ&quot; 3849101942#"/>
    <s v="Клиент"/>
    <m/>
    <s v="ROBOT"/>
    <m/>
    <m/>
    <m/>
    <s v="Российский рубль"/>
    <m/>
    <s v="ROBOT_UT"/>
    <d v="2026-01-21T16:44:59"/>
    <s v="ROBOT_M"/>
    <d v="2026-08-28T11:10:47"/>
    <m/>
    <m/>
    <n v="79027651267"/>
    <m/>
    <m/>
    <m/>
    <m/>
    <m/>
    <m/>
    <m/>
    <m/>
    <m/>
    <m/>
    <m/>
    <m/>
    <s v="dasha_h89@mail.ru"/>
    <m/>
    <m/>
    <m/>
    <m/>
    <m/>
    <m/>
    <m/>
    <m/>
    <m/>
    <m/>
    <m/>
    <m/>
    <m/>
    <m/>
    <m/>
    <m/>
    <n v="0"/>
    <m/>
    <d v="2024-05-22T00:00:00"/>
    <m/>
    <s v="45.20 Техническое обслуживание и ремонт автотранспортных средств"/>
    <m/>
    <s v="Нет"/>
    <m/>
    <m/>
    <s v="ТК ТЕЛЕПОРТ ООО"/>
    <s v="г Иркутск"/>
    <n v="3849101942"/>
    <m/>
    <m/>
    <m/>
    <m/>
    <m/>
    <m/>
    <m/>
    <s v="Свой контакт (Менеджер)"/>
    <m/>
    <s v="Коммерческие"/>
    <s v="ООО"/>
    <n v="129151"/>
    <s v="Иркутская область 0 часов"/>
    <m/>
    <m/>
    <m/>
    <m/>
    <m/>
    <m/>
    <m/>
    <m/>
    <s v="Нет"/>
    <s v="Услуги.Бытовые"/>
    <m/>
    <m/>
    <m/>
    <s v="1bad8df0-f953-42ea-a813-88393b5048ee"/>
  </r>
  <r>
    <n v="320110"/>
    <s v="ЦП. 1С. Продажи"/>
    <s v="Y"/>
    <s v="N"/>
    <x v="1"/>
    <m/>
    <m/>
    <m/>
    <m/>
    <m/>
    <s v="Багланова Антонина"/>
    <m/>
    <s v="ООО «Аврора ТСК» 3808222190# 1С КП и Сервисы"/>
    <s v="Продажа"/>
    <s v="Свой контакт (Менеджер)"/>
    <m/>
    <s v="0.00"/>
    <s v="Российский рубль"/>
    <s v="ООО «Аврора ТСК» 3808222190#"/>
    <s v="Юлия"/>
    <m/>
    <s v="нет"/>
    <d v="2026-08-28T09:40:36"/>
    <s v="Багланова Антонина"/>
    <d v="2026-09-02T12:19:07"/>
    <s v="ROBOT_M"/>
    <d v="2026-08-28T00:00:00"/>
    <d v="2026-09-04T00:00:00"/>
    <m/>
    <m/>
    <m/>
    <m/>
    <m/>
    <m/>
    <m/>
    <m/>
    <n v="5"/>
    <d v="2026-09-02T08:50:49"/>
    <m/>
    <m/>
    <m/>
    <m/>
    <m/>
    <m/>
    <m/>
    <s v="Нет"/>
    <n v="1"/>
    <m/>
    <m/>
    <m/>
    <s v="СНТ Багульник тер"/>
    <s v="ЦП. 1С и ИТС. Коммерция"/>
    <m/>
    <m/>
    <m/>
    <m/>
    <m/>
    <m/>
    <n v="0"/>
    <m/>
    <m/>
    <m/>
    <m/>
    <n v="3"/>
    <m/>
    <m/>
    <s v="[D]ООО «Аврора ТСК» 3808222190# 1С Консультации"/>
    <s v="ЦП. 1С. Коммерция"/>
    <m/>
    <s v="001 - 004"/>
    <m/>
    <m/>
    <m/>
    <m/>
    <m/>
    <m/>
    <m/>
    <m/>
    <m/>
    <s v="Коммерческие"/>
    <m/>
    <m/>
    <s v="Обычный"/>
    <m/>
    <m/>
    <m/>
    <m/>
    <m/>
    <m/>
    <m/>
    <m/>
    <m/>
    <m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 КП ПРОФ"/>
    <s v="Отправить счет/договор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Отправить счет"/>
    <m/>
    <m/>
    <m/>
    <m/>
    <m/>
    <d v="2026-09-02T08:50:49"/>
    <d v="2026-09-01T16:13:03"/>
    <m/>
    <s v="Завершен"/>
    <m/>
    <m/>
    <m/>
    <m/>
    <m/>
    <m/>
    <m/>
    <m/>
    <m/>
    <m/>
    <m/>
    <m/>
    <m/>
    <m/>
    <m/>
    <m/>
    <m/>
    <n v="398735"/>
    <m/>
    <m/>
    <s v="Юлия"/>
    <m/>
    <m/>
    <m/>
    <m/>
    <s v="Клиенты"/>
    <s v="ROBOT"/>
    <m/>
    <s v="Свой контакт (Менеджер)"/>
    <m/>
    <s v="Да"/>
    <s v="Багланова Антонина"/>
    <d v="2026-08-28T09:42:37"/>
    <s v="ROBOT"/>
    <d v="2026-09-02T08:57:37"/>
    <m/>
    <m/>
    <n v="79041338883"/>
    <m/>
    <m/>
    <m/>
    <m/>
    <m/>
    <m/>
    <m/>
    <m/>
    <m/>
    <m/>
    <m/>
    <m/>
    <m/>
    <m/>
    <m/>
    <m/>
    <m/>
    <m/>
    <m/>
    <m/>
    <m/>
    <m/>
    <m/>
    <m/>
    <m/>
    <m/>
    <m/>
    <m/>
    <s v="СНТ Багульник тер"/>
    <d v="2026-08-28T00:00:00"/>
    <s v="Да"/>
    <m/>
    <s v="Иркутская область 0 часов"/>
    <m/>
    <m/>
    <s v="Нет"/>
    <s v="8d6f242d-0d4f-4b86-a763-6ab31a9cd98c"/>
    <n v="201190"/>
    <m/>
    <s v="ООО «Аврора ТСК» 3808222190#"/>
    <s v="Клиент"/>
    <s v="менее 50"/>
    <s v="ROBOT"/>
    <m/>
    <s v="Информационные технологии"/>
    <m/>
    <s v="Российский рубль"/>
    <m/>
    <s v="Боровченко Надежда"/>
    <d v="2022-08-29T15:23:28"/>
    <s v="ROBOT_UT"/>
    <d v="2026-09-02T12:19:07"/>
    <m/>
    <m/>
    <n v="79641187525"/>
    <m/>
    <m/>
    <m/>
    <m/>
    <m/>
    <m/>
    <m/>
    <m/>
    <m/>
    <m/>
    <m/>
    <m/>
    <s v="avroratsk@yandex.ru"/>
    <m/>
    <m/>
    <m/>
    <m/>
    <m/>
    <m/>
    <m/>
    <m/>
    <m/>
    <m/>
    <m/>
    <m/>
    <m/>
    <m/>
    <m/>
    <m/>
    <n v="0"/>
    <s v="avroratsk@yandex.ru"/>
    <d v="2012-01-31T00:00:00"/>
    <m/>
    <s v="46.9 Торговля оптовая неспециализированная"/>
    <m/>
    <s v="Нет"/>
    <d v="2022-09-20T00:00:00"/>
    <d v="2023-03-21T00:00:00"/>
    <s v="ООО «Аврора ТСК»"/>
    <s v="СНТ Багульник тер"/>
    <n v="3808222190"/>
    <s v="7. ОСН (общая)"/>
    <m/>
    <m/>
    <s v="Торговля. Автотранспорт и ГСМ"/>
    <s v="avroratsk@yandex.ru"/>
    <m/>
    <s v="001 - 004"/>
    <s v="CRM-форма"/>
    <m/>
    <s v="Коммерческие"/>
    <s v="ООО"/>
    <n v="93118"/>
    <s v="Иркутская область 0 часов"/>
    <m/>
    <m/>
    <m/>
    <m/>
    <m/>
    <m/>
    <m/>
    <m/>
    <s v="Нет"/>
    <s v="Торговля. Прочая"/>
    <m/>
    <m/>
    <m/>
    <s v="85e2568e-9c97-417a-8734-cb3d4c8ae9ab"/>
  </r>
  <r>
    <n v="320108"/>
    <s v="ЦП. УЦ. Продажи"/>
    <s v="Y"/>
    <s v="N"/>
    <x v="7"/>
    <m/>
    <s v="Шкуренко Дарья"/>
    <m/>
    <m/>
    <m/>
    <s v="Федорова Анастасия"/>
    <s v="ONE_C"/>
    <s v="1С:Подпись. ООО &quot;ТСГ-БАЙКАЛ&quot; 3810081035#"/>
    <s v="Продажа"/>
    <s v="Звонок"/>
    <m/>
    <n v="1500"/>
    <s v="Российский рубль"/>
    <s v="ООО &quot;ТСГ-БАЙКАЛ&quot; 3810081035#"/>
    <m/>
    <m/>
    <s v="нет"/>
    <d v="2026-08-28T09:16:13"/>
    <s v="Федорова Анастасия"/>
    <d v="2026-09-02T16:03:15"/>
    <s v="ROBOT"/>
    <d v="2026-08-28T00:00:00"/>
    <d v="2026-09-04T00:00:00"/>
    <s v="1С:Подпись.ЭПД"/>
    <n v="1500"/>
    <n v="1"/>
    <m/>
    <m/>
    <m/>
    <m/>
    <m/>
    <n v="6346"/>
    <d v="2026-08-31T09:10:13"/>
    <m/>
    <m/>
    <m/>
    <m/>
    <m/>
    <m/>
    <s v="Договор-оферта"/>
    <s v="Нет"/>
    <n v="1"/>
    <m/>
    <m/>
    <m/>
    <s v="Иркутская область, Иркутск"/>
    <s v="ЦП. 1С и ИТС. Коммерция"/>
    <d v="2026-10-09T00:00:00"/>
    <m/>
    <m/>
    <d v="2026-08-31T00:00:00"/>
    <d v="2027-08-31T00:00:00"/>
    <m/>
    <n v="0"/>
    <m/>
    <m/>
    <m/>
    <m/>
    <n v="3"/>
    <s v="/upload/crm/71f/mf2q8dxog3zv1urz30wuinhy2gcu9qs4/Договор-оферта.txt"/>
    <s v="ФРДТ-019108"/>
    <m/>
    <s v="ЦП. 1С. Коммерция"/>
    <m/>
    <m/>
    <m/>
    <m/>
    <d v="2026-08-28T00:00:00"/>
    <m/>
    <m/>
    <s v="[CO]ООО НПФ &quot;ФОРУС&quot; 3812023430#"/>
    <s v="Сервисы"/>
    <s v="Почта России"/>
    <s v="Доступ в сервисе"/>
    <s v="Коммерческие"/>
    <m/>
    <m/>
    <s v="Обычный"/>
    <m/>
    <s v="Да"/>
    <s v="ФЛ Сало Анастасия Сергеевна"/>
    <d v="2026-08-28T00:00:00"/>
    <m/>
    <m/>
    <s v="1С:Подпись"/>
    <m/>
    <m/>
    <n v="12"/>
    <m/>
    <m/>
    <m/>
    <s v="Не было отгрузок"/>
    <m/>
    <m/>
    <m/>
    <m/>
    <s v="Нет"/>
    <m/>
    <m/>
    <m/>
    <m/>
    <m/>
    <m/>
    <m/>
    <m/>
    <m/>
    <m/>
    <s v="УЦ"/>
    <m/>
    <m/>
    <s v="Не нужно"/>
    <m/>
    <m/>
    <m/>
    <m/>
    <m/>
    <m/>
    <m/>
    <m/>
    <s v="1С:Подпись"/>
    <m/>
    <s v="Оплаче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Оплачено"/>
    <m/>
    <m/>
    <m/>
    <m/>
    <m/>
    <d v="2026-09-02T00:02:59"/>
    <d v="2026-08-28T09:36: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6054"/>
    <m/>
    <s v="ООО &quot;ТСГ-БАЙКАЛ&quot; 3810081035#"/>
    <s v="Клиент"/>
    <m/>
    <s v="ROBOT"/>
    <m/>
    <m/>
    <m/>
    <s v="Российский рубль"/>
    <s v="Заказ на сайте its.1c.ru ORD240116-1705367190 a:link, a:visited {color:#16489b;text-decoration:none} a:hover, a:active {color:#16489b;text-decoration:underline} #mail-message-wrapper a:link, a:visited {color:#16489b;text-decoration:none} #mail-message-wrapper a:hover, a:active {c"/>
    <s v="Алексеева Наталья"/>
    <d v="2024-01-16T10:17:16"/>
    <s v="ROBOT_UT"/>
    <d v="2026-09-02T16:11:27"/>
    <m/>
    <n v="73952488200"/>
    <n v="79025131301"/>
    <m/>
    <m/>
    <m/>
    <m/>
    <m/>
    <m/>
    <m/>
    <m/>
    <m/>
    <m/>
    <m/>
    <m/>
    <s v="lubov.piskovaya@gmail.com"/>
    <m/>
    <m/>
    <m/>
    <m/>
    <m/>
    <m/>
    <m/>
    <m/>
    <m/>
    <m/>
    <m/>
    <m/>
    <m/>
    <m/>
    <m/>
    <m/>
    <n v="0"/>
    <m/>
    <d v="2019-08-02T00:00:00"/>
    <m/>
    <s v="52.29 Деятельность вспомогательная прочая, связанная с перевозками"/>
    <m/>
    <s v="Нет"/>
    <m/>
    <m/>
    <s v="ТСГ-Байкал ООО"/>
    <s v="Иркутская область, Иркутск"/>
    <n v="3810081035"/>
    <m/>
    <m/>
    <m/>
    <m/>
    <m/>
    <m/>
    <m/>
    <s v="1С Сайт its.1c.ru"/>
    <m/>
    <s v="Коммерческие"/>
    <s v="ООО"/>
    <n v="99883"/>
    <s v="Иркутская область 0 часов"/>
    <m/>
    <m/>
    <m/>
    <m/>
    <m/>
    <m/>
    <m/>
    <m/>
    <s v="Нет"/>
    <s v="Услуги. Перевозки, логистика, склад"/>
    <m/>
    <m/>
    <m/>
    <s v="5b7b0a9e-8915-471d-b790-3439942a63c1"/>
  </r>
  <r>
    <n v="320074"/>
    <s v="ЦП. ИБ"/>
    <s v="Y"/>
    <s v="N"/>
    <x v="4"/>
    <m/>
    <m/>
    <m/>
    <m/>
    <m/>
    <s v="Соболев Максим"/>
    <m/>
    <s v="ООО Лактовит - KSOS 15 р.м. на 2 года"/>
    <s v="Регулярное продление"/>
    <s v="Регулярная сделка"/>
    <m/>
    <n v="24180"/>
    <s v="Российский рубль"/>
    <s v="ООО &quot;ФИРМА &quot;ЛАКТОВИТ&quot; 3801051250#"/>
    <s v="Аксаментов Дмитрий Александрович"/>
    <m/>
    <s v="нет"/>
    <d v="2026-08-28T00:04:04"/>
    <m/>
    <d v="2026-08-28T00:26:13"/>
    <s v="ROBOT_UT"/>
    <d v="2022-10-10T00:00:00"/>
    <d v="2022-10-24T00:00:00"/>
    <s v="Kaspersky Small Office Security for Desktops, Mobiles and File Servers (fixed-date) Russian Edition. 15-19 Mobile device; 15-19 Desktop; 2 - FileServer; 15-19 User 2 year Renewal License - Лицензия"/>
    <n v="1612"/>
    <n v="15"/>
    <m/>
    <m/>
    <m/>
    <m/>
    <m/>
    <n v="0"/>
    <d v="2026-08-28T00:04:04"/>
    <m/>
    <m/>
    <m/>
    <m/>
    <m/>
    <m/>
    <s v="Договор-оферта"/>
    <s v="Нет"/>
    <n v="0"/>
    <m/>
    <m/>
    <m/>
    <s v="Ангарск г"/>
    <s v="ЦП. 1С и ИТС. Коммерция"/>
    <m/>
    <m/>
    <m/>
    <m/>
    <m/>
    <m/>
    <n v="3"/>
    <m/>
    <m/>
    <m/>
    <m/>
    <n v="15"/>
    <m/>
    <m/>
    <m/>
    <s v="ЦП. 1С. Коммерция"/>
    <m/>
    <m/>
    <m/>
    <s v="Через ДиаДок"/>
    <m/>
    <s v="Не нужно"/>
    <m/>
    <s v="[CO]ООО НПФ &quot;ФОРУС&quot; 3812023430#"/>
    <m/>
    <m/>
    <m/>
    <s v="Коммерческие"/>
    <m/>
    <m/>
    <s v="Обычный"/>
    <m/>
    <m/>
    <s v="#Загружено из Битрикс-Коробка#"/>
    <d v="2024-10-14T00:00:00"/>
    <m/>
    <m/>
    <s v="Лицензии Open Space Security+SOHO ЛК"/>
    <m/>
    <m/>
    <m/>
    <m/>
    <m/>
    <m/>
    <m/>
    <m/>
    <m/>
    <m/>
    <m/>
    <s v="Нет"/>
    <m/>
    <m/>
    <m/>
    <m/>
    <m/>
    <m/>
    <m/>
    <m/>
    <m/>
    <m/>
    <m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s v="Антивирусы (эл.лицензии), Российское ПО"/>
    <s v="Необработанные"/>
    <m/>
    <m/>
    <m/>
    <m/>
    <m/>
    <m/>
    <m/>
    <m/>
    <m/>
    <m/>
    <m/>
    <m/>
    <m/>
    <s v="Нет"/>
    <s v="Нет"/>
    <m/>
    <m/>
    <m/>
    <m/>
    <s v="Нет"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Необработанные"/>
    <m/>
    <m/>
    <m/>
    <m/>
    <m/>
    <d v="2026-08-28T00:26:13"/>
    <m/>
    <m/>
    <m/>
    <m/>
    <m/>
    <m/>
    <m/>
    <m/>
    <m/>
    <m/>
    <m/>
    <m/>
    <m/>
    <m/>
    <m/>
    <m/>
    <m/>
    <m/>
    <m/>
    <m/>
    <n v="208906"/>
    <m/>
    <m/>
    <s v="Дмитрий"/>
    <s v="Аксаментов"/>
    <s v="Александрович"/>
    <m/>
    <s v="Системный администратор"/>
    <m/>
    <s v="ROBOT"/>
    <s v="[Автор=Не авторизован][Редактор=БитриксКоробка]"/>
    <m/>
    <m/>
    <s v="Да"/>
    <s v="ROBOT_M"/>
    <d v="2021-07-10T00:53:25"/>
    <s v="ROBOT"/>
    <d v="2024-12-02T18:51:41"/>
    <m/>
    <m/>
    <s v="+7 (902) 7686854"/>
    <m/>
    <m/>
    <m/>
    <m/>
    <m/>
    <m/>
    <m/>
    <m/>
    <m/>
    <m/>
    <m/>
    <m/>
    <s v="moskvich_412@mail.ru, oguz_aosdr@mail.ru"/>
    <m/>
    <m/>
    <m/>
    <m/>
    <m/>
    <m/>
    <m/>
    <m/>
    <m/>
    <m/>
    <m/>
    <m/>
    <m/>
    <m/>
    <m/>
    <s v="Ангарск г"/>
    <d v="2021-04-06T00:00:00"/>
    <s v="Да"/>
    <m/>
    <s v="Иркутская область 0 часов"/>
    <m/>
    <m/>
    <s v="Нет"/>
    <s v="4b038d6e-2f74-11e1-a9da-0026554f9a5c"/>
    <n v="137012"/>
    <m/>
    <s v="ООО &quot;ФИРМА &quot;ЛАКТОВИТ&quot; 3801051250#"/>
    <s v="Клиент"/>
    <m/>
    <s v="ROBOT"/>
    <m/>
    <m/>
    <m/>
    <s v="Российский рубль"/>
    <m/>
    <s v="ROBOT_M"/>
    <d v="2021-07-08T08:56:32"/>
    <s v="ROBOT_M"/>
    <d v="2026-08-27T15:48:36"/>
    <m/>
    <n v="147911143499"/>
    <n v="158181505795"/>
    <m/>
    <m/>
    <m/>
    <m/>
    <m/>
    <m/>
    <m/>
    <m/>
    <m/>
    <m/>
    <m/>
    <m/>
    <s v="laktovit@ang.ru, fist_one@mail.ru"/>
    <m/>
    <s v="laktovit@ang.ru"/>
    <m/>
    <m/>
    <m/>
    <m/>
    <m/>
    <m/>
    <m/>
    <m/>
    <m/>
    <s v="imol|ank_chats_app24_whatsapp|32|79041388711|18107"/>
    <m/>
    <m/>
    <n v="18107"/>
    <m/>
    <n v="0"/>
    <s v="laktovit@ang.ru"/>
    <d v="1999-05-21T00:00:00"/>
    <m/>
    <s v="10.86 Производство детского питания и диетических пищевых продуктов"/>
    <m/>
    <s v="Нет"/>
    <d v="2012-07-16T00:00:00"/>
    <d v="2024-12-20T00:00:00"/>
    <s v="Лактовит фирма"/>
    <s v="Ангарск г"/>
    <n v="3801051250"/>
    <m/>
    <m/>
    <m/>
    <m/>
    <s v="laktovit@ang.ru"/>
    <m/>
    <m/>
    <m/>
    <m/>
    <s v="Коммерческие"/>
    <s v="ООО"/>
    <n v="25310"/>
    <s v="Иркутская область 0 часов"/>
    <m/>
    <m/>
    <m/>
    <m/>
    <m/>
    <m/>
    <m/>
    <m/>
    <s v="Нет"/>
    <s v="Производство. Пищевое производство"/>
    <m/>
    <m/>
    <m/>
    <s v="2abea872-c56c-11e1-b6f9-0026554f9a58"/>
  </r>
  <r>
    <n v="320065"/>
    <s v="ЦП. 1С. Продажи"/>
    <s v="Y"/>
    <s v="N"/>
    <x v="0"/>
    <m/>
    <m/>
    <m/>
    <m/>
    <m/>
    <s v="Багланова Антонина"/>
    <s v="ONE_C"/>
    <s v="ООО &quot;ОТЕЛЬ ИРКУТСК&quot; 3808234566# - 1С-ЭПД"/>
    <s v="Продажа"/>
    <s v="Почта электронная"/>
    <s v="Клиентка написала мне на почту"/>
    <n v="3600"/>
    <s v="Российский рубль"/>
    <s v="ООО &quot;ОТЕЛЬ ИРКУТСК&quot; 3808234566#"/>
    <s v="Сауко Татьяна Алексеевна"/>
    <m/>
    <s v="нет"/>
    <d v="2026-08-27T18:02:46"/>
    <s v="Багланова Антонина"/>
    <d v="2026-08-31T13:30:13"/>
    <s v="Багланова Антонина"/>
    <d v="2026-08-27T00:00:00"/>
    <d v="2026-09-03T00:00:00"/>
    <s v="1С-ЭДО. ЭПД-600 на 12 месяцев"/>
    <n v="3600"/>
    <n v="1"/>
    <m/>
    <m/>
    <m/>
    <m/>
    <m/>
    <n v="5"/>
    <d v="2026-08-31T09:47:06"/>
    <m/>
    <m/>
    <m/>
    <m/>
    <m/>
    <m/>
    <s v="Договор-оферта"/>
    <s v="Нет"/>
    <n v="1"/>
    <m/>
    <m/>
    <s v="[CO]ООО &quot;ОТЕЛЬ ИРКУТСК&quot; 3808234566#"/>
    <s v="Иркутск г"/>
    <s v="ЦП. 1С и ИТС. Коммерция"/>
    <m/>
    <m/>
    <m/>
    <d v="2026-08-31T00:00:00"/>
    <d v="2027-08-30T00:00:00"/>
    <m/>
    <n v="0"/>
    <m/>
    <m/>
    <m/>
    <m/>
    <n v="1"/>
    <s v="/upload/crm/837/zu0m7y7lp7yhg0ywe3033hj84ipc1f6g/Договор-оферта.txt"/>
    <s v="ФРДТ-019096"/>
    <m/>
    <s v="ЦП. 1С. Коммерция"/>
    <m/>
    <m/>
    <m/>
    <m/>
    <d v="2026-08-27T00:00:00"/>
    <m/>
    <m/>
    <s v="[CO]ООО НПФ &quot;ФОРУС&quot; 3812023430#"/>
    <s v="Сервисы"/>
    <m/>
    <m/>
    <s v="Коммерческие"/>
    <m/>
    <m/>
    <s v="Обычный"/>
    <m/>
    <s v="Да"/>
    <s v="#Загружено из Битрикс-Коробка#"/>
    <d v="2026-08-28T00:00:00"/>
    <m/>
    <m/>
    <s v="1С-ЭДО ЭПД"/>
    <m/>
    <m/>
    <n v="12"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-ЭПД"/>
    <s v="Контроль сделк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m/>
    <m/>
    <s v="Не было отгрузок"/>
    <m/>
    <s v="Оформлена подписка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сделки"/>
    <m/>
    <m/>
    <m/>
    <m/>
    <m/>
    <d v="2026-08-31T13:27:29"/>
    <d v="2026-08-31T13:27:29"/>
    <m/>
    <m/>
    <m/>
    <m/>
    <m/>
    <m/>
    <m/>
    <m/>
    <m/>
    <m/>
    <m/>
    <m/>
    <m/>
    <m/>
    <m/>
    <m/>
    <m/>
    <m/>
    <m/>
    <n v="263973"/>
    <m/>
    <m/>
    <s v="Татьяна"/>
    <s v="Сауко"/>
    <s v="Алексеевна"/>
    <m/>
    <m/>
    <m/>
    <s v="ROBOT"/>
    <s v="[p] . [/p]"/>
    <m/>
    <m/>
    <s v="Да"/>
    <s v="ROBOT_M"/>
    <d v="2022-01-17T11:07:01"/>
    <s v="ROBOT"/>
    <d v="2026-09-01T14:36:28"/>
    <m/>
    <m/>
    <n v="79501277277"/>
    <m/>
    <m/>
    <m/>
    <m/>
    <m/>
    <m/>
    <m/>
    <m/>
    <m/>
    <m/>
    <m/>
    <m/>
    <s v="baikalirk38ru@yandex.ru, sauko.t@yandex.ru, buh@sl-it.ru"/>
    <m/>
    <m/>
    <m/>
    <m/>
    <m/>
    <m/>
    <m/>
    <m/>
    <m/>
    <m/>
    <m/>
    <m/>
    <m/>
    <m/>
    <m/>
    <s v="Иркутск г"/>
    <d v="2022-01-17T00:00:00"/>
    <s v="Да"/>
    <m/>
    <s v="Иркутская область 0 часов"/>
    <m/>
    <m/>
    <s v="Нет"/>
    <s v="cb35821b-3da3-4360-b67c-4ba44fdc185e"/>
    <n v="114708"/>
    <m/>
    <s v="ООО &quot;ОТЕЛЬ ИРКУТСК&quot; 3808234566#"/>
    <s v="Клиент - Поставщик"/>
    <m/>
    <s v="ROBOT"/>
    <m/>
    <m/>
    <m/>
    <s v="Российский рубль"/>
    <s v="[p] Счета и УПД по РПД на ООО&amp;quot;ИСТТРЭВЭЛ&amp;quot; 3811077296. Оформлять на ООО &amp;quot;ОТЕЛЬ ИРКУТСК&amp;quot; 3808234566 [/p]"/>
    <s v="ROBOT_M"/>
    <d v="2021-07-07T02:26:00"/>
    <s v="ROBOT_M"/>
    <d v="2026-08-31T13:50:32"/>
    <m/>
    <n v="295809038435"/>
    <m/>
    <m/>
    <m/>
    <m/>
    <m/>
    <m/>
    <m/>
    <m/>
    <m/>
    <m/>
    <m/>
    <m/>
    <m/>
    <s v="box@eastland.ru, 250260@eastland.ru, hotel@eastland.ru, buhfl@eastland.ru, 2578@eastland.ru"/>
    <m/>
    <s v="250058@eastland.ru, box@eastland.ru"/>
    <m/>
    <m/>
    <m/>
    <m/>
    <m/>
    <m/>
    <m/>
    <m/>
    <m/>
    <m/>
    <m/>
    <m/>
    <m/>
    <m/>
    <n v="0"/>
    <s v="box@eastland.ru"/>
    <d v="2014-03-27T00:00:00"/>
    <m/>
    <s v="55.10 Деятельность гостиниц и прочих мест для временного проживания"/>
    <s v="[CO]ООО &quot;ОТЕЛЬ ИРКУТСК&quot; 3808234566#"/>
    <s v="Нет"/>
    <d v="2014-08-31T00:00:00"/>
    <d v="2025-07-04T00:00:00"/>
    <s v="ОТЕЛЬ ИРКУТСК"/>
    <s v="Иркутск г"/>
    <n v="3808234566"/>
    <m/>
    <m/>
    <m/>
    <m/>
    <s v="250058@eastland.ru"/>
    <m/>
    <m/>
    <m/>
    <m/>
    <s v="Коммерческие"/>
    <s v="ООО"/>
    <n v="36071"/>
    <s v="Иркутская область 0 часов"/>
    <m/>
    <m/>
    <m/>
    <s v="Да, компания работает"/>
    <s v="[C]Харченко Иван Александрович"/>
    <m/>
    <m/>
    <m/>
    <s v="Нет"/>
    <s v="Услуги. Гостиницы"/>
    <m/>
    <m/>
    <m/>
    <s v="73aec954-c07a-11e3-9b5a-0026554f9a58"/>
  </r>
  <r>
    <n v="320059"/>
    <s v="ЦП. 1С. Продажи"/>
    <s v="Y"/>
    <s v="N"/>
    <x v="3"/>
    <m/>
    <m/>
    <m/>
    <m/>
    <m/>
    <s v="Федосеев Максим"/>
    <s v="ONE_C"/>
    <s v="ООО &quot;РЕГИОНСТРОЙКОМПЛЕКТ&quot; 3848001367# - 1С КП ПРОФ"/>
    <s v="Продажа"/>
    <s v="По рекомендации/ Почкование"/>
    <s v="от другой сделки"/>
    <n v="38000"/>
    <s v="Российский рубль"/>
    <s v="ООО &quot;РЕГИОНСТРОЙКОМПЛЕКТ&quot; 3848001367#"/>
    <s v="Анна"/>
    <m/>
    <s v="нет"/>
    <d v="2026-08-27T17:32:11"/>
    <s v="Федосеев Максим"/>
    <d v="2026-09-01T00:13:16"/>
    <s v="ROBOT"/>
    <d v="2026-08-27T00:00:00"/>
    <d v="2026-09-03T00:00:00"/>
    <s v="1С:КП ПРОФ на 12 месяцев по схеме 8+4"/>
    <n v="38000"/>
    <n v="1"/>
    <m/>
    <m/>
    <m/>
    <m/>
    <m/>
    <n v="14748"/>
    <d v="2026-08-27T17:45:23"/>
    <m/>
    <m/>
    <m/>
    <m/>
    <m/>
    <m/>
    <s v="Договор-оферта"/>
    <s v="Нет"/>
    <n v="1"/>
    <m/>
    <m/>
    <m/>
    <s v="РП МАРКОВА,"/>
    <s v="ЦП. 1С и ИТС. Коммерция"/>
    <m/>
    <m/>
    <m/>
    <m/>
    <m/>
    <m/>
    <n v="0"/>
    <m/>
    <m/>
    <m/>
    <s v="Небольшой опыт"/>
    <n v="2"/>
    <m/>
    <s v="ФРДТ-019090"/>
    <m/>
    <s v="ЦП. 1С. Коммерция"/>
    <m/>
    <m/>
    <m/>
    <m/>
    <d v="2026-08-27T00:00:00"/>
    <m/>
    <m/>
    <s v="[CO]ООО НПФ &quot;ФОРУС&quot; 3812023430#"/>
    <s v="Сервисы"/>
    <m/>
    <m/>
    <s v="Коммерческие"/>
    <m/>
    <m/>
    <s v="Обычный"/>
    <m/>
    <m/>
    <s v="#Загружено из Битрикс-Коробка#"/>
    <m/>
    <m/>
    <m/>
    <s v="ИТС КП ПРОФ"/>
    <m/>
    <m/>
    <m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 КП ПРОФ"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9-01T00:02:20"/>
    <d v="2026-09-02T10:08:05"/>
    <m/>
    <m/>
    <m/>
    <m/>
    <m/>
    <m/>
    <m/>
    <m/>
    <m/>
    <m/>
    <m/>
    <m/>
    <m/>
    <m/>
    <m/>
    <m/>
    <m/>
    <m/>
    <m/>
    <n v="394902"/>
    <m/>
    <m/>
    <s v="Анна"/>
    <m/>
    <m/>
    <m/>
    <m/>
    <s v="Клиенты"/>
    <s v="ROBOT"/>
    <m/>
    <s v="Звонок"/>
    <s v="Звонок поступил на номер: ЦП 78-00-00 (62)."/>
    <s v="Да"/>
    <s v="Федорова Анастасия"/>
    <d v="2026-07-01T11:28:06"/>
    <s v="Багланова Антонина"/>
    <d v="2026-08-31T16:42:40"/>
    <m/>
    <m/>
    <n v="79148895040"/>
    <m/>
    <m/>
    <m/>
    <m/>
    <m/>
    <m/>
    <m/>
    <m/>
    <m/>
    <m/>
    <m/>
    <m/>
    <s v="rsk@rsktrade.ru, assistant@rsktrade.ru"/>
    <m/>
    <m/>
    <m/>
    <m/>
    <m/>
    <m/>
    <m/>
    <m/>
    <m/>
    <m/>
    <m/>
    <m/>
    <m/>
    <m/>
    <m/>
    <s v="нас. пункт Иркутск г"/>
    <d v="2026-07-01T00:00:00"/>
    <s v="Да"/>
    <m/>
    <s v="Иркутская область 0 часов"/>
    <m/>
    <m/>
    <s v="Нет"/>
    <s v="e19f90ff-deec-45ee-b092-7d07d0bba880"/>
    <n v="123625"/>
    <m/>
    <s v="ООО &quot;РЕГИОНСТРОЙКОМПЛЕКТ&quot; 3848001367#"/>
    <s v="Клиент"/>
    <m/>
    <s v="ROBOT"/>
    <m/>
    <m/>
    <m/>
    <s v="Российский рубль"/>
    <s v="Здравствуйте, отправьте закрывающие документы. Оплатили счет №№ФРДТ-014933 от 02.07.2026 за передачу неисключительных имущественных прав (Лицензия). Без налога (НДС) на сумму 3800,00р. За ранее спасибо."/>
    <s v="ROBOT_M"/>
    <d v="2021-07-07T09:11:21"/>
    <s v="ROBOT_UT"/>
    <d v="2026-09-01T00:13:16"/>
    <m/>
    <n v="221857990175"/>
    <m/>
    <m/>
    <m/>
    <m/>
    <m/>
    <m/>
    <m/>
    <m/>
    <m/>
    <m/>
    <m/>
    <m/>
    <m/>
    <s v="finance@rsktrade.ru, regstrokom@mail.ru, snab12@rsktrade.ru, rsk@rsktrade.ru, buh@rsktrade.ru, buh1@rsktrade.ru"/>
    <m/>
    <s v="zamgb@rsktrade.ru, finance@rsktrade.ru"/>
    <m/>
    <m/>
    <m/>
    <m/>
    <m/>
    <m/>
    <m/>
    <m/>
    <m/>
    <m/>
    <m/>
    <m/>
    <m/>
    <m/>
    <n v="0"/>
    <s v="finance@rsktrade.ru"/>
    <d v="2009-05-07T00:00:00"/>
    <m/>
    <s v="46.69.5 Торговля оптовая производственным электротехническим оборудованием, машинами, аппаратурой и материалами"/>
    <m/>
    <s v="Нет"/>
    <d v="2014-12-17T00:00:00"/>
    <d v="2025-07-31T00:00:00"/>
    <s v="РСК ООО"/>
    <s v="РП МАРКОВА,"/>
    <n v="3848001367"/>
    <m/>
    <m/>
    <m/>
    <m/>
    <s v="buh@rsktrade.ru"/>
    <m/>
    <m/>
    <m/>
    <m/>
    <s v="Коммерческие"/>
    <s v="ООО"/>
    <n v="35878"/>
    <s v="Иркутская область 0 часов"/>
    <m/>
    <m/>
    <m/>
    <m/>
    <m/>
    <m/>
    <m/>
    <m/>
    <s v="Нет"/>
    <s v="Торговля. Прочая"/>
    <m/>
    <m/>
    <m/>
    <s v="d04553a1-2f71-11e0-ae0e-0026554f9a5c"/>
  </r>
  <r>
    <n v="320058"/>
    <s v="ЦП. 1С. Продажи"/>
    <s v="Y"/>
    <s v="N"/>
    <x v="4"/>
    <m/>
    <m/>
    <m/>
    <m/>
    <m/>
    <s v="Россинский Вадим"/>
    <m/>
    <s v="7 395 224-00-89 - Входящий звонок"/>
    <s v="Продажа"/>
    <s v="Звонок"/>
    <s v="Звонок поступил на номер: ЦКС. Основной 78-23-08 (94)."/>
    <s v="0.00"/>
    <s v="Российский рубль"/>
    <s v="ООО &quot;ТУРФИРМА АЛЬЯНС ПЛЮС&quot; 3808027270#"/>
    <s v="Алена"/>
    <m/>
    <s v="нет"/>
    <d v="2026-08-27T17:30:21"/>
    <s v="Россинский Вадим"/>
    <d v="2026-08-31T14:13:13"/>
    <s v="Смирнова София"/>
    <d v="2026-08-27T00:00:00"/>
    <d v="2026-09-03T00:00:00"/>
    <m/>
    <m/>
    <m/>
    <m/>
    <m/>
    <m/>
    <m/>
    <m/>
    <n v="15488"/>
    <d v="2026-08-27T17:30:21"/>
    <m/>
    <m/>
    <m/>
    <m/>
    <m/>
    <m/>
    <m/>
    <s v="Нет"/>
    <n v="1"/>
    <m/>
    <n v="73952240089"/>
    <m/>
    <s v="Иркутск г"/>
    <s v="ЦП. 1С и ИТС. Коммерция"/>
    <m/>
    <m/>
    <m/>
    <m/>
    <m/>
    <m/>
    <m/>
    <m/>
    <m/>
    <m/>
    <m/>
    <n v="2"/>
    <m/>
    <m/>
    <m/>
    <s v="ЦП. 1С. Коммерция"/>
    <m/>
    <m/>
    <m/>
    <m/>
    <m/>
    <m/>
    <m/>
    <m/>
    <m/>
    <m/>
    <m/>
    <s v="Коммерческие"/>
    <m/>
    <m/>
    <s v="Обычный"/>
    <m/>
    <m/>
    <m/>
    <m/>
    <m/>
    <n v="267345"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s v="Необработанные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Необработанные"/>
    <m/>
    <m/>
    <m/>
    <m/>
    <m/>
    <d v="2026-08-31T14:06:22"/>
    <d v="2026-08-31T14:06:22"/>
    <m/>
    <m/>
    <m/>
    <m/>
    <m/>
    <m/>
    <m/>
    <m/>
    <m/>
    <m/>
    <m/>
    <m/>
    <m/>
    <m/>
    <m/>
    <m/>
    <m/>
    <m/>
    <m/>
    <n v="295051"/>
    <m/>
    <m/>
    <s v="Алена"/>
    <m/>
    <m/>
    <m/>
    <m/>
    <m/>
    <s v="ROBOT"/>
    <s v="[Автор=БитриксКоробка][Редактор=БитриксКоробка]"/>
    <m/>
    <m/>
    <s v="Да"/>
    <s v="Петров Андрей"/>
    <d v="2022-10-13T15:47:47"/>
    <s v="ROBOT"/>
    <d v="2026-08-31T14:35:35"/>
    <m/>
    <n v="73952240089"/>
    <n v="79501105715"/>
    <m/>
    <m/>
    <m/>
    <m/>
    <m/>
    <m/>
    <m/>
    <m/>
    <m/>
    <m/>
    <m/>
    <m/>
    <m/>
    <m/>
    <m/>
    <m/>
    <m/>
    <m/>
    <m/>
    <m/>
    <m/>
    <m/>
    <m/>
    <m/>
    <m/>
    <m/>
    <m/>
    <m/>
    <s v="Иркутск г"/>
    <d v="2022-10-13T00:00:00"/>
    <s v="Да"/>
    <m/>
    <s v="Иркутская область 0 часов"/>
    <m/>
    <m/>
    <s v="Нет"/>
    <s v="ac0d24b8-861f-4b42-ad3a-53751ecc3f3b"/>
    <n v="130266"/>
    <m/>
    <s v="ООО &quot;ТУРФИРМА АЛЬЯНС ПЛЮС&quot; 3808027270#"/>
    <s v="Клиент"/>
    <m/>
    <s v="ROBOT"/>
    <m/>
    <m/>
    <m/>
    <s v="Российский рубль"/>
    <s v="."/>
    <s v="ROBOT_M"/>
    <d v="2021-07-08T03:30:09"/>
    <s v="ROBOT_M"/>
    <d v="2026-08-31T14:35:35"/>
    <m/>
    <n v="221856815387"/>
    <m/>
    <m/>
    <m/>
    <m/>
    <m/>
    <m/>
    <m/>
    <m/>
    <m/>
    <m/>
    <m/>
    <m/>
    <m/>
    <s v="info@a38.plus, kamarina2007@yandex.ru"/>
    <m/>
    <s v="kamarina2007@yandex.ru"/>
    <m/>
    <m/>
    <m/>
    <m/>
    <m/>
    <m/>
    <m/>
    <m/>
    <m/>
    <m/>
    <m/>
    <m/>
    <m/>
    <m/>
    <n v="0"/>
    <s v="kamarina2007@yandex.ru"/>
    <d v="1996-09-24T00:00:00"/>
    <m/>
    <s v="79.11 Деятельность туристических агентств"/>
    <m/>
    <s v="Нет"/>
    <d v="2019-05-07T00:00:00"/>
    <d v="2025-08-27T00:00:00"/>
    <s v="ТУРФИРМА АЛЬЯНС ПЛЮС ООО"/>
    <s v="Иркутск г"/>
    <n v="3808027270"/>
    <m/>
    <m/>
    <m/>
    <m/>
    <m/>
    <m/>
    <m/>
    <m/>
    <m/>
    <s v="Коммерческие"/>
    <s v="ООО"/>
    <n v="80551"/>
    <s v="Иркутская область 0 часов"/>
    <m/>
    <m/>
    <m/>
    <s v="Да, компания работает"/>
    <s v="[C]Кадырова Марина Николаевна"/>
    <m/>
    <m/>
    <m/>
    <s v="Нет"/>
    <s v="Услуги. Туризм"/>
    <m/>
    <m/>
    <m/>
    <s v="c96902b2-a1c7-476e-8135-3de04887bdc0"/>
  </r>
  <r>
    <n v="320056"/>
    <s v="ЦП. 1С. Продажи"/>
    <s v="Y"/>
    <s v="N"/>
    <x v="3"/>
    <m/>
    <m/>
    <m/>
    <m/>
    <m/>
    <s v="Федосеев Максим"/>
    <s v="ONE_C"/>
    <s v="ООО &quot;РЕГИОНСТРОЙКОМПЛЕКТ&quot; 3848001367# - 1С: Управление торговлей"/>
    <s v="Продажа"/>
    <s v="CRM-форма"/>
    <s v="ЦП.1С. Продукты и сервисы"/>
    <n v="126800"/>
    <s v="Российский рубль"/>
    <s v="ООО &quot;РЕГИОНСТРОЙКОМПЛЕКТ&quot; 3848001367#"/>
    <s v="Анна"/>
    <m/>
    <s v="нет"/>
    <d v="2026-08-27T17:20:27"/>
    <s v="Федосеев Максим"/>
    <d v="2026-09-02T15:30:04"/>
    <s v="Федосеев Максим"/>
    <d v="2026-08-27T00:00:00"/>
    <d v="2026-09-03T00:00:00"/>
    <s v="1С:Предприятие 8.3 ПРОФ. Лицензия на сервер (x86-64). Электронная поставка (&lt;&gt;)"/>
    <n v="126800"/>
    <n v="1"/>
    <m/>
    <m/>
    <m/>
    <m/>
    <n v="42"/>
    <n v="14748"/>
    <d v="2026-08-27T17:30:06"/>
    <m/>
    <m/>
    <m/>
    <m/>
    <m/>
    <m/>
    <s v="Договор-оферта"/>
    <s v="Нет"/>
    <n v="1"/>
    <s v="assistant@rsktrade.ru"/>
    <n v="79148895040"/>
    <m/>
    <m/>
    <s v="ЦП. 1С и ИТС. Коммерция"/>
    <m/>
    <m/>
    <m/>
    <m/>
    <m/>
    <m/>
    <n v="0"/>
    <s v="Анна"/>
    <m/>
    <m/>
    <m/>
    <n v="8"/>
    <m/>
    <s v="ФРДТ-019089"/>
    <m/>
    <s v="ЦП. 1С. Коммерция"/>
    <m/>
    <m/>
    <m/>
    <m/>
    <d v="2026-08-27T00:00:00"/>
    <m/>
    <m/>
    <s v="[CO]ООО НПФ &quot;ФОРУС&quot; 3812023430#"/>
    <s v="Сублицензионный"/>
    <m/>
    <m/>
    <m/>
    <m/>
    <m/>
    <s v="Обычный"/>
    <m/>
    <m/>
    <s v="#Загружено из Битрикс-Коробка#"/>
    <m/>
    <m/>
    <n v="267342"/>
    <s v="1С 8 УТ;1С КлЛиц ПРОФ;1С СервЛиц ПРОФ"/>
    <m/>
    <m/>
    <m/>
    <m/>
    <m/>
    <m/>
    <s v="Не было отгрузок"/>
    <m/>
    <m/>
    <m/>
    <m/>
    <s v="Нет"/>
    <m/>
    <m/>
    <m/>
    <m/>
    <m/>
    <m/>
    <m/>
    <m/>
    <m/>
    <m/>
    <s v="1С Программы и лицензии"/>
    <s v="1С: Управление торговлей"/>
    <s v="Эл. Поставка"/>
    <s v="Не нужно"/>
    <m/>
    <m/>
    <m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9-02T15:30:00"/>
    <d v="2026-09-02T16:44:08"/>
    <m/>
    <m/>
    <m/>
    <m/>
    <m/>
    <m/>
    <m/>
    <m/>
    <m/>
    <m/>
    <m/>
    <m/>
    <m/>
    <m/>
    <m/>
    <m/>
    <m/>
    <m/>
    <m/>
    <n v="394902"/>
    <m/>
    <m/>
    <s v="Анна"/>
    <m/>
    <m/>
    <m/>
    <m/>
    <s v="Клиенты"/>
    <s v="ROBOT"/>
    <m/>
    <s v="Звонок"/>
    <s v="Звонок поступил на номер: ЦП 78-00-00 (62)."/>
    <s v="Да"/>
    <s v="Федорова Анастасия"/>
    <d v="2026-07-01T11:28:06"/>
    <s v="Багланова Антонина"/>
    <d v="2026-08-31T16:42:40"/>
    <m/>
    <m/>
    <n v="79148895040"/>
    <m/>
    <m/>
    <m/>
    <m/>
    <m/>
    <m/>
    <m/>
    <m/>
    <m/>
    <m/>
    <m/>
    <m/>
    <s v="rsk@rsktrade.ru, assistant@rsktrade.ru"/>
    <m/>
    <m/>
    <m/>
    <m/>
    <m/>
    <m/>
    <m/>
    <m/>
    <m/>
    <m/>
    <m/>
    <m/>
    <m/>
    <m/>
    <m/>
    <s v="нас. пункт Иркутск г"/>
    <d v="2026-07-01T00:00:00"/>
    <s v="Да"/>
    <m/>
    <s v="Иркутская область 0 часов"/>
    <m/>
    <m/>
    <s v="Нет"/>
    <s v="e19f90ff-deec-45ee-b092-7d07d0bba880"/>
    <n v="123625"/>
    <m/>
    <s v="ООО &quot;РЕГИОНСТРОЙКОМПЛЕКТ&quot; 3848001367#"/>
    <s v="Клиент"/>
    <m/>
    <s v="ROBOT"/>
    <m/>
    <m/>
    <m/>
    <s v="Российский рубль"/>
    <s v="Здравствуйте, отправьте закрывающие документы. Оплатили счет №№ФРДТ-014933 от 02.07.2026 за передачу неисключительных имущественных прав (Лицензия). Без налога (НДС) на сумму 3800,00р. За ранее спасибо."/>
    <s v="ROBOT_M"/>
    <d v="2021-07-07T09:11:21"/>
    <s v="ROBOT_UT"/>
    <d v="2026-09-01T00:13:16"/>
    <m/>
    <n v="221857990175"/>
    <m/>
    <m/>
    <m/>
    <m/>
    <m/>
    <m/>
    <m/>
    <m/>
    <m/>
    <m/>
    <m/>
    <m/>
    <m/>
    <s v="finance@rsktrade.ru, regstrokom@mail.ru, snab12@rsktrade.ru, rsk@rsktrade.ru, buh@rsktrade.ru, buh1@rsktrade.ru"/>
    <m/>
    <s v="zamgb@rsktrade.ru, finance@rsktrade.ru"/>
    <m/>
    <m/>
    <m/>
    <m/>
    <m/>
    <m/>
    <m/>
    <m/>
    <m/>
    <m/>
    <m/>
    <m/>
    <m/>
    <m/>
    <n v="0"/>
    <s v="finance@rsktrade.ru"/>
    <d v="2009-05-07T00:00:00"/>
    <m/>
    <s v="46.69.5 Торговля оптовая производственным электротехническим оборудованием, машинами, аппаратурой и материалами"/>
    <m/>
    <s v="Нет"/>
    <d v="2014-12-17T00:00:00"/>
    <d v="2025-07-31T00:00:00"/>
    <s v="РСК ООО"/>
    <s v="РП МАРКОВА,"/>
    <n v="3848001367"/>
    <m/>
    <m/>
    <m/>
    <m/>
    <s v="buh@rsktrade.ru"/>
    <m/>
    <m/>
    <m/>
    <m/>
    <s v="Коммерческие"/>
    <s v="ООО"/>
    <n v="35878"/>
    <s v="Иркутская область 0 часов"/>
    <m/>
    <m/>
    <m/>
    <m/>
    <m/>
    <m/>
    <m/>
    <m/>
    <s v="Нет"/>
    <s v="Торговля. Прочая"/>
    <m/>
    <m/>
    <m/>
    <s v="d04553a1-2f71-11e0-ae0e-0026554f9a5c"/>
  </r>
  <r>
    <n v="320056"/>
    <s v="ЦП. 1С. Продажи"/>
    <s v="Y"/>
    <s v="N"/>
    <x v="3"/>
    <m/>
    <m/>
    <m/>
    <m/>
    <m/>
    <s v="Федосеев Максим"/>
    <s v="ONE_C"/>
    <s v="ООО &quot;РЕГИОНСТРОЙКОМПЛЕКТ&quot; 3848001367# - 1С: Управление торговлей"/>
    <s v="Продажа"/>
    <s v="CRM-форма"/>
    <s v="ЦП.1С. Продукты и сервисы"/>
    <n v="39700"/>
    <s v="Российский рубль"/>
    <s v="ООО &quot;РЕГИОНСТРОЙКОМПЛЕКТ&quot; 3848001367#"/>
    <s v="Анна"/>
    <m/>
    <s v="нет"/>
    <d v="2026-08-27T17:20:27"/>
    <s v="Федосеев Максим"/>
    <d v="2026-09-02T15:30:04"/>
    <s v="Федосеев Максим"/>
    <d v="2026-08-27T00:00:00"/>
    <d v="2026-09-03T00:00:00"/>
    <s v="1С:Управление торговлей ПРОФ 8. Электронная поставка (&lt;&gt;)"/>
    <n v="39700"/>
    <n v="1"/>
    <m/>
    <m/>
    <m/>
    <m/>
    <n v="42"/>
    <n v="14748"/>
    <d v="2026-08-27T17:30:06"/>
    <m/>
    <m/>
    <m/>
    <m/>
    <m/>
    <m/>
    <s v="Договор-оферта"/>
    <s v="Нет"/>
    <n v="1"/>
    <s v="assistant@rsktrade.ru"/>
    <n v="79148895040"/>
    <m/>
    <m/>
    <s v="ЦП. 1С и ИТС. Коммерция"/>
    <m/>
    <m/>
    <m/>
    <m/>
    <m/>
    <m/>
    <n v="0"/>
    <s v="Анна"/>
    <m/>
    <m/>
    <m/>
    <n v="8"/>
    <m/>
    <s v="ФРДТ-019089"/>
    <m/>
    <s v="ЦП. 1С. Коммерция"/>
    <m/>
    <m/>
    <m/>
    <m/>
    <d v="2026-08-27T00:00:00"/>
    <m/>
    <m/>
    <s v="[CO]ООО НПФ &quot;ФОРУС&quot; 3812023430#"/>
    <s v="Сублицензионный"/>
    <m/>
    <m/>
    <m/>
    <m/>
    <m/>
    <s v="Обычный"/>
    <m/>
    <m/>
    <s v="#Загружено из Битрикс-Коробка#"/>
    <m/>
    <m/>
    <n v="267342"/>
    <s v="1С 8 УТ;1С КлЛиц ПРОФ;1С СервЛиц ПРОФ"/>
    <m/>
    <m/>
    <m/>
    <m/>
    <m/>
    <m/>
    <s v="Не было отгрузок"/>
    <m/>
    <m/>
    <m/>
    <m/>
    <s v="Нет"/>
    <m/>
    <m/>
    <m/>
    <m/>
    <m/>
    <m/>
    <m/>
    <m/>
    <m/>
    <m/>
    <s v="1С Программы и лицензии"/>
    <s v="1С: Управление торговлей"/>
    <s v="Эл. Поставка"/>
    <s v="Не нужно"/>
    <m/>
    <m/>
    <m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9-02T15:30:00"/>
    <d v="2026-09-02T16:44:08"/>
    <m/>
    <m/>
    <m/>
    <m/>
    <m/>
    <m/>
    <m/>
    <m/>
    <m/>
    <m/>
    <m/>
    <m/>
    <m/>
    <m/>
    <m/>
    <m/>
    <m/>
    <m/>
    <m/>
    <n v="394902"/>
    <m/>
    <m/>
    <s v="Анна"/>
    <m/>
    <m/>
    <m/>
    <m/>
    <s v="Клиенты"/>
    <s v="ROBOT"/>
    <m/>
    <s v="Звонок"/>
    <s v="Звонок поступил на номер: ЦП 78-00-00 (62)."/>
    <s v="Да"/>
    <s v="Федорова Анастасия"/>
    <d v="2026-07-01T11:28:06"/>
    <s v="Багланова Антонина"/>
    <d v="2026-08-31T16:42:40"/>
    <m/>
    <m/>
    <n v="79148895040"/>
    <m/>
    <m/>
    <m/>
    <m/>
    <m/>
    <m/>
    <m/>
    <m/>
    <m/>
    <m/>
    <m/>
    <m/>
    <s v="rsk@rsktrade.ru, assistant@rsktrade.ru"/>
    <m/>
    <m/>
    <m/>
    <m/>
    <m/>
    <m/>
    <m/>
    <m/>
    <m/>
    <m/>
    <m/>
    <m/>
    <m/>
    <m/>
    <m/>
    <s v="нас. пункт Иркутск г"/>
    <d v="2026-07-01T00:00:00"/>
    <s v="Да"/>
    <m/>
    <s v="Иркутская область 0 часов"/>
    <m/>
    <m/>
    <s v="Нет"/>
    <s v="e19f90ff-deec-45ee-b092-7d07d0bba880"/>
    <n v="123625"/>
    <m/>
    <s v="ООО &quot;РЕГИОНСТРОЙКОМПЛЕКТ&quot; 3848001367#"/>
    <s v="Клиент"/>
    <m/>
    <s v="ROBOT"/>
    <m/>
    <m/>
    <m/>
    <s v="Российский рубль"/>
    <s v="Здравствуйте, отправьте закрывающие документы. Оплатили счет №№ФРДТ-014933 от 02.07.2026 за передачу неисключительных имущественных прав (Лицензия). Без налога (НДС) на сумму 3800,00р. За ранее спасибо."/>
    <s v="ROBOT_M"/>
    <d v="2021-07-07T09:11:21"/>
    <s v="ROBOT_UT"/>
    <d v="2026-09-01T00:13:16"/>
    <m/>
    <n v="221857990175"/>
    <m/>
    <m/>
    <m/>
    <m/>
    <m/>
    <m/>
    <m/>
    <m/>
    <m/>
    <m/>
    <m/>
    <m/>
    <m/>
    <s v="finance@rsktrade.ru, regstrokom@mail.ru, snab12@rsktrade.ru, rsk@rsktrade.ru, buh@rsktrade.ru, buh1@rsktrade.ru"/>
    <m/>
    <s v="zamgb@rsktrade.ru, finance@rsktrade.ru"/>
    <m/>
    <m/>
    <m/>
    <m/>
    <m/>
    <m/>
    <m/>
    <m/>
    <m/>
    <m/>
    <m/>
    <m/>
    <m/>
    <m/>
    <n v="0"/>
    <s v="finance@rsktrade.ru"/>
    <d v="2009-05-07T00:00:00"/>
    <m/>
    <s v="46.69.5 Торговля оптовая производственным электротехническим оборудованием, машинами, аппаратурой и материалами"/>
    <m/>
    <s v="Нет"/>
    <d v="2014-12-17T00:00:00"/>
    <d v="2025-07-31T00:00:00"/>
    <s v="РСК ООО"/>
    <s v="РП МАРКОВА,"/>
    <n v="3848001367"/>
    <m/>
    <m/>
    <m/>
    <m/>
    <s v="buh@rsktrade.ru"/>
    <m/>
    <m/>
    <m/>
    <m/>
    <s v="Коммерческие"/>
    <s v="ООО"/>
    <n v="35878"/>
    <s v="Иркутская область 0 часов"/>
    <m/>
    <m/>
    <m/>
    <m/>
    <m/>
    <m/>
    <m/>
    <m/>
    <s v="Нет"/>
    <s v="Торговля. Прочая"/>
    <m/>
    <m/>
    <m/>
    <s v="d04553a1-2f71-11e0-ae0e-0026554f9a5c"/>
  </r>
  <r>
    <n v="320056"/>
    <s v="ЦП. 1С. Продажи"/>
    <s v="Y"/>
    <s v="N"/>
    <x v="3"/>
    <m/>
    <m/>
    <m/>
    <m/>
    <m/>
    <s v="Федосеев Максим"/>
    <s v="ONE_C"/>
    <s v="ООО &quot;РЕГИОНСТРОЙКОМПЛЕКТ&quot; 3848001367# - 1С: Управление торговлей"/>
    <s v="Продажа"/>
    <s v="CRM-форма"/>
    <s v="ЦП.1С. Продукты и сервисы"/>
    <n v="527200"/>
    <s v="Российский рубль"/>
    <s v="ООО &quot;РЕГИОНСТРОЙКОМПЛЕКТ&quot; 3848001367#"/>
    <s v="Анна"/>
    <m/>
    <s v="нет"/>
    <d v="2026-08-27T17:20:27"/>
    <s v="Федосеев Максим"/>
    <d v="2026-09-02T15:30:04"/>
    <s v="Федосеев Максим"/>
    <d v="2026-08-27T00:00:00"/>
    <d v="2026-09-03T00:00:00"/>
    <s v="1С:Предприятие 8 ПРОФ. Клиентская лицензия на 100 рабочих мест. Электронная поставка (&lt;&gt;)"/>
    <n v="527200"/>
    <n v="1"/>
    <m/>
    <m/>
    <m/>
    <m/>
    <n v="42"/>
    <n v="14748"/>
    <d v="2026-08-27T17:30:06"/>
    <m/>
    <m/>
    <m/>
    <m/>
    <m/>
    <m/>
    <s v="Договор-оферта"/>
    <s v="Нет"/>
    <n v="1"/>
    <s v="assistant@rsktrade.ru"/>
    <n v="79148895040"/>
    <m/>
    <m/>
    <s v="ЦП. 1С и ИТС. Коммерция"/>
    <m/>
    <m/>
    <m/>
    <m/>
    <m/>
    <m/>
    <n v="0"/>
    <s v="Анна"/>
    <m/>
    <m/>
    <m/>
    <n v="8"/>
    <m/>
    <s v="ФРДТ-019089"/>
    <m/>
    <s v="ЦП. 1С. Коммерция"/>
    <m/>
    <m/>
    <m/>
    <m/>
    <d v="2026-08-27T00:00:00"/>
    <m/>
    <m/>
    <s v="[CO]ООО НПФ &quot;ФОРУС&quot; 3812023430#"/>
    <s v="Сублицензионный"/>
    <m/>
    <m/>
    <m/>
    <m/>
    <m/>
    <s v="Обычный"/>
    <m/>
    <m/>
    <s v="#Загружено из Битрикс-Коробка#"/>
    <m/>
    <m/>
    <n v="267342"/>
    <s v="1С 8 УТ;1С КлЛиц ПРОФ;1С СервЛиц ПРОФ"/>
    <m/>
    <m/>
    <m/>
    <m/>
    <m/>
    <m/>
    <s v="Не было отгрузок"/>
    <m/>
    <m/>
    <m/>
    <m/>
    <s v="Нет"/>
    <m/>
    <m/>
    <m/>
    <m/>
    <m/>
    <m/>
    <m/>
    <m/>
    <m/>
    <m/>
    <s v="1С Программы и лицензии"/>
    <s v="1С: Управление торговлей"/>
    <s v="Эл. Поставка"/>
    <s v="Не нужно"/>
    <m/>
    <m/>
    <m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9-02T15:30:00"/>
    <d v="2026-09-02T16:44:08"/>
    <m/>
    <m/>
    <m/>
    <m/>
    <m/>
    <m/>
    <m/>
    <m/>
    <m/>
    <m/>
    <m/>
    <m/>
    <m/>
    <m/>
    <m/>
    <m/>
    <m/>
    <m/>
    <m/>
    <n v="394902"/>
    <m/>
    <m/>
    <s v="Анна"/>
    <m/>
    <m/>
    <m/>
    <m/>
    <s v="Клиенты"/>
    <s v="ROBOT"/>
    <m/>
    <s v="Звонок"/>
    <s v="Звонок поступил на номер: ЦП 78-00-00 (62)."/>
    <s v="Да"/>
    <s v="Федорова Анастасия"/>
    <d v="2026-07-01T11:28:06"/>
    <s v="Багланова Антонина"/>
    <d v="2026-08-31T16:42:40"/>
    <m/>
    <m/>
    <n v="79148895040"/>
    <m/>
    <m/>
    <m/>
    <m/>
    <m/>
    <m/>
    <m/>
    <m/>
    <m/>
    <m/>
    <m/>
    <m/>
    <s v="rsk@rsktrade.ru, assistant@rsktrade.ru"/>
    <m/>
    <m/>
    <m/>
    <m/>
    <m/>
    <m/>
    <m/>
    <m/>
    <m/>
    <m/>
    <m/>
    <m/>
    <m/>
    <m/>
    <m/>
    <s v="нас. пункт Иркутск г"/>
    <d v="2026-07-01T00:00:00"/>
    <s v="Да"/>
    <m/>
    <s v="Иркутская область 0 часов"/>
    <m/>
    <m/>
    <s v="Нет"/>
    <s v="e19f90ff-deec-45ee-b092-7d07d0bba880"/>
    <n v="123625"/>
    <m/>
    <s v="ООО &quot;РЕГИОНСТРОЙКОМПЛЕКТ&quot; 3848001367#"/>
    <s v="Клиент"/>
    <m/>
    <s v="ROBOT"/>
    <m/>
    <m/>
    <m/>
    <s v="Российский рубль"/>
    <s v="Здравствуйте, отправьте закрывающие документы. Оплатили счет №№ФРДТ-014933 от 02.07.2026 за передачу неисключительных имущественных прав (Лицензия). Без налога (НДС) на сумму 3800,00р. За ранее спасибо."/>
    <s v="ROBOT_M"/>
    <d v="2021-07-07T09:11:21"/>
    <s v="ROBOT_UT"/>
    <d v="2026-09-01T00:13:16"/>
    <m/>
    <n v="221857990175"/>
    <m/>
    <m/>
    <m/>
    <m/>
    <m/>
    <m/>
    <m/>
    <m/>
    <m/>
    <m/>
    <m/>
    <m/>
    <m/>
    <s v="finance@rsktrade.ru, regstrokom@mail.ru, snab12@rsktrade.ru, rsk@rsktrade.ru, buh@rsktrade.ru, buh1@rsktrade.ru"/>
    <m/>
    <s v="zamgb@rsktrade.ru, finance@rsktrade.ru"/>
    <m/>
    <m/>
    <m/>
    <m/>
    <m/>
    <m/>
    <m/>
    <m/>
    <m/>
    <m/>
    <m/>
    <m/>
    <m/>
    <m/>
    <n v="0"/>
    <s v="finance@rsktrade.ru"/>
    <d v="2009-05-07T00:00:00"/>
    <m/>
    <s v="46.69.5 Торговля оптовая производственным электротехническим оборудованием, машинами, аппаратурой и материалами"/>
    <m/>
    <s v="Нет"/>
    <d v="2014-12-17T00:00:00"/>
    <d v="2025-07-31T00:00:00"/>
    <s v="РСК ООО"/>
    <s v="РП МАРКОВА,"/>
    <n v="3848001367"/>
    <m/>
    <m/>
    <m/>
    <m/>
    <s v="buh@rsktrade.ru"/>
    <m/>
    <m/>
    <m/>
    <m/>
    <s v="Коммерческие"/>
    <s v="ООО"/>
    <n v="35878"/>
    <s v="Иркутская область 0 часов"/>
    <m/>
    <m/>
    <m/>
    <m/>
    <m/>
    <m/>
    <m/>
    <m/>
    <s v="Нет"/>
    <s v="Торговля. Прочая"/>
    <m/>
    <m/>
    <m/>
    <s v="d04553a1-2f71-11e0-ae0e-0026554f9a5c"/>
  </r>
  <r>
    <n v="320047"/>
    <s v="ЦП. 1С. Продажи"/>
    <s v="Y"/>
    <s v="N"/>
    <x v="3"/>
    <m/>
    <m/>
    <m/>
    <m/>
    <m/>
    <s v="Соболев Максим"/>
    <s v="ONE_C"/>
    <s v="ИП Коноплич Алена Валерьевна 381900485091# - 1С Отраслевые решения"/>
    <s v="Продажа"/>
    <s v="Свой контакт (Менеджер)"/>
    <m/>
    <n v="23900"/>
    <s v="Российский рубль"/>
    <s v="ИП Коноплич Алена Валерьевна 381900485091#"/>
    <s v="Петрова Светлана Владимировна"/>
    <m/>
    <s v="нет"/>
    <d v="2026-08-27T16:53:33"/>
    <s v="Соболев Максим"/>
    <d v="2026-09-02T11:36:01"/>
    <s v="ROBOT"/>
    <d v="2026-08-27T00:00:00"/>
    <d v="2026-09-03T00:00:00"/>
    <s v="1С:Фитнес клуб. Клиентская лицензия на 1 рабочее место. Электронная поставка"/>
    <n v="23900"/>
    <n v="1"/>
    <m/>
    <m/>
    <m/>
    <m/>
    <m/>
    <n v="508"/>
    <d v="2026-09-02T10:49:09"/>
    <m/>
    <m/>
    <m/>
    <m/>
    <m/>
    <m/>
    <s v="Договор-оферта"/>
    <s v="Нет"/>
    <n v="1"/>
    <m/>
    <m/>
    <m/>
    <s v="Иркутск г"/>
    <s v="ЦП. 1С и ИТС. Коммерция"/>
    <m/>
    <m/>
    <m/>
    <m/>
    <m/>
    <m/>
    <n v="1"/>
    <m/>
    <m/>
    <m/>
    <m/>
    <n v="4"/>
    <m/>
    <s v="ФРДТ-019186"/>
    <m/>
    <s v="ЦП. 1С. Коммерция"/>
    <m/>
    <m/>
    <m/>
    <m/>
    <d v="2026-08-31T00:00:00"/>
    <m/>
    <m/>
    <s v="[CO]ООО НПФ &quot;ФОРУС&quot; 3812023430#"/>
    <s v="Сублицензионный"/>
    <m/>
    <m/>
    <s v="Коммерческие"/>
    <m/>
    <m/>
    <s v="Обычный"/>
    <m/>
    <m/>
    <s v="#Загружено из Битрикс-Коробка#"/>
    <m/>
    <m/>
    <m/>
    <s v="1С-Совместимо КлЛицензии"/>
    <m/>
    <m/>
    <m/>
    <m/>
    <m/>
    <m/>
    <s v="Не было отгрузок"/>
    <m/>
    <m/>
    <m/>
    <m/>
    <s v="Нет"/>
    <m/>
    <m/>
    <m/>
    <m/>
    <m/>
    <m/>
    <m/>
    <m/>
    <m/>
    <m/>
    <s v="1С Программы и лицензии"/>
    <s v="1С Отраслевые решения"/>
    <s v="Эл. Поставка"/>
    <s v="Не нужно"/>
    <m/>
    <m/>
    <m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9-02T10:49:11"/>
    <d v="2026-09-02T15:38:40"/>
    <s v="Завершен"/>
    <m/>
    <m/>
    <m/>
    <m/>
    <m/>
    <m/>
    <m/>
    <m/>
    <m/>
    <m/>
    <m/>
    <m/>
    <m/>
    <m/>
    <m/>
    <m/>
    <m/>
    <m/>
    <n v="209650"/>
    <m/>
    <m/>
    <s v="Светлана"/>
    <s v="Петрова"/>
    <s v="Владимировна"/>
    <m/>
    <m/>
    <m/>
    <s v="ROBOT"/>
    <s v="[Автор=Не авторизован][Редактор=БитриксКоробка]"/>
    <m/>
    <m/>
    <s v="Да"/>
    <s v="ROBOT_M"/>
    <d v="2021-07-10T01:00:54"/>
    <s v="ROBOT"/>
    <d v="2026-09-02T15:38:32"/>
    <m/>
    <n v="73952288852"/>
    <n v="79501128566"/>
    <m/>
    <m/>
    <m/>
    <m/>
    <m/>
    <m/>
    <m/>
    <m/>
    <m/>
    <m/>
    <m/>
    <m/>
    <s v="silasveta@rambler.ru"/>
    <m/>
    <m/>
    <m/>
    <m/>
    <m/>
    <m/>
    <m/>
    <m/>
    <m/>
    <m/>
    <m/>
    <m/>
    <m/>
    <m/>
    <m/>
    <s v="Иркутск г"/>
    <d v="2020-10-15T00:00:00"/>
    <s v="Да"/>
    <m/>
    <s v="Иркутская область 0 часов"/>
    <m/>
    <m/>
    <s v="Нет"/>
    <s v="3447936f-c705-48f8-8826-efd202bbd431"/>
    <n v="129966"/>
    <m/>
    <s v="ИП Коноплич Алена Валерьевна 381900485091#"/>
    <s v="Клиент"/>
    <m/>
    <s v="ROBOT"/>
    <m/>
    <m/>
    <m/>
    <s v="Российский рубль"/>
    <m/>
    <s v="ROBOT_M"/>
    <d v="2021-07-08T03:09:18"/>
    <s v="ROBOT_M"/>
    <d v="2026-09-02T11:37:22"/>
    <m/>
    <m/>
    <n v="79501128566"/>
    <m/>
    <m/>
    <m/>
    <m/>
    <m/>
    <m/>
    <m/>
    <m/>
    <m/>
    <m/>
    <m/>
    <m/>
    <s v="silasveta@rambler.ru"/>
    <m/>
    <m/>
    <m/>
    <m/>
    <m/>
    <m/>
    <m/>
    <m/>
    <m/>
    <m/>
    <m/>
    <m/>
    <m/>
    <m/>
    <m/>
    <m/>
    <n v="6"/>
    <s v="silasveta@rambler.ru"/>
    <m/>
    <m/>
    <s v="96.04 Деятельность физкультурно- оздоровительная"/>
    <m/>
    <s v="Нет"/>
    <d v="2019-02-07T00:00:00"/>
    <d v="2019-02-07T00:00:00"/>
    <s v="ИП Коноплич Алена Валерьевна"/>
    <s v="Иркутск г"/>
    <n v="381900485091"/>
    <m/>
    <m/>
    <m/>
    <m/>
    <s v="silasveta@rambler.ru"/>
    <m/>
    <m/>
    <m/>
    <m/>
    <s v="Коммерческие"/>
    <s v="ИП"/>
    <n v="90733"/>
    <s v="Иркутская область 0 часов"/>
    <m/>
    <m/>
    <m/>
    <m/>
    <m/>
    <m/>
    <m/>
    <m/>
    <s v="Нет"/>
    <s v="Здравоохранение"/>
    <m/>
    <m/>
    <m/>
    <s v="a92c1281-05cc-11e5-9f45-0026554f9a58"/>
  </r>
  <r>
    <n v="320046"/>
    <s v="ЦП. 1С. Продажи"/>
    <s v="Y"/>
    <s v="N"/>
    <x v="0"/>
    <m/>
    <m/>
    <m/>
    <m/>
    <m/>
    <s v="Россинский Вадим"/>
    <s v="ONE_C"/>
    <s v="ООО &quot;БАУМАРКЕТ&quot; 3827026836# - 1С КП и Сервисы"/>
    <s v="Продажа"/>
    <s v="Почта электронная"/>
    <m/>
    <n v="29004"/>
    <s v="Российский рубль"/>
    <s v="ООО &quot;БАУМАРКЕТ&quot; 3827026836#"/>
    <s v="Плотников Глеб Станиславович"/>
    <m/>
    <s v="нет"/>
    <d v="2026-08-27T16:53:11"/>
    <s v="Россинский Вадим"/>
    <d v="2026-09-02T12:44:09"/>
    <s v="ROBOT"/>
    <d v="2026-08-27T00:00:00"/>
    <d v="2026-09-03T00:00:00"/>
    <s v="1С:КП Базовый на 12 месяцев"/>
    <n v="29004"/>
    <n v="1"/>
    <m/>
    <m/>
    <m/>
    <m/>
    <m/>
    <n v="5"/>
    <d v="2026-09-02T09:18:29"/>
    <m/>
    <m/>
    <m/>
    <m/>
    <m/>
    <m/>
    <s v="Договор-оферта"/>
    <s v="Нет"/>
    <n v="1"/>
    <m/>
    <m/>
    <m/>
    <s v="СЕЛО ПИВОВАРИХА,"/>
    <s v="ЦП. 1С и ИТС. Коммерция"/>
    <m/>
    <m/>
    <m/>
    <d v="2026-09-02T00:00:00"/>
    <d v="2027-09-01T00:00:00"/>
    <m/>
    <m/>
    <m/>
    <m/>
    <m/>
    <m/>
    <n v="2"/>
    <s v="/upload/crm/68e/li78lun0da8mh7llybbvh3cpshyut5n2/Договор-оферта.txt"/>
    <s v="ФРДТ-019081"/>
    <m/>
    <s v="ЦП. 1С. Коммерция"/>
    <m/>
    <m/>
    <m/>
    <m/>
    <d v="2026-08-27T00:00:00"/>
    <m/>
    <m/>
    <s v="[CO]ООО НПФ &quot;ФОРУС&quot; 3812023430#"/>
    <s v="Сервисы"/>
    <m/>
    <m/>
    <s v="Коммерческие"/>
    <m/>
    <m/>
    <s v="Обычный"/>
    <m/>
    <s v="Да"/>
    <s v="#Загружено из Битрикс-Коробка#"/>
    <d v="2026-09-01T00:00:00"/>
    <m/>
    <m/>
    <s v="ИТС КП Базовый"/>
    <m/>
    <m/>
    <n v="12"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 КП Базовый"/>
    <s v="Контроль сделк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m/>
    <m/>
    <s v="Не было отгрузок"/>
    <m/>
    <s v="Оформлена подписка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сделки"/>
    <m/>
    <m/>
    <m/>
    <m/>
    <m/>
    <d v="2026-09-02T12:42:27"/>
    <d v="2026-09-01T14:51:10"/>
    <m/>
    <m/>
    <m/>
    <m/>
    <m/>
    <m/>
    <m/>
    <m/>
    <m/>
    <m/>
    <m/>
    <m/>
    <m/>
    <m/>
    <m/>
    <m/>
    <m/>
    <m/>
    <m/>
    <n v="208852"/>
    <m/>
    <m/>
    <s v="Глеб"/>
    <s v="Плотников"/>
    <s v="Станиславович"/>
    <m/>
    <m/>
    <m/>
    <s v="ROBOT"/>
    <s v="[Автор=WEBITIL][Редактор=БитриксКоробка]"/>
    <s v="Звонок"/>
    <s v="Звонок поступил на номер: ЦП Общий 78-00-00 (62)."/>
    <s v="Да"/>
    <s v="ROBOT_M"/>
    <d v="2021-07-10T00:52:52"/>
    <s v="Дунаевская Светлана"/>
    <d v="2026-08-08T06:44:39"/>
    <m/>
    <m/>
    <n v="158960567556"/>
    <m/>
    <m/>
    <m/>
    <m/>
    <m/>
    <m/>
    <m/>
    <m/>
    <m/>
    <m/>
    <m/>
    <m/>
    <s v="lambard999@bk.ru, plotnikovgs@gmail.com, fyntik900@mail.ru"/>
    <m/>
    <m/>
    <m/>
    <m/>
    <m/>
    <m/>
    <m/>
    <m/>
    <m/>
    <m/>
    <m/>
    <m/>
    <m/>
    <m/>
    <m/>
    <s v="Иркутск г"/>
    <d v="2019-01-16T00:00:00"/>
    <s v="Да"/>
    <m/>
    <s v="Иркутская область 0 часов"/>
    <m/>
    <m/>
    <s v="Нет"/>
    <s v="425ce2db-d599-11e7-b231-0026554f9a58"/>
    <n v="197826"/>
    <m/>
    <s v="ООО &quot;БАУМАРКЕТ&quot; 3827026836#"/>
    <s v="Клиент"/>
    <m/>
    <s v="ROBOT"/>
    <m/>
    <m/>
    <m/>
    <s v="Российский рубль"/>
    <s v="[p] Данные из БУХМАСТЕР: Доверенность до:22.11.2024 Сфера деятельности: Кол-во сотрудников: Где база:УФА СНО:УСН15% Тариф договора: Периодичность запроса первички: Ежемесячно Доступ в банк: Да Адрей банк-клиента: [url]https://link.alfabank.ru/dashboard/[/url] [/p] [p] Налич [/p]"/>
    <s v="ROBOT_M"/>
    <d v="2022-05-06T11:25:41"/>
    <s v="ROBOT_UT"/>
    <d v="2026-09-02T12:44:09"/>
    <m/>
    <m/>
    <n v="79025162210"/>
    <m/>
    <m/>
    <m/>
    <m/>
    <m/>
    <m/>
    <m/>
    <m/>
    <m/>
    <m/>
    <m/>
    <m/>
    <s v="baumarkett@mail.ru"/>
    <m/>
    <m/>
    <m/>
    <m/>
    <m/>
    <m/>
    <m/>
    <m/>
    <m/>
    <m/>
    <m/>
    <s v="imol|ank_chats_app24_telegram|47|private-6417029482h3009785467146898574|22015"/>
    <m/>
    <m/>
    <n v="22015"/>
    <m/>
    <n v="0"/>
    <s v="baumarkett@mail.ru"/>
    <d v="2008-01-09T00:00:00"/>
    <m/>
    <s v="46.73.6 Торговля оптовая прочими строительными материалами и изделиями"/>
    <m/>
    <s v="Нет"/>
    <m/>
    <m/>
    <s v="БАУМАРКЕТ ООО"/>
    <s v="СЕЛО ПИВОВАРИХА,"/>
    <n v="3827026836"/>
    <s v="6. УСН: Доходы - Расходы + НДС"/>
    <m/>
    <m/>
    <m/>
    <s v="baumarkett@mail.ru"/>
    <m/>
    <m/>
    <s v="Свой контакт (Менеджер)"/>
    <m/>
    <s v="Коммерческие"/>
    <s v="ООО"/>
    <n v="91891"/>
    <s v="Иркутская область 0 часов"/>
    <m/>
    <s v="Иркутск"/>
    <s v="БО. Комплексный сервис"/>
    <m/>
    <m/>
    <m/>
    <n v="12"/>
    <s v="Рабочая группа № 5"/>
    <s v="Нет"/>
    <s v="Торговля. Прочая"/>
    <m/>
    <m/>
    <m/>
    <s v="23396380-8730-4cc6-8eaa-a82d76573be9"/>
  </r>
  <r>
    <n v="320039"/>
    <s v="ЦП. 1С. Продажи"/>
    <s v="N"/>
    <s v="N"/>
    <x v="4"/>
    <m/>
    <m/>
    <m/>
    <m/>
    <m/>
    <s v="Россинский Вадим"/>
    <m/>
    <s v="ООО Актив"/>
    <s v="Продажа"/>
    <s v="Звонок"/>
    <s v="Звонок поступил на номер: ЦП 78-00-00 (62)."/>
    <s v="0.00"/>
    <s v="Российский рубль"/>
    <s v="ООО Актив"/>
    <s v="Вероника Вячеславовна"/>
    <m/>
    <s v="нет"/>
    <d v="2026-08-27T16:27:15"/>
    <s v="Шкаруба Кристина"/>
    <d v="2026-08-28T09:46:41"/>
    <s v="ROBOT"/>
    <d v="2026-08-27T00:00:00"/>
    <d v="2026-09-03T00:00:00"/>
    <m/>
    <m/>
    <m/>
    <m/>
    <m/>
    <m/>
    <m/>
    <m/>
    <n v="22154"/>
    <d v="2026-08-27T16:27:15"/>
    <m/>
    <m/>
    <m/>
    <m/>
    <m/>
    <m/>
    <m/>
    <s v="Нет"/>
    <n v="1"/>
    <s v="Aktiv-glavbux@yandex.ru"/>
    <n v="79042236469"/>
    <m/>
    <s v="Республика Коми"/>
    <s v="ЦП. 1С и ИТС. Коммерция"/>
    <m/>
    <m/>
    <m/>
    <m/>
    <m/>
    <m/>
    <m/>
    <s v="Вероника"/>
    <m/>
    <m/>
    <m/>
    <n v="1"/>
    <m/>
    <m/>
    <m/>
    <s v="ЦП. 1С. Коммерция"/>
    <m/>
    <m/>
    <m/>
    <m/>
    <m/>
    <m/>
    <m/>
    <m/>
    <m/>
    <m/>
    <m/>
    <m/>
    <m/>
    <m/>
    <s v="Обычный"/>
    <m/>
    <m/>
    <m/>
    <m/>
    <m/>
    <n v="260415"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s v="Необработанные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Необработанные"/>
    <m/>
    <m/>
    <m/>
    <m/>
    <m/>
    <d v="2026-08-27T16:27:15"/>
    <d v="2026-08-28T17:23:48"/>
    <m/>
    <m/>
    <m/>
    <m/>
    <m/>
    <m/>
    <m/>
    <m/>
    <m/>
    <m/>
    <m/>
    <m/>
    <m/>
    <m/>
    <m/>
    <m/>
    <m/>
    <m/>
    <m/>
    <n v="398708"/>
    <m/>
    <m/>
    <s v="Вероника"/>
    <m/>
    <s v="Вячеславовна"/>
    <m/>
    <m/>
    <s v="Клиенты"/>
    <s v="ROBOT"/>
    <m/>
    <s v="Звонок"/>
    <s v="Звонок поступил на номер: ЦП 78-00-00 (62)."/>
    <s v="Да"/>
    <s v="Шкаруба Кристина"/>
    <d v="2026-08-27T16:27:15"/>
    <s v="ROBOT"/>
    <d v="2026-08-27T16:27:15"/>
    <m/>
    <m/>
    <n v="79042236469"/>
    <m/>
    <m/>
    <m/>
    <m/>
    <m/>
    <m/>
    <m/>
    <m/>
    <m/>
    <m/>
    <m/>
    <m/>
    <s v="Aktiv-glavbux@yandex.ru"/>
    <m/>
    <m/>
    <m/>
    <m/>
    <m/>
    <m/>
    <m/>
    <m/>
    <m/>
    <m/>
    <m/>
    <m/>
    <m/>
    <m/>
    <m/>
    <s v="Республика Коми"/>
    <d v="2026-08-27T00:00:00"/>
    <s v="Да"/>
    <m/>
    <m/>
    <m/>
    <m/>
    <s v="Нет"/>
    <m/>
    <n v="258586"/>
    <m/>
    <s v="ООО Актив"/>
    <s v="Клиент"/>
    <s v="менее 50"/>
    <s v="ROBOT"/>
    <m/>
    <s v="Информационные технологии"/>
    <s v="0.00"/>
    <s v="Российский рубль"/>
    <m/>
    <s v="Шкаруба Кристина"/>
    <d v="2026-08-27T16:27:14"/>
    <s v="ROBOT_M"/>
    <d v="2026-08-27T16:27:15"/>
    <m/>
    <m/>
    <n v="79042236469"/>
    <m/>
    <m/>
    <m/>
    <m/>
    <m/>
    <m/>
    <m/>
    <m/>
    <m/>
    <m/>
    <m/>
    <m/>
    <s v="Aktiv-glavbux@yandex.ru"/>
    <m/>
    <m/>
    <m/>
    <m/>
    <m/>
    <m/>
    <m/>
    <m/>
    <m/>
    <m/>
    <m/>
    <m/>
    <m/>
    <m/>
    <m/>
    <m/>
    <m/>
    <m/>
    <m/>
    <m/>
    <m/>
    <m/>
    <s v="Нет"/>
    <m/>
    <m/>
    <m/>
    <s v="Республика Коми"/>
    <m/>
    <m/>
    <m/>
    <m/>
    <m/>
    <m/>
    <m/>
    <m/>
    <s v="Звонок"/>
    <m/>
    <m/>
    <m/>
    <m/>
    <m/>
    <m/>
    <m/>
    <m/>
    <s v="Нет"/>
    <m/>
    <m/>
    <m/>
    <m/>
    <s v="Нет"/>
    <m/>
    <m/>
    <s v="Звонок поступил на номер: ЦП 78-00-00 (62)."/>
    <m/>
    <m/>
  </r>
  <r>
    <n v="320030"/>
    <s v="ЦП. 1С. Продажи"/>
    <s v="N"/>
    <s v="N"/>
    <x v="0"/>
    <m/>
    <m/>
    <m/>
    <m/>
    <m/>
    <s v="Соболев Максим"/>
    <s v="ONE_C"/>
    <s v="ООО &quot;ИКПБ-38&quot; 3804124114# 1С КП и Сервисы"/>
    <s v="Продажа"/>
    <s v="Свой контакт (Менеджер)"/>
    <m/>
    <n v="1400"/>
    <s v="Российский рубль"/>
    <s v="ООО &quot;ИКПБ-38&quot; 3804124114#"/>
    <s v="Айвазян Элона"/>
    <m/>
    <s v="нет"/>
    <d v="2026-08-27T16:09:42"/>
    <s v="Соболев Максим"/>
    <d v="2026-09-02T11:51:54"/>
    <s v="Смирнова Дарья"/>
    <d v="2026-08-27T00:00:00"/>
    <d v="2026-09-03T00:00:00"/>
    <s v="1С-ЭДО. ЭПД-200 на 12 месяцев"/>
    <n v="1400"/>
    <n v="1"/>
    <m/>
    <m/>
    <m/>
    <m/>
    <m/>
    <n v="5"/>
    <d v="2026-09-01T11:52:02"/>
    <m/>
    <m/>
    <m/>
    <m/>
    <m/>
    <m/>
    <s v="Договор-оферта"/>
    <s v="Нет"/>
    <n v="1"/>
    <s v="ikpb-38@mail.ru"/>
    <m/>
    <m/>
    <s v="г Братск"/>
    <s v="ЦП. 1С и ИТС. Коммерция"/>
    <m/>
    <m/>
    <m/>
    <d v="2026-09-01T00:00:00"/>
    <d v="2027-08-31T00:00:00"/>
    <m/>
    <n v="0"/>
    <m/>
    <m/>
    <m/>
    <m/>
    <n v="2"/>
    <s v="/upload/crm/fcd/co7roig4nk0vypi3ufuvorkir5tr393d/Договор-оферта.txt"/>
    <s v="ФРДТ-019069"/>
    <m/>
    <s v="ЦП. 1С. Коммерция"/>
    <m/>
    <m/>
    <m/>
    <m/>
    <d v="2026-08-27T00:00:00"/>
    <m/>
    <m/>
    <s v="[CO]ООО НПФ &quot;ФОРУС&quot; 3812023430#"/>
    <s v="Сервисы"/>
    <m/>
    <m/>
    <s v="Коммерческие"/>
    <m/>
    <m/>
    <s v="Обычный"/>
    <m/>
    <s v="Да"/>
    <s v="#Загружено из Битрикс-Коробка# фреш не у нас, оформлено"/>
    <d v="2026-08-31T00:00:00"/>
    <m/>
    <m/>
    <s v="1С-ЭДО ЭПД"/>
    <m/>
    <m/>
    <n v="12"/>
    <m/>
    <m/>
    <m/>
    <s v="Не было отгрузок"/>
    <m/>
    <m/>
    <m/>
    <m/>
    <s v="Нет"/>
    <m/>
    <m/>
    <m/>
    <m/>
    <m/>
    <s v="FR1330726"/>
    <m/>
    <m/>
    <m/>
    <m/>
    <s v="1С КП и Сервисы"/>
    <m/>
    <m/>
    <s v="Не нужно"/>
    <m/>
    <m/>
    <s v="1С-ЭПД"/>
    <s v="Контроль сделк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сделки"/>
    <m/>
    <m/>
    <m/>
    <m/>
    <m/>
    <d v="2026-09-02T11:52:10"/>
    <d v="2026-08-28T15:45:01"/>
    <s v="Завершен"/>
    <m/>
    <m/>
    <m/>
    <s v="Завершен"/>
    <m/>
    <m/>
    <m/>
    <m/>
    <m/>
    <m/>
    <m/>
    <m/>
    <m/>
    <m/>
    <m/>
    <m/>
    <m/>
    <m/>
    <n v="352908"/>
    <m/>
    <m/>
    <s v="Элона"/>
    <s v="Айвазян"/>
    <m/>
    <m/>
    <m/>
    <s v="Клиенты"/>
    <s v="ROBOT"/>
    <s v="[p] Заказ на сайте [url=https://its.1c.ru]its.1c.ru[/url] ORD260826-1787720657 [/p] [p] a:hover, a:active{color:#16489b;text-decoration:underline} #mail-message-wrapper a:hover, #mail-message-wrapper a:active{color:#16489b;text-decoration:underline} [b]Новый заказ на сайте [/b][url=https://its.1c.ru][b]its.1c.ru[/b][/url] [/p] [p] Уважаемый партнер! [/p] [p] [/p] [p] Вы получили новый заказ на сайте [url=https://its.1c.ru]its.1c.ru[/url]: [/p] [p] Номер заказа: ORD260826-1787720657 Источник: [url=https://its.1c.ru]its.1c.ru[/url], ЭПД Время отправки: 2026-08-26 13:04:17 Контактное лицо: Элона Телефон: 89041492928 E-mail: [url=mailto:van-irk@inbox.ru]van-irk@inbox.ru[/url] ИНН/ЕДРПОУ: Регион (город): Иркутская область, Иркутск Комментарий: Заказ сервиса 1С-ЭПД [/p] [p] Внимательно ознакомьтесь с правилами обработки заказа в [url=https://its.1c.ru/db/partnerits#content:1636:hdoc]справочнике партнера[/url]. [/p] [p] 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[*]В течение 1 рабочего часа с момента получения заказа свяжитесь с клиентом, уточните заказ и поставьте отметку о том, что вы приняли заказ в работу.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 [/p] [p] Вопросы по обработке заказа присылайте на электронную почту [url=mailto:web-its@1c.ru]web-its@1c.ru[/url]. [/p] [p] [/p] [p][/p] [p] С уважением, администрация сайта [url=https://its.1c.ru/]its.1c.ru[/url]. [/p]"/>
    <s v="Свой контакт (Менеджер)"/>
    <m/>
    <s v="Да"/>
    <s v="ROBOT_UT"/>
    <d v="2024-12-20T13:54:58"/>
    <s v="ROBOT_UT"/>
    <d v="2026-08-30T06:44:20"/>
    <m/>
    <m/>
    <n v="79041492928"/>
    <m/>
    <m/>
    <m/>
    <m/>
    <m/>
    <m/>
    <m/>
    <m/>
    <m/>
    <m/>
    <m/>
    <m/>
    <s v="van-irk@inbox.ru, ikpb-38@mail.ru"/>
    <m/>
    <m/>
    <m/>
    <m/>
    <m/>
    <m/>
    <m/>
    <m/>
    <m/>
    <m/>
    <m/>
    <m/>
    <m/>
    <m/>
    <m/>
    <s v="г Иркутск"/>
    <d v="2024-12-20T00:00:00"/>
    <s v="Да"/>
    <m/>
    <s v="Иркутская область 0 часов"/>
    <m/>
    <m/>
    <s v="Нет"/>
    <s v="f7358813-3d7c-4db8-b068-a729c1662c50"/>
    <n v="258547"/>
    <m/>
    <s v="ООО &quot;ИКПБ-38&quot; 3804124114#"/>
    <s v="Клиент"/>
    <s v="менее 50"/>
    <s v="ROBOT"/>
    <m/>
    <s v="Информационные технологии"/>
    <s v="0.00"/>
    <s v="Российский рубль"/>
    <m/>
    <s v="Соболев Максим"/>
    <d v="2026-08-27T11:51:38"/>
    <s v="ROBOT_UT"/>
    <d v="2026-09-02T09:34:24"/>
    <m/>
    <m/>
    <m/>
    <m/>
    <m/>
    <m/>
    <m/>
    <m/>
    <m/>
    <m/>
    <m/>
    <m/>
    <m/>
    <m/>
    <m/>
    <s v="ikpb-38@mail.ru"/>
    <m/>
    <m/>
    <m/>
    <m/>
    <m/>
    <m/>
    <m/>
    <m/>
    <m/>
    <m/>
    <m/>
    <m/>
    <m/>
    <m/>
    <m/>
    <m/>
    <n v="0"/>
    <s v="ikpb-38@mail.ru"/>
    <d v="2026-04-14T00:00:00"/>
    <m/>
    <s v="42.11 Строительство автомобильных дорог и автомагистралей"/>
    <m/>
    <s v="Нет"/>
    <m/>
    <m/>
    <s v="ИКПБ-38 ООО"/>
    <s v="г Братск"/>
    <n v="3804124114"/>
    <m/>
    <m/>
    <m/>
    <m/>
    <s v="ikpb-38@mail.ru"/>
    <m/>
    <m/>
    <s v="Свой контакт (Менеджер)"/>
    <m/>
    <s v="Коммерческие"/>
    <s v="ООО"/>
    <n v="129114"/>
    <s v="Иркутская область 0 часов"/>
    <m/>
    <m/>
    <m/>
    <s v="Нет"/>
    <m/>
    <m/>
    <m/>
    <m/>
    <s v="Нет"/>
    <s v="Строительство"/>
    <m/>
    <m/>
    <m/>
    <s v="08198058-2b8f-40d7-b2b6-35a91ba72ad7"/>
  </r>
  <r>
    <n v="320025"/>
    <s v="ЦП. УЦ. Продажи"/>
    <s v="N"/>
    <s v="Y"/>
    <x v="7"/>
    <m/>
    <s v="Шкуренко Дарья"/>
    <m/>
    <m/>
    <m/>
    <s v="Федорова Анастасия"/>
    <s v="ONE_C"/>
    <s v="1С-Отчётность. ООО &quot;МЕДДИФФ-ЛЛМ&quot; 3808301188#"/>
    <s v="Продажа"/>
    <s v="Звонок"/>
    <s v="Звонок поступил на номер: ЦКС. Основной 78-23-08 (94)."/>
    <n v="7600"/>
    <s v="Российский рубль"/>
    <s v="ООО &quot;МЕДДИФФ-ЛЛМ&quot; 3808301188#"/>
    <s v="Ольга Викторовна"/>
    <m/>
    <s v="нет"/>
    <d v="2026-08-27T15:50:28"/>
    <s v="Федорова Анастасия"/>
    <d v="2026-09-02T15:20:31"/>
    <s v="Федорова Анастасия"/>
    <d v="2026-08-27T00:00:00"/>
    <d v="2026-09-03T00:00:00"/>
    <s v="ПО &quot;Астрал-Отчетность&quot; (сроком на 1 год) 1 юр. лицо (&lt;&gt;)"/>
    <n v="7600"/>
    <n v="1"/>
    <m/>
    <m/>
    <m/>
    <m/>
    <m/>
    <n v="6346"/>
    <d v="2026-08-31T09:50:26"/>
    <m/>
    <m/>
    <m/>
    <m/>
    <m/>
    <m/>
    <s v="Договор-оферта"/>
    <s v="Нет"/>
    <n v="1"/>
    <m/>
    <n v="79025151541"/>
    <m/>
    <m/>
    <s v="ЦП. 1С и ИТС. Коммерция"/>
    <d v="2026-10-08T00:00:00"/>
    <m/>
    <m/>
    <m/>
    <m/>
    <m/>
    <n v="1"/>
    <m/>
    <m/>
    <m/>
    <m/>
    <n v="12"/>
    <s v="/upload/crm/b2d/7r7y3uzcy6lovjb9a5t02gdba262qijn/Договор-оферта.txt"/>
    <s v="ФРДТ-019063"/>
    <m/>
    <s v="ЦП. 1С. Коммерция"/>
    <m/>
    <m/>
    <m/>
    <m/>
    <d v="2026-08-27T00:00:00"/>
    <m/>
    <m/>
    <s v="[CO]ООО НПФ &quot;ФОРУС&quot; 3812023430#"/>
    <s v="Сервисы"/>
    <s v="Почта России"/>
    <s v="Доступ в сервисе"/>
    <m/>
    <m/>
    <m/>
    <s v="Обычный"/>
    <m/>
    <m/>
    <s v="#Загружено из Битрикс-Коробка#"/>
    <d v="2026-08-28T00:00:00"/>
    <m/>
    <n v="267297"/>
    <s v="1С-Отч Конечным пользователям"/>
    <m/>
    <m/>
    <m/>
    <m/>
    <m/>
    <m/>
    <s v="Не было отгрузок"/>
    <m/>
    <m/>
    <m/>
    <m/>
    <s v="Нет"/>
    <m/>
    <m/>
    <m/>
    <m/>
    <m/>
    <m/>
    <m/>
    <m/>
    <m/>
    <m/>
    <s v="УЦ"/>
    <m/>
    <m/>
    <s v="Не нужно"/>
    <m/>
    <m/>
    <m/>
    <m/>
    <m/>
    <m/>
    <m/>
    <m/>
    <s v="1С-Отчётность"/>
    <m/>
    <s v="Оплаче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Оплачено"/>
    <m/>
    <m/>
    <m/>
    <m/>
    <m/>
    <d v="2026-09-02T15:20:00"/>
    <d v="2026-08-28T16:45:04"/>
    <m/>
    <m/>
    <m/>
    <m/>
    <m/>
    <m/>
    <m/>
    <m/>
    <m/>
    <m/>
    <m/>
    <m/>
    <m/>
    <m/>
    <m/>
    <m/>
    <m/>
    <m/>
    <m/>
    <n v="255154"/>
    <m/>
    <m/>
    <s v="Викторовна"/>
    <s v="Ольга"/>
    <m/>
    <m/>
    <m/>
    <m/>
    <s v="ROBOT"/>
    <s v="&amp;#91;Автор=Смирнова Дарья Андреевна&amp;#93;&amp;#91;Редактор=БитриксКоробка&amp;#93;"/>
    <m/>
    <m/>
    <s v="Да"/>
    <s v="ROBOT_M"/>
    <d v="2021-08-05T11:12:22"/>
    <s v="ROBOT_UT"/>
    <d v="2026-08-29T06:44:36"/>
    <m/>
    <m/>
    <n v="79025151541"/>
    <m/>
    <m/>
    <m/>
    <m/>
    <m/>
    <m/>
    <m/>
    <m/>
    <m/>
    <m/>
    <m/>
    <m/>
    <s v="unitstroy@yahoo.com, yaru-olga@yandex.ru"/>
    <m/>
    <m/>
    <m/>
    <m/>
    <m/>
    <m/>
    <m/>
    <m/>
    <m/>
    <m/>
    <m/>
    <m/>
    <m/>
    <m/>
    <m/>
    <m/>
    <d v="2021-02-03T00:00:00"/>
    <s v="Да"/>
    <m/>
    <s v="Иркутская область 0 часов"/>
    <m/>
    <m/>
    <s v="Нет"/>
    <s v="f1b73ab0-a37f-475f-917f-0d47c56bd363"/>
    <n v="258579"/>
    <m/>
    <s v="ООО &quot;МЕДДИФФ-ЛЛМ&quot; 3808301188#"/>
    <s v="Клиент"/>
    <s v="менее 50"/>
    <s v="ROBOT"/>
    <m/>
    <s v="Информационные технологии"/>
    <s v="0.00"/>
    <s v="Российский рубль"/>
    <m/>
    <s v="Федорова Анастасия"/>
    <d v="2026-08-27T15:52:27"/>
    <s v="ROBOT_UT"/>
    <d v="2026-08-31T09:48: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d v="2026-08-26T00:00:00"/>
    <m/>
    <s v="72.19 Научные исследования и разработки в области естественных и технических наук прочие"/>
    <m/>
    <s v="Нет"/>
    <m/>
    <m/>
    <s v="МЕДДИФФ-ЛЛМ ООО"/>
    <s v="МОЛОДЕЖНЫЙ"/>
    <n v="3808301188"/>
    <m/>
    <m/>
    <m/>
    <m/>
    <m/>
    <m/>
    <m/>
    <s v="Свой контакт (Менеджер)"/>
    <m/>
    <s v="Коммерческие"/>
    <s v="ООО"/>
    <n v="129134"/>
    <s v="Иркутская область 0 часов"/>
    <m/>
    <m/>
    <m/>
    <s v="Нет"/>
    <m/>
    <m/>
    <m/>
    <m/>
    <s v="Нет"/>
    <s v="Наука"/>
    <m/>
    <m/>
    <m/>
    <s v="7f2f3928-e840-4209-a7af-ec89948eb140"/>
  </r>
  <r>
    <n v="320014"/>
    <s v="ЦП. УЦ. Продажи"/>
    <s v="N"/>
    <s v="N"/>
    <x v="3"/>
    <m/>
    <s v="Шкуренко Дарья"/>
    <m/>
    <m/>
    <m/>
    <s v="Багланова Антонина"/>
    <s v="ONE_C"/>
    <s v="1С-Отчётность. ООО &quot;ПАРК КУЛЬТУРЫ&quot; 2308189521#"/>
    <s v="Продажа"/>
    <s v="1С Сайт its.1c.ru"/>
    <m/>
    <n v="6800"/>
    <s v="Российский рубль"/>
    <s v="ООО &quot;ПАРК КУЛЬТУРЫ&quot; 2308189521#"/>
    <s v="Юлия"/>
    <m/>
    <s v="нет"/>
    <d v="2026-08-27T15:29:20"/>
    <s v="Багланова Антонина"/>
    <d v="2026-08-27T16:35:50"/>
    <s v="ROBOT"/>
    <d v="2026-08-27T00:00:00"/>
    <d v="2026-09-03T00:00:00"/>
    <s v="ПО &quot;Астрал-Отчетность&quot; (сроком на 1 год) 1 юр. лицо (&lt;&gt;)"/>
    <n v="6800"/>
    <n v="1"/>
    <m/>
    <m/>
    <m/>
    <m/>
    <m/>
    <n v="27"/>
    <d v="2026-08-27T16:19:22"/>
    <m/>
    <m/>
    <m/>
    <m/>
    <m/>
    <m/>
    <s v="Договор-оферта"/>
    <s v="Нет"/>
    <n v="1"/>
    <m/>
    <m/>
    <m/>
    <s v="Россия"/>
    <s v="ЦП. 1С и ИТС. Коммерция"/>
    <d v="2026-10-08T00:00:00"/>
    <m/>
    <m/>
    <m/>
    <m/>
    <m/>
    <n v="0"/>
    <m/>
    <m/>
    <m/>
    <m/>
    <n v="0"/>
    <m/>
    <s v="ФРДТ-019067"/>
    <m/>
    <s v="ЦП. 1С. Коммерция"/>
    <m/>
    <m/>
    <m/>
    <m/>
    <d v="2026-08-27T00:00:00"/>
    <m/>
    <m/>
    <s v="[CO]ООО НПФ &quot;ФОРУС&quot; 3812023430#"/>
    <s v="Сервисы"/>
    <m/>
    <m/>
    <s v="Коммерческие"/>
    <m/>
    <m/>
    <s v="Обычный"/>
    <m/>
    <m/>
    <s v="#Загружено из Битрикс-Коробка#"/>
    <m/>
    <m/>
    <m/>
    <s v="1С-Отч Конечным пользователям"/>
    <m/>
    <m/>
    <m/>
    <m/>
    <m/>
    <m/>
    <s v="Не было отгрузок"/>
    <m/>
    <m/>
    <m/>
    <m/>
    <s v="Нет"/>
    <m/>
    <m/>
    <m/>
    <m/>
    <m/>
    <m/>
    <m/>
    <m/>
    <m/>
    <m/>
    <s v="УЦ"/>
    <m/>
    <m/>
    <s v="Не нужно"/>
    <m/>
    <m/>
    <m/>
    <m/>
    <m/>
    <m/>
    <m/>
    <m/>
    <s v="1С-Отчётность"/>
    <m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8-27T16:19:24"/>
    <m/>
    <m/>
    <m/>
    <m/>
    <m/>
    <m/>
    <m/>
    <m/>
    <m/>
    <m/>
    <m/>
    <m/>
    <m/>
    <m/>
    <m/>
    <m/>
    <m/>
    <m/>
    <m/>
    <m/>
    <n v="398681"/>
    <m/>
    <m/>
    <s v="Юлия"/>
    <m/>
    <m/>
    <m/>
    <m/>
    <s v="Клиенты"/>
    <s v="ROBOT"/>
    <s v="Заказ на сайте its.1c.ru ORD260827-1787810160 a:hover, a:active {color:#16489b;text-decoration:underline} #mail-message-wrapper a:hover, #mail-message-wrapper a:active {color:#16489b;text-decoration:underline} [b]Новый заказ на сайте its.1c.ru[/b] [p]Уважаемый партнер![/p] [p]Вы получили новый заказ на сайте its.1c.ru:[/p] Номер заказа: ORD260827-1787810160 Источник: v8.1c.ru Время отправки: 2026-08-27 13:56:00 Контактное лицо: Юлия Телефон: &amp;amp;#43;7 (914) 879-42-17 E-mail: [url=mailto:ilimlesprom@mail.ru]ilimlesprom@mail.ru[/url] ИНН/ЕДРПОУ: Регион (город): Россия Комментарий: Добрый день! Подскажите стоимость базы 1С с заработной платой, отчетностью и ЭДО для УСН доходы-расходы. Нужно установить на ноутбук или компьютер [p]Внимательно ознакомьтесь с правилами обработки заказа в [url=https://its.1c.ru/db/partnerits#content:1636:hdoc]справочнике партнера[/url].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 [*]В течение 1 рабочего часа с момента получения заказа свяжитесь с клиентом, уточните заказ и поставьте отметку о том, что вы приняли заказ в работу. 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Вопросы по обработке заказа присылайте на электронную почту [url=mailto:web-its@1c.ru]web-its@1c.ru[/url].[/p] [p]С уважением, администрация сайта [url=https://its.1c.ru/]its.1c.ru[/url].[p] [/p][/p]"/>
    <s v="1С Сайт its.1c.ru"/>
    <m/>
    <s v="Да"/>
    <s v="Багланова Антонина"/>
    <d v="2026-08-27T14:38:47"/>
    <s v="ROBOT_UT"/>
    <d v="2026-08-29T06:44:32"/>
    <m/>
    <m/>
    <n v="79148794217"/>
    <m/>
    <m/>
    <m/>
    <m/>
    <m/>
    <m/>
    <m/>
    <m/>
    <m/>
    <m/>
    <m/>
    <m/>
    <s v="ilimlesprom@mail.ru"/>
    <m/>
    <m/>
    <m/>
    <m/>
    <m/>
    <m/>
    <m/>
    <m/>
    <m/>
    <m/>
    <m/>
    <m/>
    <m/>
    <m/>
    <m/>
    <s v="Россия"/>
    <d v="2026-08-27T00:00:00"/>
    <s v="Да"/>
    <m/>
    <s v="Краснодарский край - 5 час"/>
    <m/>
    <m/>
    <s v="Нет"/>
    <s v="f0b3ed97-bd54-4a14-bbb4-d8aa8c20fc0c"/>
    <n v="258568"/>
    <m/>
    <s v="ООО &quot;ПАРК КУЛЬТУРЫ&quot; 2308189521#"/>
    <s v="Клиент"/>
    <s v="менее 50"/>
    <s v="ROBOT"/>
    <m/>
    <s v="Информационные технологии"/>
    <s v="0.00"/>
    <s v="Российский рубль"/>
    <s v="[p] Заказ на сайте [url=https://its.1c.ru]its.1c.ru[/url] ORD260827-1787810160 [/p] [p] a:hover, a:active{color:#16489b;text-decoration:underline} #mail-message-wrapper a:hover, #mail-message-wrapper a:active{color:#16489b;text-decoration:underline} [b]Новый заказ на сайте [/b][url=https://its.1c.ru][b]its.1c.ru[/b][/url] [/p] [p] Уважаемый партнер! [/p] [p] [/p] [p] Вы получили новый заказ на сайте [url=https://its.1c.ru]its.1c.ru[/url]: [/p] [p] Номер заказа: ORD260827-1787810160 Источник: [url=https://v8.1c.ru]v8.1c.ru[/url] Время отправки: 2026-08-27 13:56:00 Контактное лицо: Юлия Телефон: &amp;amp;#43;7 (914) 879-42-17 E-mail: [url=mailto:ilimlesprom@mail.ru]ilimlesprom@mail.ru[/url] ИНН/ЕДРПОУ: Регион (город): Россия Комментарий: Добрый день! Подскажите стоимость базы 1С с заработной платой, отчетностью и ЭДО для УСН доходы-расходы. Нужно установить на ноутбук или компьютер [/p] [p] Внимательно ознакомьтесь с правилами обработки заказа в [url=https"/>
    <s v="Багланова Антонина"/>
    <d v="2026-08-27T14:38:46"/>
    <s v="ROBOT_UT"/>
    <d v="2026-09-01T00:11:23"/>
    <m/>
    <m/>
    <n v="79148794217"/>
    <m/>
    <m/>
    <m/>
    <m/>
    <m/>
    <m/>
    <m/>
    <m/>
    <m/>
    <m/>
    <m/>
    <m/>
    <s v="ilimlesprom@mail.ru"/>
    <m/>
    <m/>
    <m/>
    <m/>
    <m/>
    <m/>
    <m/>
    <m/>
    <m/>
    <m/>
    <m/>
    <m/>
    <m/>
    <m/>
    <m/>
    <m/>
    <n v="0"/>
    <m/>
    <d v="2012-06-09T00:00:00"/>
    <m/>
    <s v="93.29 Деятельность по организации отдыха и развлечений прочая"/>
    <m/>
    <s v="Нет"/>
    <m/>
    <m/>
    <s v="Парк Культуры 2308189521"/>
    <s v="Россия"/>
    <n v="2308189521"/>
    <m/>
    <m/>
    <m/>
    <m/>
    <m/>
    <m/>
    <m/>
    <s v="1С Сайт its.1c.ru"/>
    <m/>
    <s v="Коммерческие"/>
    <s v="ООО"/>
    <n v="129126"/>
    <s v="Краснодарский край - 5 час"/>
    <m/>
    <m/>
    <m/>
    <s v="Нет"/>
    <m/>
    <m/>
    <m/>
    <m/>
    <s v="Нет"/>
    <s v="Услуги. Прочие"/>
    <m/>
    <m/>
    <m/>
    <s v="3cdea75a-f757-4685-abc4-6fbe9719afcc"/>
  </r>
  <r>
    <n v="320005"/>
    <s v="ЦП. ФРЕШ. Продажи"/>
    <s v="N"/>
    <s v="N"/>
    <x v="6"/>
    <m/>
    <m/>
    <m/>
    <m/>
    <m/>
    <s v="Соболев Максим"/>
    <m/>
    <s v="ООО &quot;CЕВЕР&quot; 3811447317#"/>
    <s v="Продажа"/>
    <s v="Свой контакт (Менеджер)"/>
    <m/>
    <s v="0.00"/>
    <s v="Российский рубль"/>
    <s v="ООО &quot;CЕВЕР&quot; 3811447317#"/>
    <s v="Лавриненко Лариса Петровна"/>
    <m/>
    <s v="нет"/>
    <d v="2026-08-27T15:07:27"/>
    <s v="Соболев Максим"/>
    <d v="2026-08-27T16:33:53"/>
    <s v="ROBOT"/>
    <d v="2026-08-27T00:00:00"/>
    <d v="2026-09-03T00:00:00"/>
    <m/>
    <m/>
    <m/>
    <m/>
    <m/>
    <m/>
    <m/>
    <m/>
    <n v="5"/>
    <d v="2026-08-27T15:08:02"/>
    <m/>
    <m/>
    <m/>
    <m/>
    <m/>
    <m/>
    <m/>
    <s v="Нет"/>
    <n v="1"/>
    <m/>
    <m/>
    <m/>
    <s v="г Иркутск"/>
    <s v="ЦП. 1С и ИТС. Коммерция"/>
    <d v="2026-09-26T00:00:00"/>
    <m/>
    <m/>
    <m/>
    <m/>
    <m/>
    <n v="0"/>
    <m/>
    <m/>
    <m/>
    <m/>
    <n v="0"/>
    <m/>
    <m/>
    <m/>
    <s v="ЦП. 1С. Коммерция"/>
    <m/>
    <m/>
    <m/>
    <m/>
    <m/>
    <m/>
    <m/>
    <m/>
    <m/>
    <m/>
    <m/>
    <s v="Коммерческие"/>
    <m/>
    <m/>
    <s v="Обычный"/>
    <m/>
    <m/>
    <m/>
    <m/>
    <m/>
    <m/>
    <m/>
    <m/>
    <m/>
    <m/>
    <m/>
    <m/>
    <m/>
    <s v="Не было отгрузок"/>
    <m/>
    <m/>
    <m/>
    <m/>
    <s v="Нет"/>
    <m/>
    <m/>
    <m/>
    <m/>
    <m/>
    <m/>
    <m/>
    <m/>
    <m/>
    <s v="Необработанные"/>
    <s v="ФРЕШ и ГРМ"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27T15:08:02"/>
    <m/>
    <m/>
    <m/>
    <m/>
    <m/>
    <m/>
    <m/>
    <m/>
    <m/>
    <m/>
    <m/>
    <m/>
    <m/>
    <m/>
    <m/>
    <m/>
    <m/>
    <m/>
    <m/>
    <m/>
    <n v="300800"/>
    <m/>
    <m/>
    <s v="Лариса"/>
    <s v="Лавриненко"/>
    <s v="Петровна"/>
    <m/>
    <m/>
    <s v="Клиенты"/>
    <s v="ROBOT"/>
    <s v="."/>
    <s v="Свой контакт (Менеджер)"/>
    <m/>
    <s v="Да"/>
    <s v="ROBOT_M"/>
    <d v="2023-01-26T11:20:00"/>
    <s v="ROBOT_UT"/>
    <d v="2026-08-30T06:44:36"/>
    <m/>
    <n v="73952799101"/>
    <n v="79149274410"/>
    <m/>
    <m/>
    <m/>
    <m/>
    <m/>
    <m/>
    <m/>
    <m/>
    <m/>
    <m/>
    <m/>
    <m/>
    <s v="larisa_lavrinenko@mail.ru, j_vg@mail.ru"/>
    <m/>
    <m/>
    <m/>
    <m/>
    <m/>
    <m/>
    <m/>
    <m/>
    <m/>
    <m/>
    <m/>
    <m/>
    <m/>
    <m/>
    <m/>
    <s v="нас. пункт Иркутск г"/>
    <d v="2023-01-26T00:00:00"/>
    <s v="Да"/>
    <m/>
    <s v="Иркутская область 0 часов"/>
    <m/>
    <m/>
    <s v="Нет"/>
    <s v="105a66cb-2dd6-11e8-a128-000c292f7de4"/>
    <n v="258557"/>
    <m/>
    <s v="ООО &quot;CЕВЕР&quot; 3811447317#"/>
    <s v="Клиент"/>
    <s v="менее 50"/>
    <s v="ROBOT"/>
    <m/>
    <s v="Информационные технологии"/>
    <s v="0.00"/>
    <s v="Российский рубль"/>
    <m/>
    <s v="Соболев Максим"/>
    <d v="2026-08-27T13:11:01"/>
    <s v="Соболев Максим"/>
    <d v="2026-08-27T16:33: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d v="2017-07-07T00:00:00"/>
    <m/>
    <s v="46.47.2 Торговля оптовая осветительным оборудованием"/>
    <m/>
    <s v="Нет"/>
    <m/>
    <m/>
    <s v="CЕВЕР ООО"/>
    <s v="г Иркутск"/>
    <n v="3811447317"/>
    <m/>
    <m/>
    <m/>
    <m/>
    <m/>
    <m/>
    <m/>
    <s v="Свой контакт (Менеджер)"/>
    <m/>
    <s v="Коммерческие"/>
    <s v="ООО"/>
    <n v="129122"/>
    <s v="Иркутская область 0 часов"/>
    <m/>
    <m/>
    <m/>
    <s v="Нет"/>
    <m/>
    <m/>
    <m/>
    <m/>
    <s v="Нет"/>
    <s v="Торговля. Прочая"/>
    <m/>
    <m/>
    <m/>
    <s v="28cbdc5f-30d5-445a-87e0-d3e98405000f"/>
  </r>
  <r>
    <n v="319992"/>
    <s v="ЦП. ФРЕШ. Продажи"/>
    <s v="N"/>
    <s v="N"/>
    <x v="9"/>
    <m/>
    <m/>
    <m/>
    <m/>
    <m/>
    <s v="Багланова Антонина"/>
    <s v="ONE_C"/>
    <s v="ООО &quot;ПАРК КУЛЬТУРЫ&quot; 2308189521# - ФРЕШ. Базовый"/>
    <s v="Продажа"/>
    <s v="1С Сайт its.1c.ru"/>
    <m/>
    <n v="18100"/>
    <s v="Российский рубль"/>
    <s v="ООО &quot;ПАРК КУЛЬТУРЫ&quot; 2308189521#"/>
    <s v="Юлия"/>
    <m/>
    <s v="нет"/>
    <d v="2026-08-27T14:38:47"/>
    <s v="Багланова Антонина"/>
    <d v="2026-09-01T00:11:23"/>
    <s v="ROBOT"/>
    <d v="2026-08-27T00:00:00"/>
    <d v="2026-09-03T00:00:00"/>
    <s v="1С:Фреш - 1C:Предприятие 8 через Интернет. Базовый на 12 мес. (&lt;&gt;)"/>
    <n v="18100"/>
    <n v="1"/>
    <s v="Заказ на сайте its.1c.ru ORD260827-1787810160 a:hover, a:active {color:#16489b;text-decoration:underline} #mail-message-wrapper a:hover, #mail-message-wrapper a:active {color:#16489b;text-decoration:underline} [b]Новый заказ на сайте its.1c.ru[/b] [p]Уважаемый партнер![/p] [p]Вы получили новый заказ на сайте its.1c.ru:[/p] Номер заказа: ORD260827-1787810160 Источник: v8.1c.ru Время отправки: 2026-08-27 13:56:00 Контактное лицо: Юлия Телефон: &amp;#43;7 (914) 879-42-17 E-mail: [url=mailto:ilimlesprom@mail.ru]ilimlesprom@mail.ru[/url] ИНН/ЕДРПОУ: Регион (город): Россия Комментарий: Добрый день! Подскажите стоимость базы 1С с заработной платой, отчетностью и ЭДО для УСН доходы-расходы. Нужно установить на ноутбук или компьютер [p]Внимательно ознакомьтесь с правилами обработки заказа в [url=https://its.1c.ru/db/partnerits#content:1636:hdoc]справочнике партнера[/url].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 [*]В течение 1 рабочего часа с момента получения заказа свяжитесь с клиентом, уточните заказ и поставьте отметку о том, что вы приняли заказ в работу. 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Вопросы по обработке заказа присылайте на электронную почту [url=mailto:web-its@1c.ru]web-its@1c.ru[/url].[/p] [p]С уважением, администрация сайта [url=https://its.1c.ru/]its.1c.ru[/url].[p] [/p][/p]"/>
    <m/>
    <m/>
    <m/>
    <m/>
    <n v="27"/>
    <d v="2026-08-27T14:54:37"/>
    <m/>
    <m/>
    <m/>
    <m/>
    <m/>
    <m/>
    <s v="Договор-оферта"/>
    <s v="Нет"/>
    <n v="1"/>
    <s v="ilimlesprom@mail.ru"/>
    <n v="79148794217"/>
    <m/>
    <s v="Россия"/>
    <s v="ЦП. 1С и ИТС. Коммерция"/>
    <d v="2026-09-26T00:00:00"/>
    <m/>
    <m/>
    <m/>
    <d v="2026-09-26T00:00:00"/>
    <m/>
    <n v="0"/>
    <s v="Юлия"/>
    <s v="Заказ на сайте its.1c.ru ORD260827-1787810160 a:hover, a:active {color:#16489b;text-decoration:underline} #mail-message-wrapper a:hover, #mail-message-wrapper a:active {color:#16489b;text-decoration:underline} [b]Новый заказ на сайте its.1c.ru[/b] [p]Уважаемый партнер![/p] [p]Вы получили новый заказ на сайте its.1c.ru:[/p] Номер заказа: ORD260827-1787810160 Источник: v8.1c.ru Время отправки: 2026-08-27 13:56:00 Контактное лицо: Юлия Телефон: &amp;amp;#43;7 (914) 879-42-17 E-mail: [url=mailto:ilimlesprom@mail.ru]ilimlesprom@mail.ru[/url] ИНН/ЕДРПОУ: Регион (город): Россия Комментарий: Добрый день! Подскажите стоимость базы 1С с заработной платой, отчетностью и ЭДО для УСН доходы-расходы. Нужно установить на ноутбук или компьютер [p]Внимательно ознакомьтесь с правилами обработки заказа в [url=https://its.1c.ru/db/partnerits#content:1636:hdoc]справочнике партнера[/url].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 [*]В течение 1 рабочего часа с момента получения заказа свяжитесь с клиентом, уточните заказ и поставьте отметку о том, что вы приняли заказ в работу. 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Вопросы по обработке заказа присылайте на электронную почту [url=mailto:web-its@1c.ru]web-its@1c.ru[/url].[/p] [p]С уважением, администрация сайта [url=https://its.1c.ru/]its.1c.ru[/url].[p] [/p][/p]"/>
    <m/>
    <m/>
    <n v="3"/>
    <m/>
    <s v="ФРДТ-019057"/>
    <m/>
    <s v="ЦП. 1С. Коммерция"/>
    <m/>
    <m/>
    <m/>
    <m/>
    <d v="2026-08-27T00:00:00"/>
    <m/>
    <m/>
    <s v="[CO]ООО НПФ &quot;ФОРУС&quot; 3812023430#"/>
    <s v="Сервисы"/>
    <m/>
    <m/>
    <m/>
    <m/>
    <m/>
    <s v="Обычный"/>
    <m/>
    <m/>
    <s v="#Загружено из Битрикс-Коробка#"/>
    <m/>
    <m/>
    <n v="267265"/>
    <s v="Фреш Коммерс Базовый"/>
    <m/>
    <m/>
    <m/>
    <m/>
    <m/>
    <m/>
    <s v="Не было отгрузок"/>
    <m/>
    <m/>
    <m/>
    <m/>
    <s v="Нет"/>
    <m/>
    <m/>
    <m/>
    <s v="ФРЕШ. Базовый"/>
    <s v="1С:Бух +ЭТК"/>
    <s v="-"/>
    <s v="Основная"/>
    <m/>
    <m/>
    <s v="Отправить счет / договор"/>
    <s v="ФРЕШ и ГРМ"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27T14:39:23"/>
    <d v="2026-08-28T17:46:13"/>
    <m/>
    <m/>
    <m/>
    <m/>
    <m/>
    <m/>
    <m/>
    <m/>
    <m/>
    <m/>
    <m/>
    <m/>
    <m/>
    <m/>
    <m/>
    <m/>
    <m/>
    <m/>
    <m/>
    <n v="398681"/>
    <m/>
    <m/>
    <s v="Юлия"/>
    <m/>
    <m/>
    <m/>
    <m/>
    <s v="Клиенты"/>
    <s v="ROBOT"/>
    <s v="Заказ на сайте its.1c.ru ORD260827-1787810160 a:hover, a:active {color:#16489b;text-decoration:underline} #mail-message-wrapper a:hover, #mail-message-wrapper a:active {color:#16489b;text-decoration:underline} [b]Новый заказ на сайте its.1c.ru[/b] [p]Уважаемый партнер![/p] [p]Вы получили новый заказ на сайте its.1c.ru:[/p] Номер заказа: ORD260827-1787810160 Источник: v8.1c.ru Время отправки: 2026-08-27 13:56:00 Контактное лицо: Юлия Телефон: &amp;amp;#43;7 (914) 879-42-17 E-mail: [url=mailto:ilimlesprom@mail.ru]ilimlesprom@mail.ru[/url] ИНН/ЕДРПОУ: Регион (город): Россия Комментарий: Добрый день! Подскажите стоимость базы 1С с заработной платой, отчетностью и ЭДО для УСН доходы-расходы. Нужно установить на ноутбук или компьютер [p]Внимательно ознакомьтесь с правилами обработки заказа в [url=https://its.1c.ru/db/partnerits#content:1636:hdoc]справочнике партнера[/url].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 [*]В течение 1 рабочего часа с момента получения заказа свяжитесь с клиентом, уточните заказ и поставьте отметку о том, что вы приняли заказ в работу. 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Вопросы по обработке заказа присылайте на электронную почту [url=mailto:web-its@1c.ru]web-its@1c.ru[/url].[/p] [p]С уважением, администрация сайта [url=https://its.1c.ru/]its.1c.ru[/url].[p] [/p][/p]"/>
    <s v="1С Сайт its.1c.ru"/>
    <m/>
    <s v="Да"/>
    <s v="Багланова Антонина"/>
    <d v="2026-08-27T14:38:47"/>
    <s v="ROBOT_UT"/>
    <d v="2026-08-29T06:44:32"/>
    <m/>
    <m/>
    <n v="79148794217"/>
    <m/>
    <m/>
    <m/>
    <m/>
    <m/>
    <m/>
    <m/>
    <m/>
    <m/>
    <m/>
    <m/>
    <m/>
    <s v="ilimlesprom@mail.ru"/>
    <m/>
    <m/>
    <m/>
    <m/>
    <m/>
    <m/>
    <m/>
    <m/>
    <m/>
    <m/>
    <m/>
    <m/>
    <m/>
    <m/>
    <m/>
    <s v="Россия"/>
    <d v="2026-08-27T00:00:00"/>
    <s v="Да"/>
    <m/>
    <s v="Краснодарский край - 5 час"/>
    <m/>
    <m/>
    <s v="Нет"/>
    <s v="f0b3ed97-bd54-4a14-bbb4-d8aa8c20fc0c"/>
    <n v="258568"/>
    <m/>
    <s v="ООО &quot;ПАРК КУЛЬТУРЫ&quot; 2308189521#"/>
    <s v="Клиент"/>
    <s v="менее 50"/>
    <s v="ROBOT"/>
    <m/>
    <s v="Информационные технологии"/>
    <s v="0.00"/>
    <s v="Российский рубль"/>
    <s v="[p] Заказ на сайте [url=https://its.1c.ru]its.1c.ru[/url] ORD260827-1787810160 [/p] [p] a:hover, a:active{color:#16489b;text-decoration:underline} #mail-message-wrapper a:hover, #mail-message-wrapper a:active{color:#16489b;text-decoration:underline} [b]Новый заказ на сайте [/b][url=https://its.1c.ru][b]its.1c.ru[/b][/url] [/p] [p] Уважаемый партнер! [/p] [p] [/p] [p] Вы получили новый заказ на сайте [url=https://its.1c.ru]its.1c.ru[/url]: [/p] [p] Номер заказа: ORD260827-1787810160 Источник: [url=https://v8.1c.ru]v8.1c.ru[/url] Время отправки: 2026-08-27 13:56:00 Контактное лицо: Юлия Телефон: &amp;amp;#43;7 (914) 879-42-17 E-mail: [url=mailto:ilimlesprom@mail.ru]ilimlesprom@mail.ru[/url] ИНН/ЕДРПОУ: Регион (город): Россия Комментарий: Добрый день! Подскажите стоимость базы 1С с заработной платой, отчетностью и ЭДО для УСН доходы-расходы. Нужно установить на ноутбук или компьютер [/p] [p] Внимательно ознакомьтесь с правилами обработки заказа в [url=https"/>
    <s v="Багланова Антонина"/>
    <d v="2026-08-27T14:38:46"/>
    <s v="ROBOT_UT"/>
    <d v="2026-09-01T00:11:23"/>
    <m/>
    <m/>
    <n v="79148794217"/>
    <m/>
    <m/>
    <m/>
    <m/>
    <m/>
    <m/>
    <m/>
    <m/>
    <m/>
    <m/>
    <m/>
    <m/>
    <s v="ilimlesprom@mail.ru"/>
    <m/>
    <m/>
    <m/>
    <m/>
    <m/>
    <m/>
    <m/>
    <m/>
    <m/>
    <m/>
    <m/>
    <m/>
    <m/>
    <m/>
    <m/>
    <m/>
    <n v="0"/>
    <m/>
    <d v="2012-06-09T00:00:00"/>
    <m/>
    <s v="93.29 Деятельность по организации отдыха и развлечений прочая"/>
    <m/>
    <s v="Нет"/>
    <m/>
    <m/>
    <s v="Парк Культуры 2308189521"/>
    <s v="Россия"/>
    <n v="2308189521"/>
    <m/>
    <m/>
    <m/>
    <m/>
    <m/>
    <m/>
    <m/>
    <s v="1С Сайт its.1c.ru"/>
    <m/>
    <s v="Коммерческие"/>
    <s v="ООО"/>
    <n v="129126"/>
    <s v="Краснодарский край - 5 час"/>
    <m/>
    <m/>
    <m/>
    <s v="Нет"/>
    <m/>
    <m/>
    <m/>
    <m/>
    <s v="Нет"/>
    <s v="Услуги. Прочие"/>
    <m/>
    <m/>
    <m/>
    <s v="3cdea75a-f757-4685-abc4-6fbe9719afcc"/>
  </r>
  <r>
    <n v="319974"/>
    <s v="ЦП. 1С. Продажи"/>
    <s v="Y"/>
    <s v="N"/>
    <x v="3"/>
    <m/>
    <m/>
    <m/>
    <m/>
    <m/>
    <s v="Федосеев Максим"/>
    <s v="ONE_C"/>
    <s v="ОАО ГОСТИНИЧНЫЙ КОМПЛЕКС &quot;АНГАРА&quot; 3800000277# - 1С КП ПРОФ"/>
    <s v="Продажа"/>
    <s v="Свой контакт (Менеджер)"/>
    <m/>
    <n v="38000"/>
    <s v="Российский рубль"/>
    <s v="ОАО ГОСТИНИЧНЫЙ КОМПЛЕКС &quot;АНГАРА&quot; 3800000277#"/>
    <s v="Александр"/>
    <m/>
    <s v="нет"/>
    <d v="2026-08-27T18:39:20"/>
    <s v="Федосеев Максим"/>
    <d v="2026-09-01T00:15:20"/>
    <s v="ROBOT"/>
    <d v="2026-08-27T00:00:00"/>
    <d v="2026-09-03T00:00:00"/>
    <s v="1С:КП ПРОФ на 12 месяцев по схеме 8+4"/>
    <n v="38000"/>
    <n v="1"/>
    <m/>
    <m/>
    <m/>
    <m/>
    <m/>
    <n v="14748"/>
    <d v="2026-08-27T19:16:18"/>
    <m/>
    <m/>
    <m/>
    <m/>
    <m/>
    <m/>
    <s v="Договор-оферта"/>
    <s v="Нет"/>
    <n v="1"/>
    <m/>
    <m/>
    <m/>
    <s v="Иркутск г"/>
    <s v="ЦП. 1С и ИТС. Коммерция"/>
    <m/>
    <m/>
    <m/>
    <m/>
    <m/>
    <m/>
    <m/>
    <m/>
    <m/>
    <m/>
    <s v="Опытный пользователь"/>
    <n v="7"/>
    <m/>
    <s v="ФРДТ-019039"/>
    <m/>
    <s v="ЦП. 1С. Коммерция"/>
    <m/>
    <m/>
    <m/>
    <m/>
    <d v="2026-08-27T00:00:00"/>
    <m/>
    <m/>
    <s v="[CO]ООО НПФ &quot;ФОРУС&quot; 3812023430#"/>
    <s v="Сервисы"/>
    <m/>
    <m/>
    <s v="Коммерческие"/>
    <m/>
    <m/>
    <s v="Обычный"/>
    <m/>
    <m/>
    <s v="#Загружено из Битрикс-Коробка#"/>
    <m/>
    <m/>
    <m/>
    <s v="ИТС КП ПРОФ"/>
    <m/>
    <m/>
    <m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 КП ПРОФ"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ПА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9-01T00:02:17"/>
    <d v="2026-08-28T16:55:56"/>
    <m/>
    <m/>
    <m/>
    <m/>
    <m/>
    <m/>
    <m/>
    <m/>
    <m/>
    <m/>
    <m/>
    <m/>
    <m/>
    <m/>
    <m/>
    <m/>
    <m/>
    <m/>
    <m/>
    <n v="397943"/>
    <m/>
    <m/>
    <s v="Александр"/>
    <m/>
    <m/>
    <m/>
    <m/>
    <s v="Клиенты"/>
    <s v="ROBOT"/>
    <m/>
    <s v="Свой контакт (Менеджер)"/>
    <m/>
    <s v="Да"/>
    <s v="Федосеев Максим"/>
    <d v="2026-08-17T14:46:05"/>
    <s v="ROBOT_UT"/>
    <d v="2026-08-30T06:44:38"/>
    <m/>
    <m/>
    <n v="158271189227"/>
    <m/>
    <m/>
    <m/>
    <m/>
    <m/>
    <m/>
    <m/>
    <m/>
    <m/>
    <m/>
    <m/>
    <m/>
    <s v="aknic@yandex.ru"/>
    <m/>
    <m/>
    <m/>
    <m/>
    <m/>
    <m/>
    <m/>
    <m/>
    <m/>
    <m/>
    <m/>
    <m/>
    <m/>
    <m/>
    <m/>
    <s v="Иркутск г"/>
    <d v="2026-08-17T00:00:00"/>
    <s v="Да"/>
    <m/>
    <s v="Иркутская область 0 часов"/>
    <m/>
    <m/>
    <s v="Нет"/>
    <s v="14deda8a-d061-404b-9dcc-a310e095d49b"/>
    <n v="105382"/>
    <m/>
    <s v="ОАО ГОСТИНИЧНЫЙ КОМПЛЕКС &quot;АНГАРА&quot; 3800000277#"/>
    <s v="Клиент"/>
    <m/>
    <s v="ROBOT"/>
    <m/>
    <m/>
    <m/>
    <s v="Российский рубль"/>
    <s v="."/>
    <s v="ROBOT_M"/>
    <d v="2021-07-06T16:10:20"/>
    <s v="ROBOT_UT"/>
    <d v="2026-09-01T00:15:20"/>
    <m/>
    <n v="369761090527"/>
    <m/>
    <m/>
    <m/>
    <m/>
    <m/>
    <m/>
    <m/>
    <m/>
    <m/>
    <m/>
    <m/>
    <m/>
    <m/>
    <s v="irina-vologzhina@yandex.ru"/>
    <m/>
    <s v="cosova-mv@yandex.ru"/>
    <m/>
    <m/>
    <m/>
    <m/>
    <m/>
    <m/>
    <m/>
    <m/>
    <m/>
    <m/>
    <m/>
    <m/>
    <m/>
    <m/>
    <n v="0"/>
    <s v="cosova-mv@yandex.ru"/>
    <d v="1992-10-14T00:00:00"/>
    <m/>
    <s v="55.10 Деятельность гостиниц и прочих мест для временного проживания"/>
    <m/>
    <s v="Нет"/>
    <d v="2010-01-05T00:00:00"/>
    <d v="2025-07-25T00:00:00"/>
    <s v="АНГАРА ОАО ГОСТИНИЧНЫЙ КОМПЛЕКС"/>
    <s v="Иркутск г"/>
    <n v="3800000277"/>
    <m/>
    <m/>
    <m/>
    <m/>
    <s v="irina-vologzhina@yandex.ru"/>
    <m/>
    <m/>
    <m/>
    <m/>
    <s v="Коммерческие"/>
    <s v="ПАО"/>
    <n v="2298"/>
    <s v="Иркутская область 0 часов"/>
    <m/>
    <m/>
    <m/>
    <s v="Да, компания работает"/>
    <s v="[C]Островский Валерий Викторович"/>
    <m/>
    <m/>
    <m/>
    <s v="Нет"/>
    <s v="Услуги. Гостиницы"/>
    <m/>
    <m/>
    <m/>
    <s v="83600dea-591e-11dd-a0d4-0019d104ffac"/>
  </r>
  <r>
    <n v="319954"/>
    <s v="1С. Комплексные продажи"/>
    <s v="Y"/>
    <s v="N"/>
    <x v="4"/>
    <m/>
    <m/>
    <m/>
    <m/>
    <m/>
    <s v="Россинский Вадим"/>
    <m/>
    <s v="7 964 744-87-35 - Входящий звонок"/>
    <s v="Продажа"/>
    <s v="Звонок"/>
    <s v="Звонок поступил на номер: ЦП 78-00-00 (62)."/>
    <s v="0.00"/>
    <s v="Российский рубль"/>
    <s v="ИП Гаврилов Аркадий Александрович 031720460740#"/>
    <m/>
    <m/>
    <s v="нет"/>
    <d v="2026-08-27T12:10:12"/>
    <s v="Россинский Вадим"/>
    <d v="2026-08-27T14:10:17"/>
    <s v="ROBOT_M"/>
    <d v="2026-08-27T00:00:00"/>
    <d v="2026-09-03T00:00:00"/>
    <m/>
    <m/>
    <m/>
    <m/>
    <m/>
    <m/>
    <m/>
    <m/>
    <n v="15488"/>
    <d v="2026-08-27T12:10:12"/>
    <m/>
    <m/>
    <m/>
    <m/>
    <m/>
    <m/>
    <m/>
    <s v="Нет"/>
    <n v="0"/>
    <m/>
    <n v="79647448735"/>
    <m/>
    <m/>
    <s v="ЦП. 1С и ИТС. Коммерция"/>
    <m/>
    <m/>
    <m/>
    <m/>
    <m/>
    <m/>
    <m/>
    <s v="Алексей"/>
    <m/>
    <m/>
    <m/>
    <n v="0"/>
    <m/>
    <m/>
    <m/>
    <s v="ЦП. 1С. Коммерция"/>
    <m/>
    <m/>
    <m/>
    <m/>
    <m/>
    <m/>
    <m/>
    <m/>
    <m/>
    <m/>
    <m/>
    <m/>
    <m/>
    <m/>
    <s v="Обычный"/>
    <m/>
    <m/>
    <m/>
    <m/>
    <m/>
    <n v="267216"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27T14:10:16"/>
    <d v="2026-08-27T11:57: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401"/>
    <m/>
    <s v="ИП Гаврилов Аркадий Александрович 031720460740#"/>
    <s v="Клиент"/>
    <s v="менее 50"/>
    <s v="ROBOT"/>
    <m/>
    <s v="Информационные технологии"/>
    <m/>
    <s v="Российский рубль"/>
    <m/>
    <s v="Петров Андрей"/>
    <d v="2022-07-27T13:49:41"/>
    <s v="ROBOT_M"/>
    <d v="2026-08-27T12:12: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s v="10.84 Производство приправ и пряностей"/>
    <s v="[CO]ООО &quot;ИМЗ&quot; 3808279310#"/>
    <s v="Нет"/>
    <m/>
    <m/>
    <s v="Гаврилов Аркадий Александрович, Инн 031720460740"/>
    <s v="ДЕРЕВНЯ Лисиха"/>
    <n v="31720460740"/>
    <m/>
    <m/>
    <m/>
    <m/>
    <m/>
    <m/>
    <m/>
    <s v="Свой контакт (Менеджер)"/>
    <m/>
    <s v="Коммерческие"/>
    <s v="ИП"/>
    <n v="92839"/>
    <s v="Иркутская область 0 часов"/>
    <m/>
    <m/>
    <m/>
    <m/>
    <m/>
    <m/>
    <m/>
    <m/>
    <s v="Нет"/>
    <s v="Производство. Пищевое производство"/>
    <m/>
    <m/>
    <m/>
    <s v="ad3b2682-90b2-45a4-a2cf-d3a42ccd4df6"/>
  </r>
  <r>
    <n v="319943"/>
    <s v="ЦП. 1С. Продажи"/>
    <s v="Y"/>
    <s v="N"/>
    <x v="3"/>
    <m/>
    <m/>
    <m/>
    <m/>
    <m/>
    <s v="Соболев Максим"/>
    <s v="ONE_C"/>
    <s v="ООО &quot;АВАНГАРД&quot; 3812526811# - 1С КП Базовый"/>
    <s v="Продажа"/>
    <s v="Свой контакт (Менеджер)"/>
    <m/>
    <n v="8488"/>
    <s v="Российский рубль"/>
    <s v="ООО &quot;АВАНГАРД&quot; 3812526811#"/>
    <m/>
    <m/>
    <s v="нет"/>
    <d v="2026-08-27T11:09:02"/>
    <s v="Соболев Максим"/>
    <d v="2026-09-02T00:03:46"/>
    <s v="ROBOT_M"/>
    <d v="2026-08-27T00:00:00"/>
    <d v="2026-09-03T00:00:00"/>
    <s v="1С:КП Базовый на 3 месяца"/>
    <n v="8488"/>
    <n v="1"/>
    <m/>
    <m/>
    <m/>
    <m/>
    <m/>
    <n v="508"/>
    <d v="2026-08-28T17:11:30"/>
    <m/>
    <m/>
    <m/>
    <m/>
    <m/>
    <m/>
    <s v="Договор-оферта"/>
    <s v="Нет"/>
    <n v="1"/>
    <m/>
    <m/>
    <m/>
    <s v="ИРКУТСК"/>
    <s v="ЦП. 1С и ИТС. Коммерция"/>
    <m/>
    <m/>
    <m/>
    <m/>
    <m/>
    <m/>
    <n v="0"/>
    <m/>
    <m/>
    <m/>
    <m/>
    <n v="0"/>
    <m/>
    <s v="ФРДТ-019160"/>
    <m/>
    <s v="ЦП. 1С. Коммерция"/>
    <m/>
    <s v="001 - 004"/>
    <m/>
    <m/>
    <d v="2026-08-28T00:00:00"/>
    <m/>
    <m/>
    <s v="[CO]ООО НПФ &quot;ФОРУС&quot; 3812023430#"/>
    <s v="Сервисы"/>
    <m/>
    <m/>
    <s v="Коммерческие"/>
    <m/>
    <m/>
    <s v="Обычный"/>
    <m/>
    <m/>
    <s v="#Загружено из Битрикс-Коробка#"/>
    <m/>
    <m/>
    <m/>
    <s v="ИТС КП Базовый"/>
    <m/>
    <m/>
    <m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 КП Базовый"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9-02T00:02: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5488"/>
    <m/>
    <s v="ООО &quot;АВАНГАРД&quot; 3812526811#"/>
    <s v="Клиент"/>
    <m/>
    <s v="ROBOT"/>
    <m/>
    <m/>
    <m/>
    <s v="Российский рубль"/>
    <s v="звонил новый сотрудник по трудоустройству"/>
    <s v="ROBOT_M"/>
    <d v="2021-07-23T16:21:55"/>
    <s v="ROBOT_UT"/>
    <d v="2026-08-31T09:08:10"/>
    <m/>
    <m/>
    <n v="158666268274"/>
    <m/>
    <m/>
    <m/>
    <m/>
    <m/>
    <m/>
    <m/>
    <m/>
    <m/>
    <m/>
    <m/>
    <m/>
    <s v="avangard-irk@mail.ru"/>
    <m/>
    <m/>
    <m/>
    <m/>
    <m/>
    <m/>
    <m/>
    <m/>
    <m/>
    <m/>
    <m/>
    <m/>
    <m/>
    <m/>
    <m/>
    <m/>
    <n v="0"/>
    <s v="avangard-irk@mail.ru"/>
    <d v="2019-03-06T00:00:00"/>
    <m/>
    <s v="46.71 Торговля оптовая твердым, жидким и газообразным топливом и подобными продуктами"/>
    <m/>
    <s v="Нет"/>
    <d v="2022-03-25T00:00:00"/>
    <d v="2023-11-30T00:00:00"/>
    <s v="АВАНГАРД Иркутск"/>
    <s v="ИРКУТСК"/>
    <n v="3812526811"/>
    <s v="7. ОСН (общая)"/>
    <m/>
    <s v="Работают с 2019 г. Торговля маслами Лукойл. Опытный пользователь 1С. Сейчас заключает большой контракт. Активность бизнеса увеличится. Планирует приобретать у Форус 1С:УНФ ПРОФ локальную для настройки обмена с нашей 1С:БП."/>
    <m/>
    <s v="avangard-irk@mail.ru"/>
    <m/>
    <s v="001 - 004"/>
    <m/>
    <m/>
    <s v="Коммерческие"/>
    <s v="ООО"/>
    <n v="81489"/>
    <s v="Иркутская область 0 часов"/>
    <m/>
    <s v="Иркутск"/>
    <s v="БО. Комплексный сервис"/>
    <m/>
    <m/>
    <m/>
    <n v="6"/>
    <s v="Рабочая группа № 2"/>
    <s v="Нет"/>
    <s v="Торговля. Автотранспорт и ГСМ"/>
    <m/>
    <m/>
    <m/>
    <s v="22090387-af05-4ce8-8781-f7300c58fb4d"/>
  </r>
  <r>
    <n v="319929"/>
    <s v="ЦП. ФРЕШ. Продажи"/>
    <s v="N"/>
    <s v="Y"/>
    <x v="9"/>
    <m/>
    <m/>
    <m/>
    <m/>
    <m/>
    <s v="Багланова Антонина"/>
    <s v="ONE_C"/>
    <s v="ИП Аполь Сергей Борисович 380801882787# - ФРЕШ. Базовый"/>
    <s v="Продажа"/>
    <s v="CRM-форма"/>
    <s v="ЦП.1С.ФРЕШ. Акция"/>
    <n v="18100"/>
    <s v="Российский рубль"/>
    <s v="ИП Аполь Сергей Борисович 380801882787#"/>
    <s v="Черных Надежда Юрьевна"/>
    <m/>
    <s v="нет"/>
    <d v="2026-08-27T10:11:52"/>
    <s v="Багланова Антонина"/>
    <d v="2026-09-02T12:23:42"/>
    <s v="ROBOT"/>
    <d v="2026-08-27T00:00:00"/>
    <d v="2026-09-03T00:00:00"/>
    <s v="1С:Фреш - 1C:Предприятие 8 через Интернет. Базовый на 12 мес. (&lt;&gt;)"/>
    <n v="18100"/>
    <n v="1"/>
    <m/>
    <m/>
    <m/>
    <m/>
    <n v="60"/>
    <n v="27"/>
    <d v="2026-09-02T11:31:44"/>
    <m/>
    <m/>
    <m/>
    <m/>
    <m/>
    <m/>
    <s v="Договор-оферта"/>
    <s v="Нет"/>
    <n v="1"/>
    <s v="nadinndn@mail.ru"/>
    <n v="79149296708"/>
    <s v="[CO]ООО &quot;МЕГАПОЛИС&quot; 3818032463#"/>
    <s v="г. Иркутск"/>
    <s v="ЦП. 1С и ИТС. Коммерция"/>
    <d v="2026-09-26T00:00:00"/>
    <m/>
    <m/>
    <m/>
    <d v="2026-09-26T00:00:00"/>
    <m/>
    <n v="0"/>
    <s v="Надежда"/>
    <m/>
    <m/>
    <m/>
    <n v="3"/>
    <m/>
    <s v="ФРДТ-019590"/>
    <m/>
    <s v="ЦП. 1С. Коммерция"/>
    <m/>
    <m/>
    <m/>
    <m/>
    <d v="2026-09-02T00:00:00"/>
    <m/>
    <m/>
    <s v="[CO]ООО НПФ &quot;ФОРУС&quot; 3812023430#"/>
    <s v="Сервисы"/>
    <m/>
    <m/>
    <s v="Коммерческие"/>
    <m/>
    <m/>
    <s v="Обычный"/>
    <m/>
    <m/>
    <s v="#Загружено из Битрикс-Коробка#"/>
    <m/>
    <m/>
    <n v="267150"/>
    <s v="Фреш Коммерс Базовый"/>
    <s v="https://www.forus.ru/produkty-1c/1c-fresh/?ysclid=mtat4qkiri149996784#contactsContainer"/>
    <m/>
    <m/>
    <m/>
    <m/>
    <m/>
    <s v="Не было отгрузок"/>
    <m/>
    <m/>
    <m/>
    <m/>
    <s v="Нет"/>
    <m/>
    <m/>
    <m/>
    <s v="ФРЕШ. Базовый"/>
    <s v="1С:Бух +ЭТК"/>
    <s v="-"/>
    <s v="Основная"/>
    <m/>
    <m/>
    <s v="Отправить счет / договор"/>
    <s v="ФРЕШ и ГРМ"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9-02T11:31:17"/>
    <d v="2026-09-02T11:40:54"/>
    <m/>
    <m/>
    <m/>
    <m/>
    <m/>
    <m/>
    <m/>
    <m/>
    <m/>
    <m/>
    <m/>
    <m/>
    <m/>
    <m/>
    <m/>
    <m/>
    <m/>
    <m/>
    <m/>
    <n v="381310"/>
    <m/>
    <m/>
    <s v="Надежда"/>
    <s v="Черных"/>
    <s v="Юрьевна"/>
    <m/>
    <m/>
    <s v="Клиенты"/>
    <s v="ROBOT"/>
    <s v="[p] Заказ на сайте [url=https://its.1c.ru]its.1c.ru[/url] ORD260725-1784974424 [/p] [p] a:hover, a:active{color:#16489b;text-decoration:underline} #mail-message-wrapper a:hover, #mail-message-wrapper a:active{color:#16489b;text-decoration:underline} [b]Новый заказ на сайте [/b][url=https://its.1c.ru][b]its.1c.ru[/b][/url] [/p] [p] Уважаемый партнер! [/p] [p] [/p] [p] Вы получили новый заказ на сайте [url=https://its.1c.ru]its.1c.ru[/url]: [/p] [p] Номер заказа: ORD260725-1784974424 Источник: [url=https://its.1c.ru]its.1c.ru[/url] Время отправки: 2026-07-25 18:13:44 Контактное лицо: Надежда Телефон: 89149296708 E-mail: [url=mailto:nadinndn@mail.ru]nadinndn@mail.ru[/url] ИНН/ЕДРПОУ: Регион (город): Иркутск Комментарий: Заказ на 1С-ЭПД [/p] [p] Внимательно ознакомьтесь с правилами обработки заказа в [url=https://its.1c.ru/db/partnerits#content:1636:hdoc]справочнике партнера[/url]. [/p] [p] 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[*]В течение 1 рабочего часа с момента получения заказа свяжитесь с клиентом, уточните заказ и поставьте отметку о том, что вы приняли заказ в работу.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 [/p] [p] Вопросы по обработке заказа присылайте на электронную почту [url=mailto:web-its@1c.ru]web-its@1c.ru[/url]. [/p] [p] [/p] [p][/p] [p] С уважением, администрация сайта [url=https://its.1c.ru/]its.1c.ru[/url]. [/p]"/>
    <s v="Свой контакт (Менеджер)"/>
    <m/>
    <s v="Да"/>
    <s v="Захарова Ольга"/>
    <d v="2025-12-24T14:54:44"/>
    <s v="ROBOT_UT"/>
    <d v="2026-09-01T14:18:01"/>
    <m/>
    <m/>
    <n v="79149296708"/>
    <m/>
    <m/>
    <m/>
    <m/>
    <m/>
    <m/>
    <m/>
    <m/>
    <m/>
    <m/>
    <m/>
    <m/>
    <s v="bukhsovet@bk.ru, nadinndn@mail.ru"/>
    <m/>
    <m/>
    <m/>
    <m/>
    <m/>
    <m/>
    <m/>
    <m/>
    <m/>
    <m/>
    <m/>
    <m/>
    <m/>
    <m/>
    <m/>
    <m/>
    <d v="2025-12-24T00:00:00"/>
    <s v="Да"/>
    <m/>
    <s v="Иркутская область 0 часов"/>
    <m/>
    <m/>
    <s v="Нет"/>
    <s v="a32f9fc2-a6da-4ad5-b1fa-22727a4a13ff"/>
    <n v="258712"/>
    <m/>
    <s v="ИП Аполь Сергей Борисович 380801882787#"/>
    <s v="Клиент"/>
    <s v="менее 50"/>
    <s v="ROBOT"/>
    <m/>
    <s v="Информационные технологии"/>
    <s v="0.00"/>
    <s v="Российский рубль"/>
    <m/>
    <s v="Федосеев Максим"/>
    <d v="2026-09-01T12:34:39"/>
    <s v="ROBOT_M"/>
    <d v="2026-09-02T12:25:00"/>
    <m/>
    <m/>
    <n v="79149296708"/>
    <m/>
    <m/>
    <m/>
    <m/>
    <m/>
    <m/>
    <m/>
    <m/>
    <m/>
    <m/>
    <m/>
    <m/>
    <s v="nadinndn@mail.ru"/>
    <m/>
    <m/>
    <m/>
    <m/>
    <m/>
    <m/>
    <m/>
    <m/>
    <m/>
    <m/>
    <m/>
    <m/>
    <m/>
    <m/>
    <m/>
    <m/>
    <n v="0"/>
    <s v="nadinndn@mail.ru"/>
    <m/>
    <m/>
    <s v="49.42 Предоставление услуг по перевозкам"/>
    <m/>
    <s v="Нет"/>
    <m/>
    <m/>
    <s v="ИП Аполь Сергей Борисович"/>
    <s v="село Пивовариха"/>
    <n v="380801882787"/>
    <m/>
    <m/>
    <m/>
    <m/>
    <s v="nadinndn@mail.ru"/>
    <m/>
    <m/>
    <s v="Звонок"/>
    <m/>
    <s v="Коммерческие"/>
    <s v="ИП"/>
    <n v="129249"/>
    <s v="Иркутская область 0 часов"/>
    <m/>
    <m/>
    <m/>
    <s v="Нет"/>
    <m/>
    <m/>
    <m/>
    <m/>
    <s v="Нет"/>
    <s v="Услуги. Перевозки, логистика, склад"/>
    <m/>
    <m/>
    <m/>
    <s v="d36517fb-4f7f-458d-a5e5-1b346d5463ea"/>
  </r>
  <r>
    <n v="319888"/>
    <s v="1С. Комплексные продажи"/>
    <s v="Y"/>
    <s v="N"/>
    <x v="3"/>
    <m/>
    <m/>
    <m/>
    <m/>
    <m/>
    <s v="Федорова Анастасия"/>
    <s v="ONE_C"/>
    <s v="Сделка #319888"/>
    <s v="Продажа"/>
    <s v="Звонок"/>
    <m/>
    <n v="4900"/>
    <s v="Российский рубль"/>
    <s v="ФЛ Руссу Екатерина Васильевна 381706177402#"/>
    <s v="Екатерина"/>
    <m/>
    <s v="нет"/>
    <d v="2026-08-26T17:36:36"/>
    <s v="Федорова Анастасия"/>
    <d v="2026-08-27T11:52:47"/>
    <s v="ROBOT_M"/>
    <d v="2026-08-26T00:00:00"/>
    <d v="2026-09-02T00:00:00"/>
    <s v="1С:Бухгалтерия 8. Базовая версия. Электронная поставка (&lt;&gt;)"/>
    <n v="4900"/>
    <n v="1"/>
    <m/>
    <m/>
    <m/>
    <m/>
    <m/>
    <n v="23689"/>
    <d v="2026-08-27T11:52:45"/>
    <m/>
    <m/>
    <m/>
    <m/>
    <m/>
    <m/>
    <s v="Договор-оферта"/>
    <s v="Нет"/>
    <n v="0"/>
    <m/>
    <m/>
    <m/>
    <s v="Иркутск г"/>
    <s v="ЦП. 1С и ИТС. Коммерция"/>
    <m/>
    <m/>
    <m/>
    <m/>
    <m/>
    <m/>
    <n v="2"/>
    <m/>
    <m/>
    <m/>
    <m/>
    <n v="4"/>
    <m/>
    <s v="ФРДТ-018982"/>
    <m/>
    <s v="ЦП. 1С. Коммерция"/>
    <m/>
    <s v="Отсутствует, физлицо"/>
    <m/>
    <m/>
    <d v="2026-08-26T00:00:00"/>
    <m/>
    <m/>
    <s v="[CO]ООО НПФ &quot;ФОРУС&quot; 3812023430#"/>
    <s v="Сублицензионный"/>
    <m/>
    <m/>
    <s v="Физ.лицо"/>
    <m/>
    <m/>
    <s v="Обычный"/>
    <m/>
    <m/>
    <m/>
    <m/>
    <m/>
    <m/>
    <s v="1С 8 Бухгалтерия Коммерция"/>
    <m/>
    <m/>
    <m/>
    <m/>
    <m/>
    <m/>
    <s v="Не было отгрузок"/>
    <m/>
    <m/>
    <m/>
    <m/>
    <s v="Нет"/>
    <m/>
    <m/>
    <m/>
    <m/>
    <m/>
    <m/>
    <m/>
    <m/>
    <m/>
    <m/>
    <s v="1С Программы и лицензии"/>
    <s v="1С Бухгалтерия"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s v="Закупки и поставщики"/>
    <s v="[C]Руссу Екатерина"/>
    <d v="2026-08-26T00:00:00"/>
    <d v="2026-08-26T00:00:00"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27T11:52:47"/>
    <d v="2026-09-01T16:21:39"/>
    <m/>
    <m/>
    <m/>
    <m/>
    <m/>
    <m/>
    <m/>
    <m/>
    <m/>
    <m/>
    <m/>
    <m/>
    <m/>
    <m/>
    <m/>
    <m/>
    <m/>
    <m/>
    <m/>
    <n v="313785"/>
    <m/>
    <m/>
    <s v="Екатерина"/>
    <m/>
    <m/>
    <m/>
    <m/>
    <s v="Клиенты"/>
    <s v="ROBOT"/>
    <m/>
    <s v="CRM-форма"/>
    <s v="ПРОДУКТЫ И СЕРВИСЫ - (ФОРУС)"/>
    <s v="Да"/>
    <s v="Савинская Евгения"/>
    <d v="2023-09-04T09:16:35"/>
    <s v="ROBOT_UT"/>
    <d v="2026-08-29T06:44:18"/>
    <m/>
    <m/>
    <n v="79086545073"/>
    <m/>
    <m/>
    <m/>
    <m/>
    <m/>
    <m/>
    <m/>
    <m/>
    <m/>
    <m/>
    <m/>
    <m/>
    <s v="russu.e@bk.ru"/>
    <m/>
    <m/>
    <m/>
    <m/>
    <m/>
    <m/>
    <m/>
    <m/>
    <m/>
    <m/>
    <m/>
    <m/>
    <m/>
    <m/>
    <m/>
    <s v="Иркутск г"/>
    <d v="2023-09-04T00:00:00"/>
    <s v="Да"/>
    <m/>
    <s v="Иркутская область 0 часов"/>
    <m/>
    <m/>
    <s v="Нет"/>
    <s v="1d738f50-c284-4aa0-9cc6-08000144c1ad"/>
    <n v="209374"/>
    <m/>
    <s v="ФЛ Руссу Екатерина Васильевна 381706177402#"/>
    <s v="Клиент"/>
    <m/>
    <s v="ROBOT"/>
    <m/>
    <m/>
    <m/>
    <s v="Российский рубль"/>
    <m/>
    <s v="Савинская Евгения"/>
    <d v="2023-09-04T14:27:08"/>
    <s v="ROBOT_M"/>
    <d v="2026-08-28T17:30:18"/>
    <m/>
    <m/>
    <n v="79086545073"/>
    <m/>
    <m/>
    <m/>
    <m/>
    <m/>
    <m/>
    <m/>
    <m/>
    <m/>
    <m/>
    <m/>
    <m/>
    <s v="russu.e@bk.ru"/>
    <m/>
    <m/>
    <m/>
    <m/>
    <m/>
    <m/>
    <m/>
    <m/>
    <m/>
    <m/>
    <m/>
    <s v="imol|ank_chats_app24_whatsapp|32|79086545073|18295"/>
    <m/>
    <m/>
    <n v="18295"/>
    <m/>
    <n v="6"/>
    <s v="russu.e@bk.ru"/>
    <m/>
    <m/>
    <s v="69.20 Деятельность по оказанию услуг в области бухгалтерского учета, по проведению финансового аудита, по налоговому консультированию"/>
    <m/>
    <s v="Нет"/>
    <d v="2023-09-11T00:00:00"/>
    <d v="2023-09-11T00:00:00"/>
    <s v="ФЛ Руссу Екатерина Васильевна"/>
    <s v="Иркутск г"/>
    <n v="381706177402"/>
    <s v="15. НДФЛ"/>
    <m/>
    <m/>
    <m/>
    <m/>
    <m/>
    <s v="Отсутствует, физлицо"/>
    <s v="Свой контакт (Менеджер)"/>
    <m/>
    <s v="Физ.лицо"/>
    <s v="ИП"/>
    <n v="97395"/>
    <s v="Иркутская область 0 часов"/>
    <m/>
    <m/>
    <m/>
    <m/>
    <m/>
    <m/>
    <m/>
    <m/>
    <s v="Нет"/>
    <s v="Физическое лицо"/>
    <m/>
    <m/>
    <m/>
    <s v="83ccfe11-15f1-4c4f-9989-e921a8b657de"/>
  </r>
  <r>
    <n v="319886"/>
    <s v="ЦП. 1С. Продажи"/>
    <s v="N"/>
    <s v="N"/>
    <x v="1"/>
    <m/>
    <m/>
    <m/>
    <m/>
    <m/>
    <s v="Багланова Антонина"/>
    <m/>
    <s v="1С КП и Сервисы"/>
    <s v="Продажа"/>
    <s v="1С Сайт its.1c.ru"/>
    <m/>
    <s v="0.00"/>
    <s v="Российский рубль"/>
    <m/>
    <s v="Оксана"/>
    <m/>
    <s v="нет"/>
    <d v="2026-08-26T17:26:04"/>
    <s v="Багланова Антонина"/>
    <d v="2026-08-28T10:49:56"/>
    <s v="ROBOT_M"/>
    <d v="2026-08-26T00:00:00"/>
    <d v="2026-09-02T00:00:00"/>
    <m/>
    <m/>
    <m/>
    <s v="Заказ на сайте its.1c.ru ORD260826-1787726727 a:hover, a:active {color:#16489b;text-decoration:underline} #mail-message-wrapper a:hover, #mail-message-wrapper a:active {color:#16489b;text-decoration:underline} [b]Новый заказ на сайте its.1c.ru[/b] [p]Уважаемый партнер![/p] [p]Вы получили новый заказ на сайте its.1c.ru:[/p] Номер заказа: ORD260826-1787726727 Источник: its.1c.ru, ЭПД Время отправки: 2026-08-26 14:45:27 Контактное лицо: оксана Телефон: 89027603112 E-mail: [url=mailto:oks-vojkina2014@yandex.ru]oks-vojkina2014@yandex.ru[/url] ИНН/ЕДРПОУ: Регион (город): Иркутская область, Ангарск Комментарий: Заказ сервиса 1С-ЭПД [p]Внимательно ознакомьтесь с правилами обработки заказа в [url=https://its.1c.ru/db/partnerits#content:1636:hdoc]справочнике партнера[/url].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 [*]В течение 1 рабочего часа с момента получения заказа свяжитесь с клиентом, уточните заказ и поставьте отметку о том, что вы приняли заказ в работу. 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Вопросы по обработке заказа присылайте на электронную почту [url=mailto:web-its@1c.ru]web-its@1c.ru[/url].[/p] [p]С уважением, администрация сайта [url=https://its.1c.ru/]its.1c.ru[/url].[p] [/p][/p]"/>
    <m/>
    <m/>
    <m/>
    <m/>
    <n v="27"/>
    <d v="2026-08-28T10:49:55"/>
    <m/>
    <m/>
    <m/>
    <m/>
    <m/>
    <m/>
    <m/>
    <s v="Нет"/>
    <n v="2"/>
    <s v="oks-vojkina2014@yandex.ru"/>
    <n v="89027603112"/>
    <m/>
    <m/>
    <s v="ЦП. 1С и ИТС. Коммерция"/>
    <d v="2026-10-07T00:00:00"/>
    <m/>
    <m/>
    <m/>
    <m/>
    <m/>
    <n v="0"/>
    <s v="Оксана"/>
    <s v="Заказ на сайте its.1c.ru ORD260826-1787726727 a:hover, a:active {color:#16489b;text-decoration:underline} #mail-message-wrapper a:hover, #mail-message-wrapper a:active {color:#16489b;text-decoration:underline} [b]Новый заказ на сайте its.1c.ru[/b] [p]Уважаемый партнер![/p] [p]Вы получили новый заказ на сайте its.1c.ru:[/p] Номер заказа: ORD260826-1787726727 Источник: its.1c.ru, ЭПД Время отправки: 2026-08-26 14:45:27 Контактное лицо: оксана Телефон: 89027603112 E-mail: [url=mailto:oks-vojkina2014@yandex.ru]oks-vojkina2014@yandex.ru[/url] ИНН/ЕДРПОУ: Регион (город): Иркутская область, Ангарск Комментарий: Заказ сервиса 1С-ЭПД [p]Внимательно ознакомьтесь с правилами обработки заказа в [url=https://its.1c.ru/db/partnerits#content:1636:hdoc]справочнике партнера[/url].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 [*]В течение 1 рабочего часа с момента получения заказа свяжитесь с клиентом, уточните заказ и поставьте отметку о том, что вы приняли заказ в работу. 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Вопросы по обработке заказа присылайте на электронную почту [url=mailto:web-its@1c.ru]web-its@1c.ru[/url].[/p] [p]С уважением, администрация сайта [url=https://its.1c.ru/]its.1c.ru[/url].[p] [/p][/p]"/>
    <m/>
    <m/>
    <n v="1"/>
    <m/>
    <m/>
    <m/>
    <s v="ЦП. 1С. Коммерция"/>
    <m/>
    <m/>
    <m/>
    <m/>
    <m/>
    <m/>
    <m/>
    <m/>
    <m/>
    <m/>
    <m/>
    <m/>
    <m/>
    <m/>
    <s v="Обычный"/>
    <m/>
    <m/>
    <m/>
    <m/>
    <m/>
    <n v="267025"/>
    <m/>
    <m/>
    <m/>
    <m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m/>
    <s v="Отправить счет/договор"/>
    <m/>
    <m/>
    <m/>
    <m/>
    <m/>
    <m/>
    <s v="Необработанные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Отправить счет"/>
    <m/>
    <m/>
    <m/>
    <m/>
    <m/>
    <d v="2026-08-26T17:38:56"/>
    <d v="2026-08-28T10:28:05"/>
    <m/>
    <m/>
    <m/>
    <m/>
    <m/>
    <m/>
    <m/>
    <m/>
    <m/>
    <m/>
    <m/>
    <m/>
    <m/>
    <m/>
    <m/>
    <m/>
    <m/>
    <m/>
    <m/>
    <n v="398633"/>
    <m/>
    <m/>
    <s v="Оксана"/>
    <m/>
    <m/>
    <m/>
    <m/>
    <s v="Клиенты"/>
    <s v="ROBOT"/>
    <s v="Заказ на сайте its.1c.ru ORD260826-1787726727 a:hover, a:active {color:#16489b;text-decoration:underline} #mail-message-wrapper a:hover, #mail-message-wrapper a:active {color:#16489b;text-decoration:underline} [b]Новый заказ на сайте its.1c.ru[/b] [p]Уважаемый партнер![/p] [p]Вы получили новый заказ на сайте its.1c.ru:[/p] Номер заказа: ORD260826-1787726727 Источник: its.1c.ru, ЭПД Время отправки: 2026-08-26 14:45:27 Контактное лицо: оксана Телефон: 89027603112 E-mail: [url=mailto:oks-vojkina2014@yandex.ru]oks-vojkina2014@yandex.ru[/url] ИНН/ЕДРПОУ: Регион (город): Иркутская область, Ангарск Комментарий: Заказ сервиса 1С-ЭПД [p]Внимательно ознакомьтесь с правилами обработки заказа в [url=https://its.1c.ru/db/partnerits#content:1636:hdoc]справочнике партнера[/url].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 [*]В течение 1 рабочего часа с момента получения заказа свяжитесь с клиентом, уточните заказ и поставьте отметку о том, что вы приняли заказ в работу. 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Вопросы по обработке заказа присылайте на электронную почту [url=mailto:web-its@1c.ru]web-its@1c.ru[/url].[/p] [p]С уважением, администрация сайта [url=https://its.1c.ru/]its.1c.ru[/url].[p] [/p][/p]"/>
    <s v="1С Сайт its.1c.ru"/>
    <m/>
    <s v="Да"/>
    <s v="Багланова Антонина"/>
    <d v="2026-08-26T17:26:04"/>
    <s v="ROBOT"/>
    <d v="2026-08-26T17:26:04"/>
    <m/>
    <m/>
    <n v="89027603112"/>
    <m/>
    <m/>
    <m/>
    <m/>
    <m/>
    <m/>
    <m/>
    <m/>
    <m/>
    <m/>
    <m/>
    <m/>
    <s v="oks-vojkina2014@yandex.ru"/>
    <m/>
    <m/>
    <m/>
    <m/>
    <m/>
    <m/>
    <m/>
    <m/>
    <m/>
    <m/>
    <m/>
    <m/>
    <m/>
    <m/>
    <m/>
    <s v="Иркутская область, Ангарск"/>
    <d v="2026-08-26T00:00:00"/>
    <s v="Да"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9880"/>
    <s v="1С. Комплексные продажи"/>
    <s v="N"/>
    <s v="N"/>
    <x v="4"/>
    <m/>
    <s v="Савинская Евгения Россинский Вадим"/>
    <m/>
    <m/>
    <m/>
    <s v="Россинский Вадим"/>
    <m/>
    <s v="Заполнение CRM-формы &quot;ЦП. Контактные данные открытых линий&quot;"/>
    <s v="Продажа"/>
    <s v="CRM-форма"/>
    <s v="Форма контактных данных для открытых линий"/>
    <s v="0.00"/>
    <s v="Российский рубль"/>
    <m/>
    <s v="Сергей"/>
    <m/>
    <s v="нет"/>
    <d v="2026-08-26T17:12:07"/>
    <s v="Россинский Вадим"/>
    <d v="2026-08-27T16:25:04"/>
    <s v="Савинская Евгения"/>
    <d v="2026-08-26T00:00:00"/>
    <d v="2026-09-02T00:00:00"/>
    <m/>
    <m/>
    <m/>
    <m/>
    <m/>
    <m/>
    <m/>
    <n v="53"/>
    <n v="15488"/>
    <d v="2026-08-26T17:12:07"/>
    <m/>
    <m/>
    <m/>
    <m/>
    <m/>
    <m/>
    <m/>
    <s v="Нет"/>
    <n v="0"/>
    <m/>
    <n v="79246355564"/>
    <m/>
    <m/>
    <s v="ЦП. 1С и ИТС. Коммерция"/>
    <m/>
    <m/>
    <m/>
    <m/>
    <m/>
    <m/>
    <m/>
    <s v="Сергей"/>
    <m/>
    <m/>
    <m/>
    <n v="0"/>
    <m/>
    <m/>
    <m/>
    <s v="ЦП. 1С. Коммерция"/>
    <m/>
    <m/>
    <m/>
    <m/>
    <m/>
    <m/>
    <m/>
    <m/>
    <m/>
    <m/>
    <m/>
    <m/>
    <m/>
    <m/>
    <s v="Обычный"/>
    <m/>
    <m/>
    <m/>
    <m/>
    <m/>
    <n v="266823"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26T19:12:10"/>
    <d v="2026-08-26T15:23:18"/>
    <m/>
    <m/>
    <m/>
    <m/>
    <m/>
    <m/>
    <m/>
    <m/>
    <m/>
    <m/>
    <m/>
    <m/>
    <m/>
    <m/>
    <m/>
    <m/>
    <m/>
    <m/>
    <m/>
    <n v="398632"/>
    <m/>
    <m/>
    <s v="Сергей"/>
    <m/>
    <m/>
    <m/>
    <m/>
    <s v="Клиенты"/>
    <s v="ROBOT"/>
    <m/>
    <s v="CRM-форма"/>
    <s v="Форма контактных данных для открытых линий"/>
    <s v="Да"/>
    <s v="Россинский Вадим"/>
    <d v="2026-08-26T17:12:07"/>
    <s v="Россинский Вадим"/>
    <d v="2026-08-26T17:12:40"/>
    <m/>
    <m/>
    <m/>
    <m/>
    <m/>
    <m/>
    <m/>
    <n v="79246355564"/>
    <m/>
    <m/>
    <m/>
    <m/>
    <m/>
    <m/>
    <m/>
    <s v="zero24101983@mail.ru"/>
    <m/>
    <m/>
    <m/>
    <m/>
    <m/>
    <m/>
    <m/>
    <m/>
    <m/>
    <m/>
    <s v="imol|livechat|18|293565|25574"/>
    <m/>
    <m/>
    <m/>
    <m/>
    <m/>
    <d v="2026-08-26T00:00:00"/>
    <s v="Да"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9868"/>
    <s v="ЦП. УЦ. Продажи"/>
    <s v="N"/>
    <s v="N"/>
    <x v="10"/>
    <m/>
    <m/>
    <m/>
    <m/>
    <m/>
    <s v="Багланова Антонина"/>
    <s v="ONE_C"/>
    <s v="7 964 656-56-55 - Входящий звонок"/>
    <s v="Продажа"/>
    <s v="Звонок"/>
    <s v="Звонок поступил на номер: ЦП 78-00-00 (62)."/>
    <n v="10900"/>
    <s v="Российский рубль"/>
    <s v="ООО &quot;ФЕРТУМ&quot; 7751320085#"/>
    <s v="Гелий"/>
    <m/>
    <s v="нет"/>
    <d v="2026-08-26T16:47:11"/>
    <s v="Багланова Антонина"/>
    <d v="2026-08-31T18:33:23"/>
    <s v="ROBOT"/>
    <d v="2026-08-26T00:00:00"/>
    <d v="2026-09-02T00:00:00"/>
    <s v="ПО &quot;Астрал-Отчетность&quot; (сроком на 1 год) 1 юр. лицо (&lt;&gt;)"/>
    <n v="10900"/>
    <n v="1"/>
    <m/>
    <m/>
    <m/>
    <m/>
    <m/>
    <n v="27"/>
    <d v="2026-08-26T16:49:26"/>
    <m/>
    <m/>
    <m/>
    <m/>
    <m/>
    <m/>
    <s v="Договор-оферта"/>
    <s v="Нет"/>
    <n v="1"/>
    <m/>
    <n v="79646565655"/>
    <m/>
    <m/>
    <s v="ЦП. 1С и ИТС. Коммерция"/>
    <d v="2026-10-07T00:00:00"/>
    <m/>
    <m/>
    <m/>
    <m/>
    <m/>
    <n v="0"/>
    <s v="Гелий"/>
    <m/>
    <m/>
    <m/>
    <n v="0"/>
    <m/>
    <s v="ФРДТ-018975"/>
    <m/>
    <s v="ЦП. 1С. Коммерция"/>
    <m/>
    <m/>
    <m/>
    <m/>
    <d v="2026-08-26T00:00:00"/>
    <m/>
    <m/>
    <s v="[CO]ООО НПФ &quot;ФОРУС&quot; 3812023430#"/>
    <s v="Сервисы"/>
    <m/>
    <m/>
    <m/>
    <m/>
    <m/>
    <s v="Обычный"/>
    <m/>
    <m/>
    <s v="#Загружено из Битрикс-Коробка#"/>
    <m/>
    <m/>
    <n v="267075"/>
    <s v="1С-Отч Конечным пользователям"/>
    <m/>
    <m/>
    <m/>
    <m/>
    <m/>
    <m/>
    <s v="Не было отгрузок"/>
    <m/>
    <m/>
    <m/>
    <m/>
    <s v="Нет"/>
    <m/>
    <m/>
    <m/>
    <m/>
    <m/>
    <m/>
    <m/>
    <m/>
    <m/>
    <m/>
    <s v="УЦ"/>
    <m/>
    <m/>
    <s v="Не нужно"/>
    <m/>
    <m/>
    <m/>
    <m/>
    <m/>
    <m/>
    <m/>
    <m/>
    <s v="1С-Отчётность"/>
    <m/>
    <s v="Отправить КП/cчё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Уточнить инфо о клиенте"/>
    <m/>
    <m/>
    <m/>
    <m/>
    <m/>
    <d v="2026-08-31T18:00:00"/>
    <d v="2026-08-26T16:07:32"/>
    <m/>
    <m/>
    <m/>
    <m/>
    <m/>
    <m/>
    <m/>
    <m/>
    <m/>
    <m/>
    <m/>
    <m/>
    <m/>
    <m/>
    <m/>
    <m/>
    <m/>
    <m/>
    <m/>
    <n v="398625"/>
    <m/>
    <m/>
    <s v="Гелий"/>
    <m/>
    <m/>
    <m/>
    <m/>
    <s v="Клиенты"/>
    <s v="ROBOT"/>
    <m/>
    <s v="Звонок"/>
    <s v="Звонок поступил на номер: ЦП 78-00-00 (62)."/>
    <s v="Да"/>
    <s v="Багланова Антонина"/>
    <d v="2026-08-26T16:47:11"/>
    <s v="ROBOT"/>
    <d v="2026-08-26T16:47:11"/>
    <m/>
    <m/>
    <n v="79646565655"/>
    <m/>
    <m/>
    <m/>
    <m/>
    <m/>
    <m/>
    <m/>
    <m/>
    <m/>
    <m/>
    <m/>
    <m/>
    <m/>
    <m/>
    <m/>
    <m/>
    <m/>
    <m/>
    <m/>
    <m/>
    <m/>
    <m/>
    <m/>
    <m/>
    <m/>
    <m/>
    <m/>
    <m/>
    <s v="Москва"/>
    <d v="2026-08-26T00:00:00"/>
    <s v="Да"/>
    <m/>
    <m/>
    <m/>
    <m/>
    <s v="Нет"/>
    <m/>
    <n v="258529"/>
    <m/>
    <s v="ООО &quot;ФЕРТУМ&quot; 7751320085#"/>
    <s v="Клиент"/>
    <s v="менее 50"/>
    <s v="ROBOT"/>
    <m/>
    <s v="Информационные технологии"/>
    <s v="0.00"/>
    <s v="Российский рубль"/>
    <m/>
    <s v="Багланова Антонина"/>
    <d v="2026-08-26T16:34:46"/>
    <s v="ROBOT_UT"/>
    <d v="2026-08-31T18:33:23"/>
    <m/>
    <m/>
    <n v="79260313811"/>
    <m/>
    <m/>
    <m/>
    <m/>
    <m/>
    <m/>
    <m/>
    <m/>
    <m/>
    <m/>
    <m/>
    <m/>
    <s v="info@infratsrv.ru"/>
    <m/>
    <m/>
    <m/>
    <m/>
    <m/>
    <m/>
    <m/>
    <m/>
    <m/>
    <m/>
    <m/>
    <m/>
    <m/>
    <m/>
    <m/>
    <m/>
    <n v="0"/>
    <m/>
    <d v="2024-07-10T00:00:00"/>
    <m/>
    <s v="81.10 Деятельность по комплексному обслуживанию помещений"/>
    <m/>
    <s v="Нет"/>
    <m/>
    <m/>
    <s v="ООО ФЕРТУМ 7751320085"/>
    <s v="КОММУНАРКА"/>
    <n v="7751320085"/>
    <m/>
    <m/>
    <m/>
    <m/>
    <s v="info@infratsrv.ru"/>
    <m/>
    <m/>
    <s v="Свой контакт (Менеджер)"/>
    <m/>
    <s v="Коммерческие"/>
    <s v="ООО"/>
    <n v="129097"/>
    <s v="Москва и Московская область - 5 час"/>
    <m/>
    <m/>
    <m/>
    <s v="Нет"/>
    <m/>
    <m/>
    <m/>
    <m/>
    <s v="Нет"/>
    <s v="Услуги. Прочие"/>
    <m/>
    <m/>
    <m/>
    <s v="9a3e43ab-616a-4913-a5e2-07d8a36067f8"/>
  </r>
  <r>
    <n v="319865"/>
    <s v="ЦП. 1С. Продажи"/>
    <s v="Y"/>
    <s v="N"/>
    <x v="7"/>
    <m/>
    <m/>
    <m/>
    <m/>
    <m/>
    <s v="Соболев Максим"/>
    <s v="ONE_C"/>
    <s v="ИП Захленюк Андрей Владимирович 850300582307# - 1С-ЭПД"/>
    <s v="Продажа"/>
    <s v="Свой контакт (Менеджер)"/>
    <m/>
    <n v="1400"/>
    <s v="Российский рубль"/>
    <s v="ИП Захленюк Андрей Владимирович 850300582307#"/>
    <s v="Сучкова Татьяна Владимировна"/>
    <m/>
    <s v="нет"/>
    <d v="2026-08-26T16:38:36"/>
    <s v="Соболев Максим"/>
    <d v="2026-08-31T14:15:26"/>
    <s v="ROBOT"/>
    <d v="2026-08-26T00:00:00"/>
    <d v="2026-09-02T00:00:00"/>
    <s v="1С-ЭДО. ЭПД-200 на 12 месяцев"/>
    <n v="1400"/>
    <n v="1"/>
    <m/>
    <m/>
    <m/>
    <m/>
    <m/>
    <n v="508"/>
    <d v="2026-08-27T16:13:27"/>
    <m/>
    <m/>
    <m/>
    <m/>
    <m/>
    <m/>
    <s v="Договор-оферта"/>
    <s v="Нет"/>
    <n v="1"/>
    <m/>
    <m/>
    <m/>
    <s v="Олонки с"/>
    <s v="ЦП. 1С и ИТС. Коммерция"/>
    <m/>
    <m/>
    <m/>
    <m/>
    <m/>
    <m/>
    <n v="0"/>
    <m/>
    <m/>
    <m/>
    <m/>
    <n v="3"/>
    <s v="/upload/crm/020/8yjo1ykwgogc5wqwohwfk2a9a0izchbi/Договор-оферта.txt"/>
    <s v="ФРДТ-018973"/>
    <m/>
    <s v="ЦП. 1С. Коммерция"/>
    <m/>
    <s v="Отсутствует, физлицо"/>
    <m/>
    <m/>
    <d v="2026-08-26T00:00:00"/>
    <m/>
    <m/>
    <s v="[CO]ООО НПФ &quot;ФОРУС&quot; 3812023430#"/>
    <s v="Сервисы"/>
    <m/>
    <m/>
    <s v="Коммерческие"/>
    <m/>
    <m/>
    <s v="Обычный"/>
    <m/>
    <m/>
    <s v="#Загружено из Битрикс-Коробка#"/>
    <d v="2026-08-27T00:00:00"/>
    <m/>
    <m/>
    <s v="1С-ЭДО ЭПД"/>
    <m/>
    <m/>
    <m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-ЭПД"/>
    <s v="Оплаче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Оплачено"/>
    <m/>
    <m/>
    <m/>
    <m/>
    <m/>
    <d v="2026-08-31T13:45:14"/>
    <d v="2026-08-31T15:33:37"/>
    <s v="Завершен"/>
    <m/>
    <m/>
    <m/>
    <s v="Выполняется"/>
    <m/>
    <m/>
    <m/>
    <m/>
    <m/>
    <m/>
    <m/>
    <m/>
    <m/>
    <m/>
    <m/>
    <m/>
    <m/>
    <m/>
    <n v="174407"/>
    <m/>
    <m/>
    <s v="Татьяна"/>
    <s v="Сучкова"/>
    <s v="Владимировна"/>
    <m/>
    <m/>
    <m/>
    <s v="ROBOT"/>
    <s v="[p] &amp;#91;Автор=RobotIntegro&amp;#93; [/p]"/>
    <m/>
    <m/>
    <s v="Да"/>
    <s v="ROBOT_M"/>
    <d v="2021-07-09T09:30:43"/>
    <s v="Соболев Максим"/>
    <d v="2026-08-31T13:45:23"/>
    <m/>
    <n v="73952244147"/>
    <n v="158893391855"/>
    <m/>
    <m/>
    <m/>
    <m/>
    <m/>
    <m/>
    <m/>
    <m/>
    <m/>
    <m/>
    <m/>
    <m/>
    <s v="cao@fskpsm.ru"/>
    <m/>
    <m/>
    <m/>
    <m/>
    <m/>
    <m/>
    <m/>
    <m/>
    <m/>
    <m/>
    <m/>
    <m/>
    <m/>
    <m/>
    <m/>
    <s v="Иркутск г"/>
    <d v="2020-12-01T00:00:00"/>
    <s v="Да"/>
    <m/>
    <s v="Иркутская область 0 часов"/>
    <m/>
    <m/>
    <s v="Нет"/>
    <s v="0fc8e4cd-c0cc-43ef-8081-1e1d461a71fb"/>
    <n v="157078"/>
    <m/>
    <s v="ИП Захленюк Андрей Владимирович 850300582307#"/>
    <s v="Клиент"/>
    <m/>
    <s v="ROBOT"/>
    <m/>
    <m/>
    <m/>
    <s v="Российский рубль"/>
    <m/>
    <s v="ROBOT_M"/>
    <d v="2021-08-02T21:55:11"/>
    <s v="ROBOT_UT"/>
    <d v="2026-08-31T14:15:27"/>
    <m/>
    <m/>
    <n v="79086631825"/>
    <m/>
    <m/>
    <m/>
    <m/>
    <m/>
    <m/>
    <m/>
    <m/>
    <m/>
    <m/>
    <m/>
    <m/>
    <s v="zav78irk@gmail.com, cao@psm-irk.ru"/>
    <m/>
    <m/>
    <m/>
    <m/>
    <m/>
    <m/>
    <m/>
    <m/>
    <m/>
    <m/>
    <m/>
    <s v="imol|ank_chats_app24_whatsapp|32|79086631825|2040"/>
    <m/>
    <m/>
    <n v="2040"/>
    <m/>
    <n v="0"/>
    <s v="cao@psm-irk.ru"/>
    <m/>
    <m/>
    <s v="49.41 Деятельность автомобильного грузового транспорта"/>
    <m/>
    <s v="Нет"/>
    <d v="2022-02-28T00:00:00"/>
    <d v="2025-05-29T00:00:00"/>
    <s v="ИП Захленюк Андрей Владимирович"/>
    <s v="Олонки с"/>
    <n v="850300582307"/>
    <m/>
    <m/>
    <m/>
    <m/>
    <s v="zav78irk@gmail.com"/>
    <m/>
    <s v="Отсутствует, физлицо"/>
    <m/>
    <m/>
    <s v="Коммерческие"/>
    <s v="ИП"/>
    <n v="90292"/>
    <s v="Иркутская область 0 часов"/>
    <m/>
    <m/>
    <m/>
    <m/>
    <m/>
    <m/>
    <m/>
    <m/>
    <s v="Нет"/>
    <s v="Услуги. Перевозки, логистика, склад"/>
    <m/>
    <m/>
    <m/>
    <s v="fdd9a73d-36c2-4da5-8a15-7690a8a75f2a"/>
  </r>
  <r>
    <n v="319852"/>
    <s v="ЦП. ФРЕШ. Продажи"/>
    <s v="N"/>
    <s v="N"/>
    <x v="9"/>
    <m/>
    <m/>
    <m/>
    <m/>
    <m/>
    <s v="Федосеев Максим"/>
    <m/>
    <s v="Оксана Фреш Баз. БП"/>
    <s v="Продажа"/>
    <s v="Звонок"/>
    <s v="Звонок поступил на номер: ЦП 78-00-00 (62)."/>
    <s v="0.00"/>
    <s v="Российский рубль"/>
    <m/>
    <s v="Оксана"/>
    <m/>
    <s v="нет"/>
    <d v="2026-08-26T15:49:09"/>
    <s v="Федосеев Максим"/>
    <d v="2026-08-31T00:07:07"/>
    <s v="ROBOT_M"/>
    <d v="2026-08-26T00:00:00"/>
    <d v="2026-09-02T00:00:00"/>
    <m/>
    <m/>
    <m/>
    <m/>
    <m/>
    <m/>
    <m/>
    <m/>
    <n v="14748"/>
    <d v="2026-08-26T15:53:31"/>
    <m/>
    <m/>
    <m/>
    <m/>
    <m/>
    <m/>
    <m/>
    <s v="Нет"/>
    <n v="1"/>
    <s v="sibtrans.38@mail.ru"/>
    <n v="79041483130"/>
    <m/>
    <m/>
    <s v="ЦП. 1С и ИТС. Коммерция"/>
    <d v="2026-09-25T00:00:00"/>
    <m/>
    <m/>
    <m/>
    <d v="2026-09-25T00:00:00"/>
    <m/>
    <n v="0"/>
    <s v="Оксана"/>
    <m/>
    <m/>
    <m/>
    <n v="5"/>
    <m/>
    <m/>
    <m/>
    <s v="ЦП. 1С. Коммерция"/>
    <m/>
    <m/>
    <m/>
    <m/>
    <m/>
    <m/>
    <m/>
    <m/>
    <m/>
    <m/>
    <m/>
    <m/>
    <m/>
    <m/>
    <s v="Обычный"/>
    <m/>
    <m/>
    <m/>
    <m/>
    <m/>
    <n v="267048"/>
    <m/>
    <m/>
    <m/>
    <m/>
    <m/>
    <m/>
    <m/>
    <s v="Не было отгрузок"/>
    <m/>
    <m/>
    <m/>
    <m/>
    <s v="Нет"/>
    <m/>
    <m/>
    <m/>
    <s v="ФРЕШ. Базовый"/>
    <s v="1С:Бух +ЭТК"/>
    <s v="-"/>
    <s v="Основная"/>
    <m/>
    <m/>
    <s v="Отправить счет / договор"/>
    <s v="ФРЕШ и ГРМ"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28T11:00:00"/>
    <d v="2026-08-31T12:08:29"/>
    <m/>
    <m/>
    <m/>
    <m/>
    <m/>
    <m/>
    <m/>
    <m/>
    <m/>
    <m/>
    <m/>
    <m/>
    <m/>
    <m/>
    <m/>
    <m/>
    <m/>
    <m/>
    <m/>
    <n v="398608"/>
    <m/>
    <m/>
    <s v="Оксана"/>
    <m/>
    <m/>
    <m/>
    <m/>
    <s v="Клиенты"/>
    <s v="ROBOT"/>
    <m/>
    <s v="Свой контакт (Менеджер)"/>
    <m/>
    <s v="Да"/>
    <s v="Федосеев Максим"/>
    <d v="2026-08-26T15:49:37"/>
    <s v="ROBOT"/>
    <d v="2026-08-26T15:49:38"/>
    <m/>
    <m/>
    <n v="79041483130"/>
    <m/>
    <m/>
    <m/>
    <m/>
    <m/>
    <m/>
    <m/>
    <m/>
    <m/>
    <m/>
    <m/>
    <m/>
    <s v="sibtrans.38@mail.ru"/>
    <m/>
    <m/>
    <m/>
    <m/>
    <m/>
    <m/>
    <m/>
    <m/>
    <m/>
    <m/>
    <m/>
    <m/>
    <m/>
    <m/>
    <m/>
    <m/>
    <d v="2026-08-26T00:00:00"/>
    <s v="Да"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9824"/>
    <s v="ЦП. 1С. Продажи"/>
    <s v="Y"/>
    <s v="N"/>
    <x v="3"/>
    <m/>
    <m/>
    <m/>
    <m/>
    <m/>
    <s v="Россинский Вадим"/>
    <s v="ONE_C"/>
    <s v="ООО &quot;СИБЭЛЕКТРОСТИЛЬ +&quot; 3808088241# - 1С Разовые услуги (консультации)"/>
    <s v="Продажа"/>
    <s v="Звонок"/>
    <s v="Звонок поступил на номер: ЦКС. Основной 78-23-08 (94)."/>
    <n v="7320"/>
    <s v="Российский рубль"/>
    <s v="ООО &quot;СИБЭЛЕКТРОСТИЛЬ +&quot; 3808088241#"/>
    <s v="Суродин Сергей Викторович"/>
    <m/>
    <s v="нет"/>
    <d v="2026-08-26T14:01:46"/>
    <s v="Россинский Вадим"/>
    <d v="2026-08-31T00:07:57"/>
    <s v="ROBOT_M"/>
    <d v="2026-08-26T00:00:00"/>
    <d v="2026-09-02T00:00:00"/>
    <s v="Линия консультаций и техподдержка 1С"/>
    <n v="3660"/>
    <n v="2"/>
    <m/>
    <m/>
    <m/>
    <m/>
    <m/>
    <n v="15488"/>
    <d v="2026-08-26T14:54:21"/>
    <m/>
    <m/>
    <m/>
    <m/>
    <m/>
    <m/>
    <s v="Договор-оферта"/>
    <s v="Нет"/>
    <n v="1"/>
    <m/>
    <n v="73952559944"/>
    <m/>
    <s v="Иркутск г"/>
    <s v="ЦП. 1С и ИТС. Коммерция"/>
    <m/>
    <m/>
    <m/>
    <m/>
    <m/>
    <m/>
    <m/>
    <m/>
    <m/>
    <m/>
    <m/>
    <n v="3"/>
    <m/>
    <s v="ФРДТ-018950"/>
    <m/>
    <s v="ЦП. 1С. Коммерция"/>
    <m/>
    <m/>
    <m/>
    <m/>
    <d v="2026-08-26T00:00:00"/>
    <m/>
    <m/>
    <s v="[CO]ООО НПФ &quot;ФОРУС&quot; 3812023430#"/>
    <s v="Оказание услуг"/>
    <m/>
    <m/>
    <s v="Коммерческие"/>
    <m/>
    <m/>
    <s v="Обычный"/>
    <m/>
    <m/>
    <s v="#Загружено из Битрикс-Коробка#"/>
    <m/>
    <m/>
    <n v="266991"/>
    <s v="Услуги ЦСВ 1С консультации"/>
    <m/>
    <m/>
    <m/>
    <m/>
    <m/>
    <m/>
    <s v="Не было отгрузок"/>
    <m/>
    <m/>
    <m/>
    <m/>
    <s v="Нет"/>
    <m/>
    <m/>
    <m/>
    <m/>
    <m/>
    <m/>
    <m/>
    <m/>
    <m/>
    <m/>
    <s v="АРХИВ_1С Разовые услуги (консультации)"/>
    <m/>
    <m/>
    <s v="Не нужно"/>
    <m/>
    <m/>
    <m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8-31T00:07:07"/>
    <d v="2026-08-27T17:14:09"/>
    <m/>
    <m/>
    <m/>
    <m/>
    <m/>
    <m/>
    <m/>
    <m/>
    <m/>
    <m/>
    <m/>
    <m/>
    <m/>
    <m/>
    <m/>
    <m/>
    <m/>
    <m/>
    <m/>
    <n v="140209"/>
    <m/>
    <m/>
    <s v="Сергей"/>
    <s v="Суродин"/>
    <s v="Викторович"/>
    <d v="2001-01-01T00:00:00"/>
    <m/>
    <m/>
    <s v="ROBOT"/>
    <s v="[Автор=RobotIntegro][Редактор=БитриксКоробка]"/>
    <m/>
    <m/>
    <s v="Да"/>
    <s v="ROBOT_M"/>
    <d v="2021-07-08T19:32:05"/>
    <s v="ROBOT_UT"/>
    <d v="2026-08-28T06:44:30"/>
    <m/>
    <n v="73952670950"/>
    <s v="+7 (902) 5770950, +79025770950"/>
    <m/>
    <m/>
    <m/>
    <m/>
    <m/>
    <m/>
    <m/>
    <m/>
    <m/>
    <m/>
    <m/>
    <m/>
    <s v="2003@sibstil.ru, surodinsv@inbox.ru"/>
    <m/>
    <m/>
    <m/>
    <m/>
    <m/>
    <m/>
    <m/>
    <m/>
    <m/>
    <m/>
    <m/>
    <m/>
    <m/>
    <m/>
    <m/>
    <s v="Иркутск г."/>
    <d v="2021-06-09T00:00:00"/>
    <s v="Да"/>
    <m/>
    <s v="Иркутская область 0 часов"/>
    <m/>
    <m/>
    <s v="Нет"/>
    <s v="0e56ce4b-6769-4fba-b44c-ad2ebe03f9b1"/>
    <n v="121900"/>
    <m/>
    <s v="ООО &quot;СИБЭЛЕКТРОСТИЛЬ +&quot; 3808088241#"/>
    <s v="Клиент"/>
    <m/>
    <s v="ROBOT"/>
    <m/>
    <m/>
    <m/>
    <s v="Российский рубль"/>
    <m/>
    <s v="ROBOT_M"/>
    <d v="2021-07-07T07:53:42"/>
    <s v="ROBOT_M"/>
    <d v="2026-08-27T17:39:38"/>
    <m/>
    <n v="73952559944"/>
    <m/>
    <m/>
    <m/>
    <m/>
    <m/>
    <m/>
    <m/>
    <m/>
    <m/>
    <m/>
    <m/>
    <m/>
    <m/>
    <s v="2003@sibstil.ru"/>
    <m/>
    <m/>
    <m/>
    <m/>
    <m/>
    <m/>
    <m/>
    <m/>
    <m/>
    <m/>
    <m/>
    <m/>
    <m/>
    <m/>
    <m/>
    <m/>
    <n v="0"/>
    <m/>
    <d v="2003-03-12T00:00:00"/>
    <m/>
    <s v="46.90 Торговля оптовая неспециализированная"/>
    <m/>
    <s v="Нет"/>
    <d v="2010-07-09T00:00:00"/>
    <d v="2023-10-11T00:00:00"/>
    <s v="СИБЭЛЕКТРОСТИЛЬ + ООО"/>
    <s v="Иркутск г"/>
    <n v="3808088241"/>
    <m/>
    <m/>
    <m/>
    <m/>
    <m/>
    <m/>
    <m/>
    <m/>
    <m/>
    <s v="Коммерческие"/>
    <s v="ООО"/>
    <n v="4160"/>
    <s v="Иркутская область 0 часов"/>
    <m/>
    <m/>
    <m/>
    <m/>
    <m/>
    <m/>
    <m/>
    <m/>
    <s v="Нет"/>
    <s v="Торговля. Прочая"/>
    <m/>
    <m/>
    <m/>
    <s v="26375259-c288-4745-a961-5f1acc495fec"/>
  </r>
  <r>
    <n v="319792"/>
    <s v="ЦП. 1С. Продажи"/>
    <s v="Y"/>
    <s v="N"/>
    <x v="3"/>
    <m/>
    <m/>
    <m/>
    <m/>
    <m/>
    <s v="Соболев Максим"/>
    <s v="ONE_C"/>
    <s v="ООО &quot;ИДК&quot; 3812117103# - 1С КП ПРОФ"/>
    <s v="Продажа"/>
    <s v="Свой контакт (Менеджер)"/>
    <m/>
    <n v="38000"/>
    <s v="Российский рубль"/>
    <s v="ООО &quot;ИДК&quot; 3812117103#"/>
    <s v="Руднева Виктория Валерьевна"/>
    <m/>
    <s v="нет"/>
    <d v="2026-08-26T12:31:56"/>
    <s v="Соболев Максим"/>
    <d v="2026-08-31T00:07:56"/>
    <s v="ROBOT_M"/>
    <d v="2026-08-26T00:00:00"/>
    <d v="2026-09-02T00:00:00"/>
    <s v="1С:КП ПРОФ на 12 месяцев по схеме 8+4"/>
    <n v="38000"/>
    <n v="1"/>
    <m/>
    <m/>
    <m/>
    <m/>
    <m/>
    <n v="508"/>
    <d v="2026-08-26T12:57:07"/>
    <m/>
    <m/>
    <m/>
    <m/>
    <m/>
    <m/>
    <s v="Договор-оферта"/>
    <s v="Нет"/>
    <n v="1"/>
    <m/>
    <m/>
    <m/>
    <s v="Иркутск г"/>
    <s v="ЦП. 1С и ИТС. Коммерция"/>
    <m/>
    <m/>
    <m/>
    <m/>
    <m/>
    <m/>
    <m/>
    <m/>
    <m/>
    <m/>
    <m/>
    <n v="1"/>
    <m/>
    <s v="ФРДТ-018932"/>
    <m/>
    <s v="ЦП. 1С. Коммерция"/>
    <m/>
    <m/>
    <m/>
    <m/>
    <d v="2026-08-26T00:00:00"/>
    <m/>
    <m/>
    <s v="[CO]ООО НПФ &quot;ФОРУС&quot; 3812023430#"/>
    <s v="Сервисы"/>
    <m/>
    <m/>
    <s v="Коммерческие"/>
    <m/>
    <m/>
    <s v="Обычный"/>
    <m/>
    <m/>
    <s v="#Загружено из Битрикс-Коробка#"/>
    <m/>
    <m/>
    <m/>
    <s v="ИТС КП ПРОФ"/>
    <m/>
    <m/>
    <m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 КП ПРОФ"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8-31T00:07:05"/>
    <d v="2026-08-26T15:01:55"/>
    <s v="Завершен"/>
    <m/>
    <m/>
    <m/>
    <m/>
    <m/>
    <m/>
    <m/>
    <m/>
    <m/>
    <m/>
    <m/>
    <m/>
    <m/>
    <m/>
    <m/>
    <m/>
    <m/>
    <m/>
    <n v="247606"/>
    <m/>
    <m/>
    <s v="Виктория"/>
    <s v="Руднева"/>
    <s v="Валерьевна"/>
    <m/>
    <m/>
    <m/>
    <s v="ROBOT"/>
    <s v="#Загружен из ЕГРЮЛ#[Редактор=Аббасов Дадашхан Рамил оглы]"/>
    <m/>
    <m/>
    <s v="Да"/>
    <s v="ROBOT_M"/>
    <d v="2021-08-04T21:12:52"/>
    <s v="ROBOT"/>
    <d v="2026-08-26T12:28:30"/>
    <m/>
    <m/>
    <n v="79016601099"/>
    <m/>
    <m/>
    <m/>
    <m/>
    <m/>
    <m/>
    <m/>
    <m/>
    <m/>
    <m/>
    <m/>
    <m/>
    <s v="vrudneva@irkdk.ru"/>
    <m/>
    <m/>
    <m/>
    <m/>
    <m/>
    <m/>
    <m/>
    <m/>
    <m/>
    <m/>
    <m/>
    <m/>
    <m/>
    <m/>
    <m/>
    <s v="Иркутск г"/>
    <d v="2021-04-22T00:00:00"/>
    <s v="Да"/>
    <m/>
    <s v="Иркутская область 0 часов"/>
    <m/>
    <m/>
    <s v="Нет"/>
    <s v="a98e88a8-a68c-49e9-bc3d-5ce9607678f9"/>
    <n v="148625"/>
    <m/>
    <s v="ООО &quot;ИДК&quot; 3812117103#"/>
    <s v="Клиент"/>
    <m/>
    <s v="ROBOT"/>
    <m/>
    <m/>
    <m/>
    <s v="Российский рубль"/>
    <m/>
    <s v="ROBOT_M"/>
    <d v="2021-08-02T06:54:44"/>
    <s v="ROBOT_UT"/>
    <d v="2026-08-26T13:22:47"/>
    <m/>
    <n v="221857426841"/>
    <n v="714024470290"/>
    <m/>
    <m/>
    <m/>
    <m/>
    <m/>
    <m/>
    <m/>
    <m/>
    <m/>
    <m/>
    <m/>
    <m/>
    <s v="mail@irkdk.ru, tender@irkdk.ru"/>
    <m/>
    <m/>
    <m/>
    <m/>
    <m/>
    <m/>
    <m/>
    <m/>
    <m/>
    <m/>
    <s v="imol|livechat|27|156087|17969"/>
    <m/>
    <m/>
    <m/>
    <n v="17969"/>
    <m/>
    <n v="0"/>
    <m/>
    <d v="2015-12-02T00:00:00"/>
    <m/>
    <s v="46.90 Торговля оптовая неспециализированная"/>
    <m/>
    <s v="Нет"/>
    <d v="2022-03-01T00:00:00"/>
    <d v="2022-11-30T00:00:00"/>
    <s v="ИДК ООО"/>
    <s v="Иркутск г"/>
    <n v="3812117103"/>
    <m/>
    <m/>
    <m/>
    <m/>
    <m/>
    <m/>
    <m/>
    <m/>
    <m/>
    <s v="Коммерческие"/>
    <s v="ООО"/>
    <n v="90800"/>
    <s v="Иркутская область 0 часов"/>
    <m/>
    <m/>
    <m/>
    <m/>
    <m/>
    <m/>
    <m/>
    <m/>
    <s v="Нет"/>
    <s v="Торговля. Прочая"/>
    <m/>
    <m/>
    <m/>
    <s v="e40fa169-ca17-11e5-89ac-0026554f9a58"/>
  </r>
  <r>
    <n v="319791"/>
    <s v="ЦП. 1С. Продажи"/>
    <s v="Y"/>
    <s v="N"/>
    <x v="3"/>
    <m/>
    <m/>
    <m/>
    <m/>
    <m/>
    <s v="Соболев Максим"/>
    <s v="ONE_C"/>
    <s v="ООО &quot;ИДК&quot; 3812117103# - 1C КП Отраслевой"/>
    <s v="Продажа"/>
    <s v="Свой контакт (Менеджер)"/>
    <m/>
    <n v="45160"/>
    <s v="Российский рубль"/>
    <s v="ООО &quot;ИДК&quot; 3812117103#"/>
    <s v="Руднева Виктория Валерьевна"/>
    <m/>
    <s v="нет"/>
    <d v="2026-08-26T12:31:45"/>
    <s v="Соболев Максим"/>
    <d v="2026-08-31T00:07:56"/>
    <s v="ROBOT_M"/>
    <d v="2026-08-26T00:00:00"/>
    <d v="2026-09-02T00:00:00"/>
    <s v="1С:КП Отраслевой ПРОФ, 2-я Категория на 12 месяцев, при пролонгации без перерыва"/>
    <n v="45160"/>
    <n v="1"/>
    <m/>
    <m/>
    <m/>
    <m/>
    <m/>
    <n v="508"/>
    <d v="2026-08-26T13:21:12"/>
    <m/>
    <m/>
    <m/>
    <m/>
    <m/>
    <m/>
    <s v="Договор-оферта"/>
    <s v="Нет"/>
    <n v="1"/>
    <m/>
    <m/>
    <m/>
    <s v="Иркутск г"/>
    <s v="ЦП. 1С и ИТС. Коммерция"/>
    <m/>
    <m/>
    <m/>
    <m/>
    <m/>
    <m/>
    <n v="0"/>
    <m/>
    <m/>
    <m/>
    <m/>
    <n v="0"/>
    <m/>
    <s v="ФРДТ-018937"/>
    <m/>
    <s v="ЦП. 1С. Коммерция"/>
    <m/>
    <m/>
    <m/>
    <m/>
    <d v="2026-08-26T00:00:00"/>
    <m/>
    <m/>
    <s v="[CO]ООО НПФ &quot;ФОРУС&quot; 3812023430#"/>
    <s v="Сервисы"/>
    <m/>
    <m/>
    <s v="Коммерческие"/>
    <m/>
    <m/>
    <s v="Обычный"/>
    <m/>
    <m/>
    <s v="#Загружено из Битрикс-Коробка#"/>
    <m/>
    <m/>
    <m/>
    <s v="ИТС КП Отраслевые"/>
    <m/>
    <m/>
    <m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C КП Отраслевой"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8-31T00:07:06"/>
    <d v="2026-08-26T15:01:55"/>
    <s v="Завершен"/>
    <m/>
    <m/>
    <m/>
    <m/>
    <m/>
    <m/>
    <m/>
    <m/>
    <m/>
    <m/>
    <m/>
    <m/>
    <m/>
    <m/>
    <m/>
    <m/>
    <m/>
    <m/>
    <n v="247606"/>
    <m/>
    <m/>
    <s v="Виктория"/>
    <s v="Руднева"/>
    <s v="Валерьевна"/>
    <m/>
    <m/>
    <m/>
    <s v="ROBOT"/>
    <s v="#Загружен из ЕГРЮЛ#[Редактор=Аббасов Дадашхан Рамил оглы]"/>
    <m/>
    <m/>
    <s v="Да"/>
    <s v="ROBOT_M"/>
    <d v="2021-08-04T21:12:52"/>
    <s v="ROBOT"/>
    <d v="2026-08-26T12:28:30"/>
    <m/>
    <m/>
    <n v="79016601099"/>
    <m/>
    <m/>
    <m/>
    <m/>
    <m/>
    <m/>
    <m/>
    <m/>
    <m/>
    <m/>
    <m/>
    <m/>
    <s v="vrudneva@irkdk.ru"/>
    <m/>
    <m/>
    <m/>
    <m/>
    <m/>
    <m/>
    <m/>
    <m/>
    <m/>
    <m/>
    <m/>
    <m/>
    <m/>
    <m/>
    <m/>
    <s v="Иркутск г"/>
    <d v="2021-04-22T00:00:00"/>
    <s v="Да"/>
    <m/>
    <s v="Иркутская область 0 часов"/>
    <m/>
    <m/>
    <s v="Нет"/>
    <s v="a98e88a8-a68c-49e9-bc3d-5ce9607678f9"/>
    <n v="148625"/>
    <m/>
    <s v="ООО &quot;ИДК&quot; 3812117103#"/>
    <s v="Клиент"/>
    <m/>
    <s v="ROBOT"/>
    <m/>
    <m/>
    <m/>
    <s v="Российский рубль"/>
    <m/>
    <s v="ROBOT_M"/>
    <d v="2021-08-02T06:54:44"/>
    <s v="ROBOT_UT"/>
    <d v="2026-08-26T13:22:47"/>
    <m/>
    <n v="221857426841"/>
    <n v="714024470290"/>
    <m/>
    <m/>
    <m/>
    <m/>
    <m/>
    <m/>
    <m/>
    <m/>
    <m/>
    <m/>
    <m/>
    <m/>
    <s v="mail@irkdk.ru, tender@irkdk.ru"/>
    <m/>
    <m/>
    <m/>
    <m/>
    <m/>
    <m/>
    <m/>
    <m/>
    <m/>
    <m/>
    <s v="imol|livechat|27|156087|17969"/>
    <m/>
    <m/>
    <m/>
    <n v="17969"/>
    <m/>
    <n v="0"/>
    <m/>
    <d v="2015-12-02T00:00:00"/>
    <m/>
    <s v="46.90 Торговля оптовая неспециализированная"/>
    <m/>
    <s v="Нет"/>
    <d v="2022-03-01T00:00:00"/>
    <d v="2022-11-30T00:00:00"/>
    <s v="ИДК ООО"/>
    <s v="Иркутск г"/>
    <n v="3812117103"/>
    <m/>
    <m/>
    <m/>
    <m/>
    <m/>
    <m/>
    <m/>
    <m/>
    <m/>
    <s v="Коммерческие"/>
    <s v="ООО"/>
    <n v="90800"/>
    <s v="Иркутская область 0 часов"/>
    <m/>
    <m/>
    <m/>
    <m/>
    <m/>
    <m/>
    <m/>
    <m/>
    <s v="Нет"/>
    <s v="Торговля. Прочая"/>
    <m/>
    <m/>
    <m/>
    <s v="e40fa169-ca17-11e5-89ac-0026554f9a58"/>
  </r>
  <r>
    <n v="319786"/>
    <s v="ЦП. 1С. Продажи"/>
    <s v="Y"/>
    <s v="N"/>
    <x v="3"/>
    <m/>
    <m/>
    <m/>
    <m/>
    <m/>
    <s v="Соболев Максим"/>
    <s v="ONE_C"/>
    <s v="ООО &quot;ИДК&quot; 3812117103# - 1С Отраслевые решения"/>
    <s v="Продажа"/>
    <s v="Звонок"/>
    <s v="Звонок поступил на номер: ЦП 78-00-00 (62)."/>
    <n v="31800"/>
    <s v="Российский рубль"/>
    <s v="ООО &quot;ИДК&quot; 3812117103#"/>
    <s v="Руднева Виктория Валерьевна"/>
    <m/>
    <s v="нет"/>
    <d v="2026-08-26T12:10:24"/>
    <s v="Соболев Максим"/>
    <d v="2026-08-31T00:07:56"/>
    <s v="ROBOT_M"/>
    <d v="2026-08-26T00:00:00"/>
    <d v="2026-09-02T00:00:00"/>
    <s v="1С:Предприятие 8 ПРОФ. Клиентская лицензия на 5 рабочих мест. Электронная поставка (&lt;&gt;)"/>
    <n v="31800"/>
    <n v="1"/>
    <m/>
    <m/>
    <m/>
    <m/>
    <m/>
    <n v="508"/>
    <d v="2026-08-26T13:19:20"/>
    <m/>
    <m/>
    <m/>
    <m/>
    <m/>
    <m/>
    <s v="Договор-оферта"/>
    <s v="Нет"/>
    <n v="1"/>
    <m/>
    <n v="73952550099"/>
    <m/>
    <s v="Иркутск г"/>
    <s v="ЦП. 1С и ИТС. Коммерция"/>
    <m/>
    <m/>
    <m/>
    <m/>
    <m/>
    <m/>
    <n v="0"/>
    <m/>
    <m/>
    <m/>
    <m/>
    <n v="2"/>
    <m/>
    <s v="ФРДТ-018928"/>
    <m/>
    <s v="ЦП. 1С. Коммерция"/>
    <m/>
    <m/>
    <m/>
    <m/>
    <d v="2026-08-26T00:00:00"/>
    <m/>
    <m/>
    <s v="[CO]ООО НПФ &quot;ФОРУС&quot; 3812023430#"/>
    <s v="Сублицензионный"/>
    <m/>
    <m/>
    <s v="Коммерческие"/>
    <m/>
    <m/>
    <s v="Обычный"/>
    <m/>
    <m/>
    <s v="#Загружено из Битрикс-Коробка#"/>
    <m/>
    <m/>
    <n v="266940"/>
    <s v="1С КлЛиц ПРОФ;1С-Совместимо;1С-Совместимо КлЛицензии;1С СервЛиц Мини"/>
    <m/>
    <m/>
    <m/>
    <m/>
    <m/>
    <m/>
    <s v="Не было отгрузок"/>
    <m/>
    <m/>
    <m/>
    <m/>
    <s v="Нет"/>
    <m/>
    <m/>
    <m/>
    <m/>
    <m/>
    <m/>
    <m/>
    <m/>
    <m/>
    <m/>
    <s v="1С Программы и лицензии"/>
    <s v="1С Отраслевые решения"/>
    <s v="Эл. Поставка"/>
    <s v="Не нужно"/>
    <m/>
    <m/>
    <m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8-31T00:07:05"/>
    <d v="2026-08-26T15:01:55"/>
    <s v="Завершен"/>
    <m/>
    <s v="Выполняется"/>
    <m/>
    <m/>
    <m/>
    <m/>
    <m/>
    <m/>
    <m/>
    <m/>
    <m/>
    <m/>
    <m/>
    <m/>
    <m/>
    <m/>
    <m/>
    <m/>
    <n v="247606"/>
    <m/>
    <m/>
    <s v="Виктория"/>
    <s v="Руднева"/>
    <s v="Валерьевна"/>
    <m/>
    <m/>
    <m/>
    <s v="ROBOT"/>
    <s v="#Загружен из ЕГРЮЛ#[Редактор=Аббасов Дадашхан Рамил оглы]"/>
    <m/>
    <m/>
    <s v="Да"/>
    <s v="ROBOT_M"/>
    <d v="2021-08-04T21:12:52"/>
    <s v="ROBOT"/>
    <d v="2026-08-26T12:28:30"/>
    <m/>
    <m/>
    <n v="79016601099"/>
    <m/>
    <m/>
    <m/>
    <m/>
    <m/>
    <m/>
    <m/>
    <m/>
    <m/>
    <m/>
    <m/>
    <m/>
    <s v="vrudneva@irkdk.ru"/>
    <m/>
    <m/>
    <m/>
    <m/>
    <m/>
    <m/>
    <m/>
    <m/>
    <m/>
    <m/>
    <m/>
    <m/>
    <m/>
    <m/>
    <m/>
    <s v="Иркутск г"/>
    <d v="2021-04-22T00:00:00"/>
    <s v="Да"/>
    <m/>
    <s v="Иркутская область 0 часов"/>
    <m/>
    <m/>
    <s v="Нет"/>
    <s v="a98e88a8-a68c-49e9-bc3d-5ce9607678f9"/>
    <n v="148625"/>
    <m/>
    <s v="ООО &quot;ИДК&quot; 3812117103#"/>
    <s v="Клиент"/>
    <m/>
    <s v="ROBOT"/>
    <m/>
    <m/>
    <m/>
    <s v="Российский рубль"/>
    <m/>
    <s v="ROBOT_M"/>
    <d v="2021-08-02T06:54:44"/>
    <s v="ROBOT_UT"/>
    <d v="2026-08-26T13:22:47"/>
    <m/>
    <n v="221857426841"/>
    <n v="714024470290"/>
    <m/>
    <m/>
    <m/>
    <m/>
    <m/>
    <m/>
    <m/>
    <m/>
    <m/>
    <m/>
    <m/>
    <m/>
    <s v="mail@irkdk.ru, tender@irkdk.ru"/>
    <m/>
    <m/>
    <m/>
    <m/>
    <m/>
    <m/>
    <m/>
    <m/>
    <m/>
    <m/>
    <s v="imol|livechat|27|156087|17969"/>
    <m/>
    <m/>
    <m/>
    <n v="17969"/>
    <m/>
    <n v="0"/>
    <m/>
    <d v="2015-12-02T00:00:00"/>
    <m/>
    <s v="46.90 Торговля оптовая неспециализированная"/>
    <m/>
    <s v="Нет"/>
    <d v="2022-03-01T00:00:00"/>
    <d v="2022-11-30T00:00:00"/>
    <s v="ИДК ООО"/>
    <s v="Иркутск г"/>
    <n v="3812117103"/>
    <m/>
    <m/>
    <m/>
    <m/>
    <m/>
    <m/>
    <m/>
    <m/>
    <m/>
    <s v="Коммерческие"/>
    <s v="ООО"/>
    <n v="90800"/>
    <s v="Иркутская область 0 часов"/>
    <m/>
    <m/>
    <m/>
    <m/>
    <m/>
    <m/>
    <m/>
    <m/>
    <s v="Нет"/>
    <s v="Торговля. Прочая"/>
    <m/>
    <m/>
    <m/>
    <s v="e40fa169-ca17-11e5-89ac-0026554f9a58"/>
  </r>
  <r>
    <n v="319786"/>
    <s v="ЦП. 1С. Продажи"/>
    <s v="Y"/>
    <s v="N"/>
    <x v="3"/>
    <m/>
    <m/>
    <m/>
    <m/>
    <m/>
    <s v="Соболев Максим"/>
    <s v="ONE_C"/>
    <s v="ООО &quot;ИДК&quot; 3812117103# - 1С Отраслевые решения"/>
    <s v="Продажа"/>
    <s v="Звонок"/>
    <s v="Звонок поступил на номер: ЦП 78-00-00 (62)."/>
    <n v="21300"/>
    <s v="Российский рубль"/>
    <s v="ООО &quot;ИДК&quot; 3812117103#"/>
    <s v="Руднева Виктория Валерьевна"/>
    <m/>
    <s v="нет"/>
    <d v="2026-08-26T12:10:24"/>
    <s v="Соболев Максим"/>
    <d v="2026-08-31T00:07:56"/>
    <s v="ROBOT_M"/>
    <d v="2026-08-26T00:00:00"/>
    <d v="2026-09-02T00:00:00"/>
    <s v="1С:Предприятие 8.3. Сервер МИНИ на 5 подключений. Электронная поставка"/>
    <n v="21300"/>
    <n v="1"/>
    <m/>
    <m/>
    <m/>
    <m/>
    <m/>
    <n v="508"/>
    <d v="2026-08-26T13:19:20"/>
    <m/>
    <m/>
    <m/>
    <m/>
    <m/>
    <m/>
    <s v="Договор-оферта"/>
    <s v="Нет"/>
    <n v="1"/>
    <m/>
    <n v="73952550099"/>
    <m/>
    <s v="Иркутск г"/>
    <s v="ЦП. 1С и ИТС. Коммерция"/>
    <m/>
    <m/>
    <m/>
    <m/>
    <m/>
    <m/>
    <n v="0"/>
    <m/>
    <m/>
    <m/>
    <m/>
    <n v="2"/>
    <m/>
    <s v="ФРДТ-018928"/>
    <m/>
    <s v="ЦП. 1С. Коммерция"/>
    <m/>
    <m/>
    <m/>
    <m/>
    <d v="2026-08-26T00:00:00"/>
    <m/>
    <m/>
    <s v="[CO]ООО НПФ &quot;ФОРУС&quot; 3812023430#"/>
    <s v="Сублицензионный"/>
    <m/>
    <m/>
    <s v="Коммерческие"/>
    <m/>
    <m/>
    <s v="Обычный"/>
    <m/>
    <m/>
    <s v="#Загружено из Битрикс-Коробка#"/>
    <m/>
    <m/>
    <n v="266940"/>
    <s v="1С КлЛиц ПРОФ;1С-Совместимо;1С-Совместимо КлЛицензии;1С СервЛиц Мини"/>
    <m/>
    <m/>
    <m/>
    <m/>
    <m/>
    <m/>
    <s v="Не было отгрузок"/>
    <m/>
    <m/>
    <m/>
    <m/>
    <s v="Нет"/>
    <m/>
    <m/>
    <m/>
    <m/>
    <m/>
    <m/>
    <m/>
    <m/>
    <m/>
    <m/>
    <s v="1С Программы и лицензии"/>
    <s v="1С Отраслевые решения"/>
    <s v="Эл. Поставка"/>
    <s v="Не нужно"/>
    <m/>
    <m/>
    <m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8-31T00:07:05"/>
    <d v="2026-08-26T15:01:55"/>
    <s v="Завершен"/>
    <m/>
    <s v="Выполняется"/>
    <m/>
    <m/>
    <m/>
    <m/>
    <m/>
    <m/>
    <m/>
    <m/>
    <m/>
    <m/>
    <m/>
    <m/>
    <m/>
    <m/>
    <m/>
    <m/>
    <n v="247606"/>
    <m/>
    <m/>
    <s v="Виктория"/>
    <s v="Руднева"/>
    <s v="Валерьевна"/>
    <m/>
    <m/>
    <m/>
    <s v="ROBOT"/>
    <s v="#Загружен из ЕГРЮЛ#[Редактор=Аббасов Дадашхан Рамил оглы]"/>
    <m/>
    <m/>
    <s v="Да"/>
    <s v="ROBOT_M"/>
    <d v="2021-08-04T21:12:52"/>
    <s v="ROBOT"/>
    <d v="2026-08-26T12:28:30"/>
    <m/>
    <m/>
    <n v="79016601099"/>
    <m/>
    <m/>
    <m/>
    <m/>
    <m/>
    <m/>
    <m/>
    <m/>
    <m/>
    <m/>
    <m/>
    <m/>
    <s v="vrudneva@irkdk.ru"/>
    <m/>
    <m/>
    <m/>
    <m/>
    <m/>
    <m/>
    <m/>
    <m/>
    <m/>
    <m/>
    <m/>
    <m/>
    <m/>
    <m/>
    <m/>
    <s v="Иркутск г"/>
    <d v="2021-04-22T00:00:00"/>
    <s v="Да"/>
    <m/>
    <s v="Иркутская область 0 часов"/>
    <m/>
    <m/>
    <s v="Нет"/>
    <s v="a98e88a8-a68c-49e9-bc3d-5ce9607678f9"/>
    <n v="148625"/>
    <m/>
    <s v="ООО &quot;ИДК&quot; 3812117103#"/>
    <s v="Клиент"/>
    <m/>
    <s v="ROBOT"/>
    <m/>
    <m/>
    <m/>
    <s v="Российский рубль"/>
    <m/>
    <s v="ROBOT_M"/>
    <d v="2021-08-02T06:54:44"/>
    <s v="ROBOT_UT"/>
    <d v="2026-08-26T13:22:47"/>
    <m/>
    <n v="221857426841"/>
    <n v="714024470290"/>
    <m/>
    <m/>
    <m/>
    <m/>
    <m/>
    <m/>
    <m/>
    <m/>
    <m/>
    <m/>
    <m/>
    <m/>
    <s v="mail@irkdk.ru, tender@irkdk.ru"/>
    <m/>
    <m/>
    <m/>
    <m/>
    <m/>
    <m/>
    <m/>
    <m/>
    <m/>
    <m/>
    <s v="imol|livechat|27|156087|17969"/>
    <m/>
    <m/>
    <m/>
    <n v="17969"/>
    <m/>
    <n v="0"/>
    <m/>
    <d v="2015-12-02T00:00:00"/>
    <m/>
    <s v="46.90 Торговля оптовая неспециализированная"/>
    <m/>
    <s v="Нет"/>
    <d v="2022-03-01T00:00:00"/>
    <d v="2022-11-30T00:00:00"/>
    <s v="ИДК ООО"/>
    <s v="Иркутск г"/>
    <n v="3812117103"/>
    <m/>
    <m/>
    <m/>
    <m/>
    <m/>
    <m/>
    <m/>
    <m/>
    <m/>
    <s v="Коммерческие"/>
    <s v="ООО"/>
    <n v="90800"/>
    <s v="Иркутская область 0 часов"/>
    <m/>
    <m/>
    <m/>
    <m/>
    <m/>
    <m/>
    <m/>
    <m/>
    <s v="Нет"/>
    <s v="Торговля. Прочая"/>
    <m/>
    <m/>
    <m/>
    <s v="e40fa169-ca17-11e5-89ac-0026554f9a58"/>
  </r>
  <r>
    <n v="319786"/>
    <s v="ЦП. 1С. Продажи"/>
    <s v="Y"/>
    <s v="N"/>
    <x v="3"/>
    <m/>
    <m/>
    <m/>
    <m/>
    <m/>
    <s v="Соболев Максим"/>
    <s v="ONE_C"/>
    <s v="ООО &quot;ИДК&quot; 3812117103# - 1С Отраслевые решения"/>
    <s v="Продажа"/>
    <s v="Звонок"/>
    <s v="Звонок поступил на номер: ЦП 78-00-00 (62)."/>
    <n v="87900"/>
    <s v="Российский рубль"/>
    <s v="ООО &quot;ИДК&quot; 3812117103#"/>
    <s v="Руднева Виктория Валерьевна"/>
    <m/>
    <s v="нет"/>
    <d v="2026-08-26T12:10:24"/>
    <s v="Соболев Максим"/>
    <d v="2026-08-31T00:07:56"/>
    <s v="ROBOT_M"/>
    <d v="2026-08-26T00:00:00"/>
    <d v="2026-09-02T00:00:00"/>
    <s v="1С:Управление автотранспортом Проф. Клиентская лицензия на 5 рабочих мест. Электронная поставка"/>
    <n v="87900"/>
    <n v="1"/>
    <m/>
    <m/>
    <m/>
    <m/>
    <m/>
    <n v="508"/>
    <d v="2026-08-26T13:19:20"/>
    <m/>
    <m/>
    <m/>
    <m/>
    <m/>
    <m/>
    <s v="Договор-оферта"/>
    <s v="Нет"/>
    <n v="1"/>
    <m/>
    <n v="73952550099"/>
    <m/>
    <s v="Иркутск г"/>
    <s v="ЦП. 1С и ИТС. Коммерция"/>
    <m/>
    <m/>
    <m/>
    <m/>
    <m/>
    <m/>
    <n v="0"/>
    <m/>
    <m/>
    <m/>
    <m/>
    <n v="2"/>
    <m/>
    <s v="ФРДТ-018928"/>
    <m/>
    <s v="ЦП. 1С. Коммерция"/>
    <m/>
    <m/>
    <m/>
    <m/>
    <d v="2026-08-26T00:00:00"/>
    <m/>
    <m/>
    <s v="[CO]ООО НПФ &quot;ФОРУС&quot; 3812023430#"/>
    <s v="Сублицензионный"/>
    <m/>
    <m/>
    <s v="Коммерческие"/>
    <m/>
    <m/>
    <s v="Обычный"/>
    <m/>
    <m/>
    <s v="#Загружено из Битрикс-Коробка#"/>
    <m/>
    <m/>
    <n v="266940"/>
    <s v="1С КлЛиц ПРОФ;1С-Совместимо;1С-Совместимо КлЛицензии;1С СервЛиц Мини"/>
    <m/>
    <m/>
    <m/>
    <m/>
    <m/>
    <m/>
    <s v="Не было отгрузок"/>
    <m/>
    <m/>
    <m/>
    <m/>
    <s v="Нет"/>
    <m/>
    <m/>
    <m/>
    <m/>
    <m/>
    <m/>
    <m/>
    <m/>
    <m/>
    <m/>
    <s v="1С Программы и лицензии"/>
    <s v="1С Отраслевые решения"/>
    <s v="Эл. Поставка"/>
    <s v="Не нужно"/>
    <m/>
    <m/>
    <m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8-31T00:07:05"/>
    <d v="2026-08-26T15:01:55"/>
    <s v="Завершен"/>
    <m/>
    <s v="Выполняется"/>
    <m/>
    <m/>
    <m/>
    <m/>
    <m/>
    <m/>
    <m/>
    <m/>
    <m/>
    <m/>
    <m/>
    <m/>
    <m/>
    <m/>
    <m/>
    <m/>
    <n v="247606"/>
    <m/>
    <m/>
    <s v="Виктория"/>
    <s v="Руднева"/>
    <s v="Валерьевна"/>
    <m/>
    <m/>
    <m/>
    <s v="ROBOT"/>
    <s v="#Загружен из ЕГРЮЛ#[Редактор=Аббасов Дадашхан Рамил оглы]"/>
    <m/>
    <m/>
    <s v="Да"/>
    <s v="ROBOT_M"/>
    <d v="2021-08-04T21:12:52"/>
    <s v="ROBOT"/>
    <d v="2026-08-26T12:28:30"/>
    <m/>
    <m/>
    <n v="79016601099"/>
    <m/>
    <m/>
    <m/>
    <m/>
    <m/>
    <m/>
    <m/>
    <m/>
    <m/>
    <m/>
    <m/>
    <m/>
    <s v="vrudneva@irkdk.ru"/>
    <m/>
    <m/>
    <m/>
    <m/>
    <m/>
    <m/>
    <m/>
    <m/>
    <m/>
    <m/>
    <m/>
    <m/>
    <m/>
    <m/>
    <m/>
    <s v="Иркутск г"/>
    <d v="2021-04-22T00:00:00"/>
    <s v="Да"/>
    <m/>
    <s v="Иркутская область 0 часов"/>
    <m/>
    <m/>
    <s v="Нет"/>
    <s v="a98e88a8-a68c-49e9-bc3d-5ce9607678f9"/>
    <n v="148625"/>
    <m/>
    <s v="ООО &quot;ИДК&quot; 3812117103#"/>
    <s v="Клиент"/>
    <m/>
    <s v="ROBOT"/>
    <m/>
    <m/>
    <m/>
    <s v="Российский рубль"/>
    <m/>
    <s v="ROBOT_M"/>
    <d v="2021-08-02T06:54:44"/>
    <s v="ROBOT_UT"/>
    <d v="2026-08-26T13:22:47"/>
    <m/>
    <n v="221857426841"/>
    <n v="714024470290"/>
    <m/>
    <m/>
    <m/>
    <m/>
    <m/>
    <m/>
    <m/>
    <m/>
    <m/>
    <m/>
    <m/>
    <m/>
    <s v="mail@irkdk.ru, tender@irkdk.ru"/>
    <m/>
    <m/>
    <m/>
    <m/>
    <m/>
    <m/>
    <m/>
    <m/>
    <m/>
    <m/>
    <s v="imol|livechat|27|156087|17969"/>
    <m/>
    <m/>
    <m/>
    <n v="17969"/>
    <m/>
    <n v="0"/>
    <m/>
    <d v="2015-12-02T00:00:00"/>
    <m/>
    <s v="46.90 Торговля оптовая неспециализированная"/>
    <m/>
    <s v="Нет"/>
    <d v="2022-03-01T00:00:00"/>
    <d v="2022-11-30T00:00:00"/>
    <s v="ИДК ООО"/>
    <s v="Иркутск г"/>
    <n v="3812117103"/>
    <m/>
    <m/>
    <m/>
    <m/>
    <m/>
    <m/>
    <m/>
    <m/>
    <m/>
    <s v="Коммерческие"/>
    <s v="ООО"/>
    <n v="90800"/>
    <s v="Иркутская область 0 часов"/>
    <m/>
    <m/>
    <m/>
    <m/>
    <m/>
    <m/>
    <m/>
    <m/>
    <s v="Нет"/>
    <s v="Торговля. Прочая"/>
    <m/>
    <m/>
    <m/>
    <s v="e40fa169-ca17-11e5-89ac-0026554f9a58"/>
  </r>
  <r>
    <n v="319786"/>
    <s v="ЦП. 1С. Продажи"/>
    <s v="Y"/>
    <s v="N"/>
    <x v="3"/>
    <m/>
    <m/>
    <m/>
    <m/>
    <m/>
    <s v="Соболев Максим"/>
    <s v="ONE_C"/>
    <s v="ООО &quot;ИДК&quot; 3812117103# - 1С Отраслевые решения"/>
    <s v="Продажа"/>
    <s v="Звонок"/>
    <s v="Звонок поступил на номер: ЦП 78-00-00 (62)."/>
    <n v="115000"/>
    <s v="Российский рубль"/>
    <s v="ООО &quot;ИДК&quot; 3812117103#"/>
    <s v="Руднева Виктория Валерьевна"/>
    <m/>
    <s v="нет"/>
    <d v="2026-08-26T12:10:24"/>
    <s v="Соболев Максим"/>
    <d v="2026-08-31T00:07:56"/>
    <s v="ROBOT_M"/>
    <d v="2026-08-26T00:00:00"/>
    <d v="2026-09-02T00:00:00"/>
    <s v="1С:Предприятие 8. Управление автотранспортом Проф. Электронная поставка (&lt;&gt;)"/>
    <n v="115000"/>
    <n v="1"/>
    <m/>
    <m/>
    <m/>
    <m/>
    <m/>
    <n v="508"/>
    <d v="2026-08-26T13:19:20"/>
    <m/>
    <m/>
    <m/>
    <m/>
    <m/>
    <m/>
    <s v="Договор-оферта"/>
    <s v="Нет"/>
    <n v="1"/>
    <m/>
    <n v="73952550099"/>
    <m/>
    <s v="Иркутск г"/>
    <s v="ЦП. 1С и ИТС. Коммерция"/>
    <m/>
    <m/>
    <m/>
    <m/>
    <m/>
    <m/>
    <n v="0"/>
    <m/>
    <m/>
    <m/>
    <m/>
    <n v="2"/>
    <m/>
    <s v="ФРДТ-018928"/>
    <m/>
    <s v="ЦП. 1С. Коммерция"/>
    <m/>
    <m/>
    <m/>
    <m/>
    <d v="2026-08-26T00:00:00"/>
    <m/>
    <m/>
    <s v="[CO]ООО НПФ &quot;ФОРУС&quot; 3812023430#"/>
    <s v="Сублицензионный"/>
    <m/>
    <m/>
    <s v="Коммерческие"/>
    <m/>
    <m/>
    <s v="Обычный"/>
    <m/>
    <m/>
    <s v="#Загружено из Битрикс-Коробка#"/>
    <m/>
    <m/>
    <n v="266940"/>
    <s v="1С КлЛиц ПРОФ;1С-Совместимо;1С-Совместимо КлЛицензии;1С СервЛиц Мини"/>
    <m/>
    <m/>
    <m/>
    <m/>
    <m/>
    <m/>
    <s v="Не было отгрузок"/>
    <m/>
    <m/>
    <m/>
    <m/>
    <s v="Нет"/>
    <m/>
    <m/>
    <m/>
    <m/>
    <m/>
    <m/>
    <m/>
    <m/>
    <m/>
    <m/>
    <s v="1С Программы и лицензии"/>
    <s v="1С Отраслевые решения"/>
    <s v="Эл. Поставка"/>
    <s v="Не нужно"/>
    <m/>
    <m/>
    <m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8-31T00:07:05"/>
    <d v="2026-08-26T15:01:55"/>
    <s v="Завершен"/>
    <m/>
    <s v="Выполняется"/>
    <m/>
    <m/>
    <m/>
    <m/>
    <m/>
    <m/>
    <m/>
    <m/>
    <m/>
    <m/>
    <m/>
    <m/>
    <m/>
    <m/>
    <m/>
    <m/>
    <n v="247606"/>
    <m/>
    <m/>
    <s v="Виктория"/>
    <s v="Руднева"/>
    <s v="Валерьевна"/>
    <m/>
    <m/>
    <m/>
    <s v="ROBOT"/>
    <s v="#Загружен из ЕГРЮЛ#[Редактор=Аббасов Дадашхан Рамил оглы]"/>
    <m/>
    <m/>
    <s v="Да"/>
    <s v="ROBOT_M"/>
    <d v="2021-08-04T21:12:52"/>
    <s v="ROBOT"/>
    <d v="2026-08-26T12:28:30"/>
    <m/>
    <m/>
    <n v="79016601099"/>
    <m/>
    <m/>
    <m/>
    <m/>
    <m/>
    <m/>
    <m/>
    <m/>
    <m/>
    <m/>
    <m/>
    <m/>
    <s v="vrudneva@irkdk.ru"/>
    <m/>
    <m/>
    <m/>
    <m/>
    <m/>
    <m/>
    <m/>
    <m/>
    <m/>
    <m/>
    <m/>
    <m/>
    <m/>
    <m/>
    <m/>
    <s v="Иркутск г"/>
    <d v="2021-04-22T00:00:00"/>
    <s v="Да"/>
    <m/>
    <s v="Иркутская область 0 часов"/>
    <m/>
    <m/>
    <s v="Нет"/>
    <s v="a98e88a8-a68c-49e9-bc3d-5ce9607678f9"/>
    <n v="148625"/>
    <m/>
    <s v="ООО &quot;ИДК&quot; 3812117103#"/>
    <s v="Клиент"/>
    <m/>
    <s v="ROBOT"/>
    <m/>
    <m/>
    <m/>
    <s v="Российский рубль"/>
    <m/>
    <s v="ROBOT_M"/>
    <d v="2021-08-02T06:54:44"/>
    <s v="ROBOT_UT"/>
    <d v="2026-08-26T13:22:47"/>
    <m/>
    <n v="221857426841"/>
    <n v="714024470290"/>
    <m/>
    <m/>
    <m/>
    <m/>
    <m/>
    <m/>
    <m/>
    <m/>
    <m/>
    <m/>
    <m/>
    <m/>
    <s v="mail@irkdk.ru, tender@irkdk.ru"/>
    <m/>
    <m/>
    <m/>
    <m/>
    <m/>
    <m/>
    <m/>
    <m/>
    <m/>
    <m/>
    <s v="imol|livechat|27|156087|17969"/>
    <m/>
    <m/>
    <m/>
    <n v="17969"/>
    <m/>
    <n v="0"/>
    <m/>
    <d v="2015-12-02T00:00:00"/>
    <m/>
    <s v="46.90 Торговля оптовая неспециализированная"/>
    <m/>
    <s v="Нет"/>
    <d v="2022-03-01T00:00:00"/>
    <d v="2022-11-30T00:00:00"/>
    <s v="ИДК ООО"/>
    <s v="Иркутск г"/>
    <n v="3812117103"/>
    <m/>
    <m/>
    <m/>
    <m/>
    <m/>
    <m/>
    <m/>
    <m/>
    <m/>
    <s v="Коммерческие"/>
    <s v="ООО"/>
    <n v="90800"/>
    <s v="Иркутская область 0 часов"/>
    <m/>
    <m/>
    <m/>
    <m/>
    <m/>
    <m/>
    <m/>
    <m/>
    <s v="Нет"/>
    <s v="Торговля. Прочая"/>
    <m/>
    <m/>
    <m/>
    <s v="e40fa169-ca17-11e5-89ac-0026554f9a58"/>
  </r>
  <r>
    <n v="319760"/>
    <s v="1С. Комплексные продажи"/>
    <s v="N"/>
    <s v="Y"/>
    <x v="11"/>
    <m/>
    <m/>
    <m/>
    <m/>
    <m/>
    <s v="Федорова Анастасия"/>
    <m/>
    <s v="Заявка с сайта - 1С-ЭПД | Обмен электронными перевозочными документами | Цена"/>
    <s v="Продажа"/>
    <s v="CRM-форма"/>
    <s v="ОСТАЛЬНЫЕ СЕРВИСЫ 1С - (ФОРУС)"/>
    <s v="0.00"/>
    <s v="Российский рубль"/>
    <s v="ФЛ Григорьева Наталья Георгиевна #"/>
    <s v="Григорьева Наталья Георгиевна"/>
    <m/>
    <s v="нет"/>
    <d v="2026-08-26T10:59:20"/>
    <s v="Федорова Анастасия"/>
    <d v="2026-08-27T14:08:37"/>
    <s v="ROBOT_M"/>
    <d v="2026-08-26T00:00:00"/>
    <d v="2026-09-02T00:00:00"/>
    <m/>
    <m/>
    <m/>
    <m/>
    <m/>
    <m/>
    <m/>
    <n v="43"/>
    <n v="23689"/>
    <d v="2026-08-26T11:01:00"/>
    <m/>
    <m/>
    <m/>
    <m/>
    <m/>
    <m/>
    <m/>
    <s v="Нет"/>
    <n v="0"/>
    <s v="grigoreva@38nalog.ru"/>
    <n v="79086634007"/>
    <m/>
    <m/>
    <s v="ЦП. 1С и ИТС. Коммерция"/>
    <m/>
    <m/>
    <m/>
    <m/>
    <m/>
    <m/>
    <m/>
    <s v="Наталья"/>
    <m/>
    <m/>
    <m/>
    <n v="0"/>
    <m/>
    <m/>
    <m/>
    <s v="ЦП. 1С. Коммерция"/>
    <m/>
    <s v="Отсутствует, физлицо"/>
    <m/>
    <m/>
    <m/>
    <m/>
    <m/>
    <m/>
    <m/>
    <m/>
    <m/>
    <s v="Физ.лицо"/>
    <m/>
    <m/>
    <s v="Обычный"/>
    <m/>
    <m/>
    <m/>
    <m/>
    <m/>
    <n v="266304"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d v="2026-08-26T00:00:00"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27T14:08:36"/>
    <d v="2026-08-27T14:08:36"/>
    <m/>
    <m/>
    <m/>
    <m/>
    <m/>
    <m/>
    <m/>
    <m/>
    <m/>
    <m/>
    <m/>
    <m/>
    <m/>
    <m/>
    <m/>
    <m/>
    <m/>
    <m/>
    <m/>
    <n v="259190"/>
    <m/>
    <m/>
    <s v="Наталья"/>
    <s v="Григорьева"/>
    <s v="Георгиевна"/>
    <m/>
    <m/>
    <m/>
    <s v="ROBOT"/>
    <s v="[Автор=RobotIntegro]"/>
    <m/>
    <m/>
    <s v="Да"/>
    <s v="ROBOT_M"/>
    <d v="2021-09-30T12:24:39"/>
    <s v="ROBOT_M"/>
    <d v="2026-08-27T14:08:37"/>
    <m/>
    <m/>
    <s v="+7 (908) 6634007, +79086634007"/>
    <m/>
    <m/>
    <m/>
    <m/>
    <m/>
    <m/>
    <m/>
    <m/>
    <m/>
    <m/>
    <m/>
    <m/>
    <s v="nalog.38@yandex.ru, grigoreva@38nalog.ru"/>
    <m/>
    <m/>
    <m/>
    <m/>
    <m/>
    <m/>
    <m/>
    <m/>
    <m/>
    <m/>
    <m/>
    <s v="imol|ank_chats_app24_max|63|private-57622744|25605"/>
    <m/>
    <m/>
    <n v="25605"/>
    <m/>
    <d v="2021-09-30T00:00:00"/>
    <s v="Да"/>
    <m/>
    <m/>
    <m/>
    <m/>
    <s v="Нет"/>
    <s v="717e83af-325c-41ce-9a2f-33d440aade47"/>
    <n v="186963"/>
    <m/>
    <s v="ФЛ Григорьева Наталья Георгиевна #"/>
    <s v="Клиент"/>
    <m/>
    <s v="ROBOT"/>
    <m/>
    <m/>
    <m/>
    <s v="Российский рубль"/>
    <m/>
    <s v="ROBOT_M"/>
    <d v="2021-09-29T15:38:01"/>
    <s v="ROBOT"/>
    <d v="2026-08-27T14:19:15"/>
    <m/>
    <m/>
    <n v="79086634007"/>
    <m/>
    <m/>
    <m/>
    <m/>
    <m/>
    <m/>
    <m/>
    <m/>
    <m/>
    <m/>
    <m/>
    <m/>
    <s v="nalog.38@yandex.ru"/>
    <m/>
    <m/>
    <m/>
    <m/>
    <m/>
    <m/>
    <m/>
    <m/>
    <m/>
    <m/>
    <m/>
    <s v="imol|ank_chats_app24_max|63|private-57622744|25605"/>
    <m/>
    <m/>
    <n v="25605"/>
    <m/>
    <n v="6"/>
    <m/>
    <m/>
    <m/>
    <m/>
    <m/>
    <s v="Нет"/>
    <d v="2021-09-30T00:00:00"/>
    <d v="2021-09-30T00:00:00"/>
    <s v="Григорьева Наталья Георгиевна"/>
    <m/>
    <m/>
    <s v="15. НДФЛ"/>
    <m/>
    <m/>
    <m/>
    <m/>
    <m/>
    <s v="Отсутствует, физлицо"/>
    <s v="Свой контакт (Менеджер)"/>
    <m/>
    <s v="Физ.лицо"/>
    <m/>
    <n v="89390"/>
    <m/>
    <m/>
    <m/>
    <m/>
    <m/>
    <m/>
    <m/>
    <m/>
    <m/>
    <s v="Нет"/>
    <s v="Физическое лицо"/>
    <m/>
    <m/>
    <m/>
    <s v="88a21218-45e6-4c24-a61c-feb28b733ed9"/>
  </r>
  <r>
    <n v="319741"/>
    <s v="ЦП. 1С. Продажи"/>
    <s v="Y"/>
    <s v="N"/>
    <x v="5"/>
    <m/>
    <m/>
    <m/>
    <m/>
    <m/>
    <s v="Соболев Максим"/>
    <s v="ONE_C"/>
    <s v="ООО &quot;ТехЦентр&quot; 3810036145# - 1С КП и Сервисы"/>
    <s v="Продажа"/>
    <s v="1С Сайт its.1c.ru"/>
    <m/>
    <n v="3600"/>
    <s v="Российский рубль"/>
    <s v="ООО &quot;ТехЦентр&quot; 3810036145#"/>
    <s v="Горбачева Елена Николаевна"/>
    <m/>
    <s v="нет"/>
    <d v="2026-08-26T10:19:46"/>
    <s v="Соболев Максим"/>
    <d v="2026-09-02T16:13:14"/>
    <s v="ROBOT"/>
    <d v="2026-08-26T00:00:00"/>
    <d v="2026-09-02T00:00:00"/>
    <s v="1С-ЭДО. ЭПД-600 на 12 месяцев"/>
    <n v="3600"/>
    <n v="1"/>
    <s v="Заказ на сайте its.1c.ru ORD260825-1787659928 a:hover, a:active {color:#16489b;text-decoration:underline} #mail-message-wrapper a:hover, #mail-message-wrapper a:active {color:#16489b;text-decoration:underline} [b]Новый заказ на сайте its.1c.ru[/b] [p]Уважаемый партнер![/p] [p]Вы получили новый заказ на сайте its.1c.ru:[/p] Номер заказа: ORD260825-1787659928 Источник: its.1c.ru, ЭПД Время отправки: 2026-08-25 20:12:08 Контактное лицо: Горбачева Елена Николаевна Телефон: 79041231900 E-mail: [url=mailto:Gorbacheva_en@mail.ru]Gorbacheva_en@mail.ru[/url] ИНН/ЕДРПОУ: Регион (город): Иркутская область, Иркутск Комментарий: Заказ сервиса 1С-ЭПД [p]Внимательно ознакомьтесь с правилами обработки заказа в [url=https://its.1c.ru/db/partnerits#content:1636:hdoc]справочнике партнера[/url].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 [*]В течение 1 рабочего часа с момента получения заказа свяжитесь с клиентом, уточните заказ и поставьте отметку о том, что вы приняли заказ в работу. 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Вопросы по обработке заказа присылайте на электронную почту [url=mailto:web-its@1c.ru]web-its@1c.ru[/url].[/p] [p]С уважением, администрация сайта [url=https://its.1c.ru/]its.1c.ru[/url].[p] [/p][/p]"/>
    <m/>
    <m/>
    <m/>
    <m/>
    <n v="508"/>
    <d v="2026-08-27T09:24:20"/>
    <m/>
    <m/>
    <m/>
    <m/>
    <m/>
    <m/>
    <s v="Договор-оферта"/>
    <s v="Нет"/>
    <n v="1"/>
    <m/>
    <m/>
    <m/>
    <s v="Иркутск г"/>
    <s v="ЦП. 1С и ИТС. Коммерция"/>
    <m/>
    <m/>
    <m/>
    <d v="2026-08-27T00:00:00"/>
    <d v="2027-08-26T00:00:00"/>
    <m/>
    <n v="0"/>
    <m/>
    <s v="Заказ на сайте its.1c.ru ORD260825-1787659928 a:hover, a:active {color:#16489b;text-decoration:underline} #mail-message-wrapper a:hover, #mail-message-wrapper a:active {color:#16489b;text-decoration:underline} [b]Новый заказ на сайте its.1c.ru[/b] [p]Уважаемый партнер![/p] [p]Вы получили новый заказ на сайте its.1c.ru:[/p] Номер заказа: ORD260825-1787659928 Источник: its.1c.ru, ЭПД Время отправки: 2026-08-25 20:12:08 Контактное лицо: Горбачева Елена Николаевна Телефон: 79041231900 E-mail: [url=mailto:Gorbacheva_en@mail.ru]Gorbacheva_en@mail.ru[/url] ИНН/ЕДРПОУ: Регион (город): Иркутская область, Иркутск Комментарий: Заказ сервиса 1С-ЭПД [p]Внимательно ознакомьтесь с правилами обработки заказа в [url=https://its.1c.ru/db/partnerits#content:1636:hdoc]справочнике партнера[/url].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 [*]В течение 1 рабочего часа с момента получения заказа свяжитесь с клиентом, уточните заказ и поставьте отметку о том, что вы приняли заказ в работу. 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Вопросы по обработке заказа присылайте на электронную почту [url=mailto:web-its@1c.ru]web-its@1c.ru[/url].[/p] [p]С уважением, администрация сайта [url=https://its.1c.ru/]its.1c.ru[/url].[p] [/p][/p]"/>
    <m/>
    <m/>
    <n v="11"/>
    <s v="/upload/crm/44b/uxz1g1jbi16jncpu0vgi3k9p7th42aqr/Договор-оферта.txt"/>
    <s v="ФРДТ-018908"/>
    <m/>
    <s v="ЦП. 1С. Коммерция"/>
    <m/>
    <m/>
    <m/>
    <m/>
    <d v="2026-08-26T00:00:00"/>
    <m/>
    <m/>
    <s v="[CO]ООО НПФ &quot;ФОРУС&quot; 3812023430#"/>
    <s v="Сервисы"/>
    <m/>
    <m/>
    <s v="Коммерческие"/>
    <m/>
    <m/>
    <s v="Обычный"/>
    <m/>
    <s v="Да"/>
    <s v="#Загружено из Битрикс-Коробка#"/>
    <m/>
    <m/>
    <n v="266842"/>
    <s v="1С-ЭДО ЭПД"/>
    <m/>
    <m/>
    <n v="12"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-ЭПД"/>
    <s v="Заказать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Заказать"/>
    <m/>
    <m/>
    <m/>
    <m/>
    <m/>
    <d v="2026-09-02T16:11:39"/>
    <d v="2026-09-02T17:32:24"/>
    <s v="Завершен"/>
    <m/>
    <m/>
    <m/>
    <s v="Выполняется"/>
    <m/>
    <m/>
    <m/>
    <m/>
    <m/>
    <m/>
    <m/>
    <m/>
    <m/>
    <m/>
    <m/>
    <m/>
    <m/>
    <m/>
    <n v="251985"/>
    <m/>
    <m/>
    <s v="Елена"/>
    <s v="Горбачева"/>
    <s v="Николаевна"/>
    <m/>
    <m/>
    <m/>
    <s v="ROBOT"/>
    <s v="[p] &amp;#91;Автор=Не авторизован&amp;#93; [/p]"/>
    <s v="1С Сайт its.1c.ru"/>
    <m/>
    <s v="Да"/>
    <s v="ROBOT_M"/>
    <d v="2021-08-05T03:09:49"/>
    <s v="ROBOT"/>
    <d v="2026-09-02T17:33:49"/>
    <m/>
    <m/>
    <n v="79041231900"/>
    <m/>
    <m/>
    <m/>
    <m/>
    <m/>
    <m/>
    <m/>
    <m/>
    <m/>
    <m/>
    <m/>
    <m/>
    <s v="gorbacheva_en@mail.ru, ecglavbuh@radian-holding.ru"/>
    <m/>
    <m/>
    <m/>
    <m/>
    <m/>
    <m/>
    <m/>
    <m/>
    <m/>
    <m/>
    <m/>
    <m/>
    <m/>
    <m/>
    <m/>
    <s v="Иркутск г"/>
    <d v="2021-03-04T00:00:00"/>
    <s v="Да"/>
    <m/>
    <s v="Иркутская область 0 часов"/>
    <m/>
    <m/>
    <s v="Нет"/>
    <s v="b4342431-30b8-11e3-837e-0026554f9a58"/>
    <n v="137080"/>
    <m/>
    <s v="ООО &quot;ТехЦентр&quot; 3810036145#"/>
    <s v="Клиент"/>
    <m/>
    <s v="ROBOT"/>
    <m/>
    <m/>
    <m/>
    <s v="Российский рубль"/>
    <m/>
    <s v="ROBOT_M"/>
    <d v="2021-07-08T08:59:42"/>
    <s v="ROBOT_M"/>
    <d v="2026-09-02T17:33:50"/>
    <m/>
    <n v="221857368144"/>
    <m/>
    <m/>
    <m/>
    <m/>
    <m/>
    <m/>
    <m/>
    <m/>
    <m/>
    <m/>
    <m/>
    <m/>
    <m/>
    <s v="admin@agatauto.ru, nkolga@agatauto.ru"/>
    <m/>
    <s v="admin@agatauto.ru"/>
    <m/>
    <m/>
    <m/>
    <m/>
    <m/>
    <m/>
    <m/>
    <m/>
    <m/>
    <m/>
    <m/>
    <m/>
    <m/>
    <m/>
    <n v="0"/>
    <s v="admin@agatauto.ru"/>
    <d v="2004-09-24T00:00:00"/>
    <m/>
    <s v="45.1 Торговля автотранспортными средствами"/>
    <m/>
    <s v="Нет"/>
    <d v="2012-08-06T00:00:00"/>
    <d v="2024-03-01T00:00:00"/>
    <s v="ТехЦентр"/>
    <s v="Иркутск г"/>
    <n v="3810036145"/>
    <m/>
    <m/>
    <m/>
    <m/>
    <s v="admin@agatauto.ru"/>
    <m/>
    <m/>
    <m/>
    <m/>
    <s v="Коммерческие"/>
    <s v="ООО"/>
    <n v="25996"/>
    <s v="Иркутская область 0 часов"/>
    <m/>
    <m/>
    <m/>
    <m/>
    <m/>
    <m/>
    <m/>
    <m/>
    <s v="Нет"/>
    <s v="Торговля. Автотранспорт и ГСМ"/>
    <m/>
    <m/>
    <m/>
    <s v="935c8a0f-df63-11e1-b774-0026554f9a58"/>
  </r>
  <r>
    <n v="319685"/>
    <s v="ЦП. ФРЕШ. Продажи"/>
    <s v="N"/>
    <s v="N"/>
    <x v="3"/>
    <m/>
    <m/>
    <m/>
    <m/>
    <m/>
    <s v="Россинский Вадим"/>
    <s v="ONE_C"/>
    <s v="ФРЕШ. Сервисы - ООО &quot;ГРИНПАРК&quot; 0323400800#"/>
    <s v="Продажа"/>
    <s v="1С Сайт its.1c.ru"/>
    <m/>
    <n v="1400"/>
    <s v="Российский рубль"/>
    <s v="ООО &quot;ГРИНПАРК&quot; 0323400800#"/>
    <s v="Ольга"/>
    <m/>
    <s v="нет"/>
    <d v="2026-08-25T17:18:05"/>
    <s v="Россинский Вадим"/>
    <d v="2026-08-28T00:02:52"/>
    <s v="ROBOT_M"/>
    <d v="2026-08-25T00:00:00"/>
    <d v="2026-09-01T00:00:00"/>
    <s v="1С-ЭДО. ЭПД-200 на 12 месяцев"/>
    <n v="1400"/>
    <n v="1"/>
    <s v="Заказ на сайте its.1c.ru ORD260825-1787648456 a:hover, a:active {color:#16489b;text-decoration:underline} #mail-message-wrapper a:hover, #mail-message-wrapper a:active {color:#16489b;text-decoration:underline} [b]Новый заказ на сайте its.1c.ru[/b] [p]Уважаемый партнер![/p] [p]Вы получили новый заказ на сайте its.1c.ru:[/p] Номер заказа: ORD260825-1787648456 Источник: its.1c.ru, ЭПД Время отправки: 2026-08-25 17:00:56 Контактное лицо: Ольга Телефон: &amp;#43;79243530998 E-mail: [url=mailto:greenpark-uu@mail.ru]greenpark-uu@mail.ru[/url] ИНН/ЕДРПОУ: Регион (город): Республика Бурятия, Улан-Удэ Комментарий: Заказ сервиса 1С-ЭПД [p]Внимательно ознакомьтесь с правилами обработки заказа в [url=https://its.1c.ru/db/partnerits#content:1636:hdoc]справочнике партнера[/url].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 [*]В течение 1 рабочего часа с момента получения заказа свяжитесь с клиентом, уточните заказ и поставьте отметку о том, что вы приняли заказ в работу. 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Вопросы по обработке заказа присылайте на электронную почту [url=mailto:web-its@1c.ru]web-its@1c.ru[/url].[/p] [p]С уважением, администрация сайта [url=https://its.1c.ru/]its.1c.ru[/url].[p] [/p][/p]"/>
    <m/>
    <m/>
    <m/>
    <m/>
    <n v="15488"/>
    <d v="2026-08-25T17:25:34"/>
    <m/>
    <m/>
    <m/>
    <m/>
    <m/>
    <m/>
    <s v="Договор-оферта"/>
    <s v="Нет"/>
    <n v="1"/>
    <s v="greenpark-uu@mail.ru"/>
    <n v="79243530998"/>
    <m/>
    <m/>
    <s v="ЦП. 1С и ИТС. Коммерция"/>
    <d v="2026-09-24T00:00:00"/>
    <m/>
    <m/>
    <m/>
    <d v="2026-09-24T00:00:00"/>
    <m/>
    <n v="0"/>
    <s v="Ольга"/>
    <s v="Заказ на сайте its.1c.ru ORD260825-1787648456 a:hover, a:active {color:#16489b;text-decoration:underline} #mail-message-wrapper a:hover, #mail-message-wrapper a:active {color:#16489b;text-decoration:underline} [b]Новый заказ на сайте its.1c.ru[/b] [p]Уважаемый партнер![/p] [p]Вы получили новый заказ на сайте its.1c.ru:[/p] Номер заказа: ORD260825-1787648456 Источник: its.1c.ru, ЭПД Время отправки: 2026-08-25 17:00:56 Контактное лицо: Ольга Телефон: &amp;amp;#43;79243530998 E-mail: [url=mailto:greenpark-uu@mail.ru]greenpark-uu@mail.ru[/url] ИНН/ЕДРПОУ: Регион (город): Республика Бурятия, Улан-Удэ Комментарий: Заказ сервиса 1С-ЭПД [p]Внимательно ознакомьтесь с правилами обработки заказа в [url=https://its.1c.ru/db/partnerits#content:1636:hdoc]справочнике партнера[/url].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 [*]В течение 1 рабочего часа с момента получения заказа свяжитесь с клиентом, уточните заказ и поставьте отметку о том, что вы приняли заказ в работу. 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Вопросы по обработке заказа присылайте на электронную почту [url=mailto:web-its@1c.ru]web-its@1c.ru[/url].[/p] [p]С уважением, администрация сайта [url=https://its.1c.ru/]its.1c.ru[/url].[p] [/p][/p]"/>
    <m/>
    <m/>
    <n v="1"/>
    <m/>
    <s v="ФРДТ-018874"/>
    <m/>
    <s v="ЦП. 1С. Коммерция"/>
    <m/>
    <m/>
    <m/>
    <m/>
    <d v="2026-08-25T00:00:00"/>
    <m/>
    <m/>
    <s v="[CO]ООО НПФ &quot;ФОРУС&quot; 3812023430#"/>
    <s v="Сервисы"/>
    <m/>
    <m/>
    <m/>
    <m/>
    <m/>
    <s v="Обычный"/>
    <m/>
    <m/>
    <s v="#Загружено из Битрикс-Коробка#"/>
    <m/>
    <m/>
    <n v="266791"/>
    <s v="1С-ЭДО ЭПД"/>
    <m/>
    <m/>
    <m/>
    <m/>
    <m/>
    <m/>
    <s v="Не было отгрузок"/>
    <m/>
    <m/>
    <m/>
    <m/>
    <s v="Нет"/>
    <m/>
    <m/>
    <m/>
    <s v="ФРЕШ. Сервисы"/>
    <s v="1С:Бух +ЭТК"/>
    <n v="798761"/>
    <m/>
    <m/>
    <m/>
    <s v="Контроль оплаты"/>
    <s v="ФРЕШ и ГРМ"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25T17:18:42"/>
    <d v="2026-08-25T17:25:25"/>
    <m/>
    <m/>
    <m/>
    <m/>
    <m/>
    <m/>
    <m/>
    <m/>
    <m/>
    <m/>
    <m/>
    <m/>
    <m/>
    <m/>
    <m/>
    <m/>
    <m/>
    <m/>
    <m/>
    <n v="398527"/>
    <m/>
    <m/>
    <s v="Ольга"/>
    <m/>
    <m/>
    <m/>
    <m/>
    <s v="Клиенты"/>
    <s v="ROBOT"/>
    <s v="Заказ на сайте its.1c.ru ORD260825-1787648456 a:hover, a:active {color:#16489b;text-decoration:underline} #mail-message-wrapper a:hover, #mail-message-wrapper a:active {color:#16489b;text-decoration:underline} [b]Новый заказ на сайте its.1c.ru[/b] [p]Уважаемый партнер![/p] [p]Вы получили новый заказ на сайте its.1c.ru:[/p] Номер заказа: ORD260825-1787648456 Источник: its.1c.ru, ЭПД Время отправки: 2026-08-25 17:00:56 Контактное лицо: Ольга Телефон: &amp;amp;#43;79243530998 E-mail: [url=mailto:greenpark-uu@mail.ru]greenpark-uu@mail.ru[/url] ИНН/ЕДРПОУ: Регион (город): Республика Бурятия, Улан-Удэ Комментарий: Заказ сервиса 1С-ЭПД [p]Внимательно ознакомьтесь с правилами обработки заказа в [url=https://its.1c.ru/db/partnerits#content:1636:hdoc]справочнике партнера[/url].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 [*]В течение 1 рабочего часа с момента получения заказа свяжитесь с клиентом, уточните заказ и поставьте отметку о том, что вы приняли заказ в работу. 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Вопросы по обработке заказа присылайте на электронную почту [url=mailto:web-its@1c.ru]web-its@1c.ru[/url].[/p] [p]С уважением, администрация сайта [url=https://its.1c.ru/]its.1c.ru[/url].[p] [/p][/p]"/>
    <s v="1С Сайт its.1c.ru"/>
    <m/>
    <s v="Да"/>
    <s v="Россинский Вадим"/>
    <d v="2026-08-25T17:18:05"/>
    <s v="ROBOT"/>
    <d v="2026-08-25T17:18:05"/>
    <m/>
    <m/>
    <n v="79243530998"/>
    <m/>
    <m/>
    <m/>
    <m/>
    <m/>
    <m/>
    <m/>
    <m/>
    <m/>
    <m/>
    <m/>
    <m/>
    <s v="greenpark-uu@mail.ru"/>
    <m/>
    <m/>
    <m/>
    <m/>
    <m/>
    <m/>
    <m/>
    <m/>
    <m/>
    <m/>
    <m/>
    <m/>
    <m/>
    <m/>
    <m/>
    <s v="Республика Бурятия, Улан-Удэ"/>
    <d v="2026-08-25T00:00:00"/>
    <s v="Да"/>
    <m/>
    <m/>
    <m/>
    <m/>
    <s v="Нет"/>
    <m/>
    <n v="258476"/>
    <m/>
    <s v="ООО &quot;ГРИНПАРК&quot; 0323400800#"/>
    <s v="Клиент"/>
    <s v="менее 50"/>
    <s v="ROBOT"/>
    <m/>
    <s v="Информационные технологии"/>
    <s v="0.00"/>
    <s v="Российский рубль"/>
    <m/>
    <s v="Россинский Вадим"/>
    <d v="2026-08-25T17:19:10"/>
    <s v="ROBOT_M"/>
    <d v="2026-08-25T17:50: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d v="2017-07-20T00:00:00"/>
    <m/>
    <s v="43.21 Производство электромонтажных работ"/>
    <m/>
    <s v="Нет"/>
    <m/>
    <m/>
    <s v="ГРИНПАРК ООО"/>
    <s v="УЛАН-УДЭ"/>
    <n v="323400800"/>
    <m/>
    <m/>
    <m/>
    <m/>
    <m/>
    <m/>
    <m/>
    <s v="Свой контакт (Менеджер)"/>
    <m/>
    <s v="Коммерческие"/>
    <s v="ООО"/>
    <n v="129064"/>
    <s v="Республика Бурятия 0 часов"/>
    <m/>
    <m/>
    <m/>
    <s v="Нет"/>
    <m/>
    <m/>
    <m/>
    <m/>
    <s v="Нет"/>
    <s v="Строительство"/>
    <m/>
    <m/>
    <m/>
    <s v="d11ebddc-fc61-4f15-8cf8-e79ca74f7d0e"/>
  </r>
  <r>
    <n v="319682"/>
    <s v="ЦП. 1С. Продажи"/>
    <s v="Y"/>
    <s v="N"/>
    <x v="5"/>
    <m/>
    <m/>
    <m/>
    <m/>
    <m/>
    <s v="Багланова Антонина"/>
    <s v="ONE_C"/>
    <s v="МАУ &quot;ЦЕНТР БЛАГОУСТРОЙСТВА&quot; 3801167254# - 1С Программы и лицензии"/>
    <s v="Продажа"/>
    <s v="Звонок"/>
    <s v="Звонок поступил на номер: ЦП 78-00-00 (62)."/>
    <n v="13300"/>
    <s v="Российский рубль"/>
    <s v="МАУ &quot;ЦЕНТР БЛАГОУСТРОЙСТВА&quot; 3801167254#"/>
    <s v="Елена"/>
    <m/>
    <s v="нет"/>
    <d v="2026-08-25T17:03:15"/>
    <s v="Багланова Антонина"/>
    <d v="2026-09-02T11:25:16"/>
    <s v="ROBOT"/>
    <d v="2026-08-25T00:00:00"/>
    <d v="2026-09-01T00:00:00"/>
    <s v="1С:Предприятие 8. Учет в управляющих компаниях ЖКХ, ТСЖ и ЖСК. Базовая версия. Электронная поставка"/>
    <n v="13300"/>
    <n v="1"/>
    <m/>
    <m/>
    <m/>
    <m/>
    <m/>
    <n v="27"/>
    <d v="2026-09-01T09:37:03"/>
    <m/>
    <m/>
    <m/>
    <m/>
    <m/>
    <m/>
    <s v="Договор-оферта"/>
    <s v="Нет"/>
    <n v="1"/>
    <m/>
    <n v="79500839019"/>
    <m/>
    <m/>
    <s v="ЦП. 1С и ИТС. Коммерция"/>
    <m/>
    <m/>
    <m/>
    <m/>
    <m/>
    <m/>
    <n v="0"/>
    <s v="Елена"/>
    <m/>
    <m/>
    <m/>
    <n v="15"/>
    <s v="/upload/crm/8a2/9qtlw566lmclc6x5otalfiqcgdnodj0z/Договор-оферта.txt"/>
    <s v="ФРДТ-019138"/>
    <m/>
    <s v="ЦП. 1С. Коммерция"/>
    <m/>
    <m/>
    <m/>
    <m/>
    <d v="2026-08-28T00:00:00"/>
    <m/>
    <m/>
    <s v="[CO]ООО НПФ &quot;ФОРУС&quot; 3812023430#"/>
    <s v="Сублицензионный"/>
    <m/>
    <m/>
    <m/>
    <m/>
    <m/>
    <s v="Обычный"/>
    <m/>
    <m/>
    <s v="#Загружено из Битрикс-Коробка#"/>
    <d v="2026-08-31T00:00:00"/>
    <m/>
    <n v="266733"/>
    <s v="1С-Совместимо"/>
    <m/>
    <m/>
    <m/>
    <m/>
    <m/>
    <m/>
    <s v="Не было отгрузок"/>
    <m/>
    <m/>
    <m/>
    <m/>
    <s v="Нет"/>
    <m/>
    <m/>
    <m/>
    <m/>
    <m/>
    <m/>
    <m/>
    <m/>
    <m/>
    <m/>
    <s v="1С Программы и лицензии"/>
    <s v="1С Отраслевые решения"/>
    <s v="Эл. Поставка"/>
    <s v="Не нужно"/>
    <m/>
    <m/>
    <m/>
    <s v="Заказать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Заказать"/>
    <m/>
    <m/>
    <m/>
    <m/>
    <m/>
    <d v="2026-09-02T11:13:51"/>
    <d v="2026-09-02T15:17:16"/>
    <m/>
    <m/>
    <m/>
    <m/>
    <s v="Выполняется"/>
    <m/>
    <m/>
    <m/>
    <m/>
    <m/>
    <m/>
    <m/>
    <m/>
    <m/>
    <m/>
    <m/>
    <m/>
    <m/>
    <m/>
    <n v="398613"/>
    <m/>
    <m/>
    <s v="Елена"/>
    <m/>
    <m/>
    <m/>
    <m/>
    <s v="Клиенты"/>
    <s v="ROBOT"/>
    <m/>
    <s v="Свой контакт (Менеджер)"/>
    <s v="Звонок поступил на номер: ЦП 78-00-00 (62)."/>
    <s v="Да"/>
    <s v="ROBOT_UT"/>
    <d v="2026-08-26T15:54:26"/>
    <s v="Бабань Елена"/>
    <d v="2026-09-02T11:15:21"/>
    <m/>
    <m/>
    <n v="79500839019"/>
    <m/>
    <m/>
    <m/>
    <m/>
    <m/>
    <m/>
    <m/>
    <m/>
    <m/>
    <m/>
    <m/>
    <m/>
    <s v="mau-cb@mail.ru"/>
    <m/>
    <m/>
    <m/>
    <m/>
    <m/>
    <m/>
    <m/>
    <m/>
    <m/>
    <m/>
    <m/>
    <m/>
    <m/>
    <m/>
    <m/>
    <s v="нас. пункт Новонукутский п"/>
    <d v="2026-08-26T00:00:00"/>
    <s v="Да"/>
    <m/>
    <s v="Иркутская область 0 часов"/>
    <m/>
    <m/>
    <s v="Нет"/>
    <s v="b3b36b87-5e9b-4d88-86c6-927cd2630435"/>
    <n v="252843"/>
    <m/>
    <s v="МАУ &quot;ЦЕНТР БЛАГОУСТРОЙСТВА&quot; 3801167254#"/>
    <s v="Клиент"/>
    <m/>
    <s v="ROBOT"/>
    <m/>
    <m/>
    <m/>
    <s v="Российский рубль"/>
    <m/>
    <s v="ROBOT_M"/>
    <d v="2026-06-01T13:52:14"/>
    <s v="Хотамова Асилат"/>
    <d v="2026-09-02T15:12:42"/>
    <m/>
    <m/>
    <m/>
    <m/>
    <m/>
    <m/>
    <m/>
    <m/>
    <m/>
    <m/>
    <m/>
    <m/>
    <m/>
    <m/>
    <m/>
    <s v="mau-cb@mail.ru"/>
    <m/>
    <m/>
    <m/>
    <m/>
    <m/>
    <m/>
    <m/>
    <m/>
    <m/>
    <m/>
    <m/>
    <m/>
    <m/>
    <m/>
    <m/>
    <m/>
    <n v="0"/>
    <s v="mau-cb@mail.ru"/>
    <d v="2026-03-27T00:00:00"/>
    <m/>
    <s v="81.30 Деятельность по благоустройству ландшафта"/>
    <m/>
    <s v="Нет"/>
    <m/>
    <m/>
    <s v="ЦЕНТР БЛАГОУСТРОЙСТВА МАУ"/>
    <s v="поселок Новонукутский"/>
    <n v="3801167254"/>
    <m/>
    <m/>
    <m/>
    <m/>
    <s v="mau-cb@mail.ru"/>
    <m/>
    <m/>
    <s v="Контур.Биллинг"/>
    <m/>
    <s v="Бюджетные"/>
    <s v="МАУ"/>
    <n v="125138"/>
    <s v="Иркутская область 0 часов"/>
    <m/>
    <m/>
    <m/>
    <s v="Нет"/>
    <m/>
    <m/>
    <m/>
    <m/>
    <s v="Нет"/>
    <s v="Услуги. Прочие"/>
    <m/>
    <m/>
    <m/>
    <s v="6ad06d8d-928b-4b72-993d-0d3826519bb5"/>
  </r>
  <r>
    <n v="319674"/>
    <s v="ЦП. 1С. Продажи"/>
    <s v="Y"/>
    <s v="N"/>
    <x v="5"/>
    <m/>
    <s v="Соболев Максим"/>
    <m/>
    <m/>
    <m/>
    <s v="Соболев Максим"/>
    <s v="ONE_C"/>
    <s v="ООО ТК &quot;НОРД&quot; 3808291074# - 1С КП и Сервисы"/>
    <s v="Продажа"/>
    <s v="Звонок"/>
    <m/>
    <n v="45160"/>
    <s v="Российский рубль"/>
    <s v="ООО ТК &quot;НОРД&quot; 3808291074#"/>
    <s v="Коногоров Юрий Алексеевич"/>
    <m/>
    <s v="нет"/>
    <d v="2026-08-25T16:40:09"/>
    <s v="Соболев Максим"/>
    <d v="2026-09-02T12:33:36"/>
    <s v="ROBOT"/>
    <d v="2026-09-01T00:00:00"/>
    <d v="2026-09-01T00:00:00"/>
    <s v="1С:КП Отраслевой ПРОФ, 2-я Категория на 12 месяцев, при пролонгации без перерыва"/>
    <n v="45160"/>
    <n v="1"/>
    <m/>
    <m/>
    <m/>
    <m/>
    <m/>
    <n v="508"/>
    <d v="2026-09-02T09:36:58"/>
    <m/>
    <m/>
    <m/>
    <m/>
    <m/>
    <m/>
    <s v="Договор-оферта"/>
    <s v="Нет"/>
    <n v="1"/>
    <m/>
    <m/>
    <m/>
    <s v="Г.П. УСТЬ-КУТСКОЕ, Г УСТЬ-КУТ"/>
    <s v="ЦП. 1С и ИТС. Коммерция"/>
    <m/>
    <m/>
    <m/>
    <d v="2026-12-02T00:00:00"/>
    <d v="2027-12-01T00:00:00"/>
    <m/>
    <n v="0"/>
    <m/>
    <m/>
    <m/>
    <m/>
    <n v="0"/>
    <s v="/upload/crm/822/rkejmm1yejfv8dwm2a4oae0eswys1pkw/Договор-оферта.txt"/>
    <s v="ФРДТ-018871"/>
    <m/>
    <s v="ЦП. 1С. Коммерция"/>
    <m/>
    <m/>
    <m/>
    <m/>
    <d v="2026-08-25T00:00:00"/>
    <m/>
    <m/>
    <s v="[CO]ООО НПФ &quot;ФОРУС&quot; 3812023430#"/>
    <s v="Сервисы"/>
    <m/>
    <m/>
    <s v="Коммерческие"/>
    <m/>
    <m/>
    <s v="Обычный"/>
    <m/>
    <s v="Нет"/>
    <s v="#Загружено из Битрикс-Коробка#"/>
    <d v="2026-09-01T00:00:00"/>
    <m/>
    <m/>
    <s v="ИТС КП Отраслевые"/>
    <m/>
    <m/>
    <n v="12"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C КП Отраслевой"/>
    <s v="Заказать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Заказать"/>
    <m/>
    <m/>
    <m/>
    <m/>
    <m/>
    <d v="2026-09-02T12:32:05"/>
    <m/>
    <s v="Завершен"/>
    <m/>
    <m/>
    <m/>
    <s v="Выполняется"/>
    <m/>
    <m/>
    <m/>
    <m/>
    <m/>
    <m/>
    <m/>
    <m/>
    <m/>
    <m/>
    <m/>
    <m/>
    <m/>
    <m/>
    <n v="131864"/>
    <m/>
    <m/>
    <s v="Юрий"/>
    <s v="Коногоров"/>
    <s v="Алексеевич"/>
    <d v="2001-01-01T00:00:00"/>
    <s v="ГЕНЕРАЛЬНЫЙ ДИРЕКТОР"/>
    <m/>
    <s v="ROBOT"/>
    <s v="[Автор=Стребкова Анастасия Станиславовна ]"/>
    <m/>
    <m/>
    <s v="Да"/>
    <s v="ROBOT_M"/>
    <d v="2021-07-08T18:01:16"/>
    <s v="ROBOT_UT"/>
    <d v="2026-09-02T14:18:01"/>
    <m/>
    <m/>
    <n v="79148998575"/>
    <m/>
    <m/>
    <m/>
    <m/>
    <m/>
    <m/>
    <m/>
    <m/>
    <m/>
    <m/>
    <m/>
    <m/>
    <s v="geo@makinsan.ru, kya@tk-nord.ru"/>
    <m/>
    <m/>
    <m/>
    <m/>
    <m/>
    <m/>
    <m/>
    <m/>
    <m/>
    <m/>
    <m/>
    <m/>
    <m/>
    <m/>
    <m/>
    <s v="Усть-Кутское г.п., нас. пункт Усть-Кут г"/>
    <d v="2021-06-20T00:00:00"/>
    <s v="Да"/>
    <m/>
    <s v="Иркутская область 0 часов"/>
    <m/>
    <m/>
    <s v="Нет"/>
    <s v="1b3ac588-f8f6-4520-b22e-1928be55f4ea"/>
    <n v="246139"/>
    <m/>
    <s v="ООО ТК &quot;НОРД&quot; 3808291074#"/>
    <s v="Клиент"/>
    <s v="менее 50"/>
    <s v="ROBOT"/>
    <m/>
    <s v="Информационные технологии"/>
    <m/>
    <s v="Российский рубль"/>
    <m/>
    <s v="Федосеев Максим"/>
    <d v="2025-11-28T11:19:08"/>
    <s v="ROBOT_UT"/>
    <d v="2026-09-02T16:46:46"/>
    <m/>
    <m/>
    <n v="79148998575"/>
    <m/>
    <m/>
    <m/>
    <m/>
    <m/>
    <m/>
    <m/>
    <m/>
    <m/>
    <m/>
    <m/>
    <m/>
    <s v="kya@tk-nord.ru"/>
    <m/>
    <m/>
    <m/>
    <m/>
    <m/>
    <m/>
    <m/>
    <m/>
    <m/>
    <m/>
    <m/>
    <m/>
    <m/>
    <m/>
    <m/>
    <m/>
    <n v="0"/>
    <s v="kya@tk-nord.ru"/>
    <d v="2025-02-17T00:00:00"/>
    <m/>
    <s v="49.41 Деятельность автомобильного грузового транспорта"/>
    <m/>
    <s v="Нет"/>
    <m/>
    <m/>
    <s v="НОРД ООО ТК"/>
    <s v="Г.П. УСТЬ-КУТСКОЕ, Г УСТЬ-КУТ"/>
    <n v="3808291074"/>
    <m/>
    <m/>
    <m/>
    <m/>
    <s v="kya@tk-nord.ru"/>
    <m/>
    <m/>
    <s v="По рекомендации/ Почкование"/>
    <m/>
    <s v="Коммерческие"/>
    <s v="ООО"/>
    <n v="119537"/>
    <s v="Иркутская область 0 часов"/>
    <m/>
    <m/>
    <m/>
    <s v="Нет"/>
    <m/>
    <m/>
    <m/>
    <m/>
    <s v="Нет"/>
    <s v="Услуги. Перевозки, логистика, склад"/>
    <m/>
    <m/>
    <m/>
    <s v="d1c4a9e1-7504-476b-b0dd-fa1a3fa775c1"/>
  </r>
  <r>
    <n v="319665"/>
    <s v="1С. Комплексные продажи"/>
    <s v="N"/>
    <s v="N"/>
    <x v="11"/>
    <m/>
    <m/>
    <m/>
    <m/>
    <m/>
    <s v="Федорова Анастасия"/>
    <m/>
    <s v="ЭПД Лекторий"/>
    <s v="Продажа"/>
    <s v="Мероприятие Форус"/>
    <s v="Звонок поступил на номер: ЦП 78-00-00 (62)."/>
    <s v="0.00"/>
    <s v="Российский рубль"/>
    <m/>
    <s v="Севастьянов Дмитрий Валерьевич"/>
    <m/>
    <s v="нет"/>
    <d v="2026-08-25T16:29:21"/>
    <s v="Федорова Анастасия"/>
    <d v="2026-08-25T18:00:12"/>
    <s v="ROBOT_M"/>
    <d v="2026-08-25T00:00:00"/>
    <d v="2026-09-01T00:00:00"/>
    <m/>
    <m/>
    <m/>
    <m/>
    <m/>
    <m/>
    <m/>
    <m/>
    <n v="23689"/>
    <d v="2026-08-25T16:29:25"/>
    <m/>
    <m/>
    <m/>
    <m/>
    <m/>
    <m/>
    <m/>
    <s v="Нет"/>
    <n v="0"/>
    <s v="sevastianovdv@gmail.com"/>
    <n v="79213300900"/>
    <m/>
    <m/>
    <s v="ЦП. 1С и ИТС. Коммерция"/>
    <m/>
    <m/>
    <m/>
    <m/>
    <m/>
    <m/>
    <m/>
    <s v="Дмитрий"/>
    <m/>
    <m/>
    <m/>
    <n v="0"/>
    <m/>
    <m/>
    <m/>
    <s v="ЦП. 1С. Коммерция"/>
    <m/>
    <m/>
    <m/>
    <m/>
    <m/>
    <m/>
    <m/>
    <m/>
    <m/>
    <m/>
    <m/>
    <m/>
    <m/>
    <m/>
    <s v="Обычный"/>
    <m/>
    <m/>
    <m/>
    <m/>
    <m/>
    <n v="266765"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d v="2026-08-25T00:00:00"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25T18:00:03"/>
    <d v="2026-08-25T16:29:39"/>
    <m/>
    <m/>
    <m/>
    <m/>
    <m/>
    <m/>
    <m/>
    <m/>
    <m/>
    <m/>
    <m/>
    <m/>
    <m/>
    <m/>
    <m/>
    <m/>
    <m/>
    <m/>
    <m/>
    <n v="398515"/>
    <m/>
    <m/>
    <s v="Дмитрий"/>
    <s v="Севастьянов"/>
    <s v="Валерьевич"/>
    <m/>
    <m/>
    <s v="Клиенты"/>
    <s v="ROBOT"/>
    <m/>
    <s v="Мероприятие Форус"/>
    <s v="Звонок поступил на номер: ЦП 78-00-00 (62)."/>
    <s v="Да"/>
    <s v="Федорова Анастасия"/>
    <d v="2026-08-25T16:29:21"/>
    <s v="ROBOT"/>
    <d v="2026-08-25T16:29:21"/>
    <m/>
    <m/>
    <n v="79213300900"/>
    <m/>
    <m/>
    <m/>
    <m/>
    <m/>
    <m/>
    <m/>
    <m/>
    <m/>
    <m/>
    <m/>
    <m/>
    <s v="sevastianovdv@gmail.com"/>
    <m/>
    <m/>
    <m/>
    <m/>
    <m/>
    <m/>
    <m/>
    <m/>
    <m/>
    <m/>
    <m/>
    <m/>
    <m/>
    <m/>
    <m/>
    <m/>
    <d v="2026-08-25T00:00:00"/>
    <s v="Да"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9654"/>
    <s v="1С. Комплексные продажи"/>
    <s v="N"/>
    <s v="N"/>
    <x v="11"/>
    <m/>
    <m/>
    <m/>
    <m/>
    <m/>
    <s v="Федорова Анастасия"/>
    <m/>
    <s v="ЭПД Лекторий"/>
    <s v="Продажа"/>
    <s v="Мероприятие Форус"/>
    <s v="Звонок поступил на номер: ЦП 78-00-00 (62)."/>
    <s v="0.00"/>
    <s v="Российский рубль"/>
    <m/>
    <s v="Сухоносова Ольга"/>
    <m/>
    <s v="нет"/>
    <d v="2026-08-25T16:02:22"/>
    <s v="Федорова Анастасия"/>
    <d v="2026-08-26T16:03:22"/>
    <s v="ROBOT"/>
    <d v="2026-08-25T00:00:00"/>
    <d v="2026-09-01T00:00:00"/>
    <m/>
    <m/>
    <m/>
    <m/>
    <m/>
    <m/>
    <m/>
    <m/>
    <n v="23689"/>
    <d v="2026-08-25T16:02:25"/>
    <m/>
    <m/>
    <m/>
    <m/>
    <m/>
    <m/>
    <m/>
    <s v="Нет"/>
    <n v="0"/>
    <s v="pro-uchet@mail.ru"/>
    <n v="79622959055"/>
    <m/>
    <m/>
    <s v="ЦП. 1С и ИТС. Коммерция"/>
    <m/>
    <m/>
    <m/>
    <m/>
    <m/>
    <m/>
    <m/>
    <s v="Ольга"/>
    <m/>
    <m/>
    <m/>
    <n v="2"/>
    <m/>
    <m/>
    <m/>
    <s v="ЦП. 1С. Коммерция"/>
    <m/>
    <m/>
    <m/>
    <m/>
    <m/>
    <m/>
    <m/>
    <m/>
    <m/>
    <m/>
    <m/>
    <m/>
    <m/>
    <m/>
    <s v="Обычный"/>
    <m/>
    <m/>
    <m/>
    <m/>
    <m/>
    <n v="266556"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d v="2026-08-25T00:00:00"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25T18:00:04"/>
    <d v="2026-08-26T16:16:44"/>
    <m/>
    <m/>
    <m/>
    <m/>
    <m/>
    <m/>
    <m/>
    <m/>
    <m/>
    <m/>
    <m/>
    <m/>
    <m/>
    <m/>
    <m/>
    <m/>
    <m/>
    <m/>
    <m/>
    <n v="398509"/>
    <m/>
    <m/>
    <s v="Ольга"/>
    <s v="Сухоносова"/>
    <m/>
    <m/>
    <m/>
    <s v="Клиенты"/>
    <s v="ROBOT"/>
    <m/>
    <s v="Мероприятие Форус"/>
    <s v="Звонок поступил на номер: ЦП 78-00-00 (62)."/>
    <s v="Да"/>
    <s v="Федорова Анастасия"/>
    <d v="2026-08-25T16:01:57"/>
    <s v="ROBOT"/>
    <d v="2026-08-25T16:01:57"/>
    <m/>
    <m/>
    <n v="79622959055"/>
    <m/>
    <m/>
    <m/>
    <m/>
    <m/>
    <m/>
    <m/>
    <m/>
    <m/>
    <m/>
    <m/>
    <m/>
    <s v="pro-uchet@mail.ru"/>
    <m/>
    <m/>
    <m/>
    <m/>
    <m/>
    <m/>
    <m/>
    <m/>
    <m/>
    <m/>
    <m/>
    <m/>
    <m/>
    <m/>
    <m/>
    <m/>
    <d v="2026-08-25T00:00:00"/>
    <s v="Да"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9639"/>
    <s v="1С. Комплексные продажи"/>
    <s v="N"/>
    <s v="Y"/>
    <x v="11"/>
    <m/>
    <m/>
    <m/>
    <m/>
    <m/>
    <s v="Россинский Вадим"/>
    <m/>
    <s v="7 914 895-53-82 - Входящий звонок"/>
    <s v="Продажа"/>
    <s v="Звонок"/>
    <s v="Звонок поступил на номер: ЦП 78-00-00 (62)."/>
    <s v="0.00"/>
    <s v="Российский рубль"/>
    <s v="ООО &quot;ПАРТНЕР СЕРВИС - ТУР&quot; 3808300931#"/>
    <s v="Елена"/>
    <m/>
    <s v="нет"/>
    <d v="2026-08-25T15:14:46"/>
    <s v="Россинский Вадим"/>
    <d v="2026-09-02T09:52:16"/>
    <s v="Россинский Вадим"/>
    <d v="2026-08-25T00:00:00"/>
    <d v="2026-09-01T00:00:00"/>
    <m/>
    <m/>
    <m/>
    <m/>
    <m/>
    <m/>
    <m/>
    <m/>
    <n v="15488"/>
    <d v="2026-08-25T15:14:52"/>
    <m/>
    <m/>
    <m/>
    <m/>
    <m/>
    <m/>
    <m/>
    <s v="Нет"/>
    <n v="0"/>
    <m/>
    <n v="79148955382"/>
    <m/>
    <m/>
    <s v="ЦП. 1С и ИТС. Коммерция"/>
    <m/>
    <m/>
    <m/>
    <m/>
    <m/>
    <m/>
    <m/>
    <m/>
    <m/>
    <m/>
    <m/>
    <n v="15"/>
    <m/>
    <m/>
    <m/>
    <s v="ЦП. 1С. Коммерция"/>
    <m/>
    <m/>
    <m/>
    <m/>
    <m/>
    <m/>
    <m/>
    <m/>
    <m/>
    <m/>
    <m/>
    <m/>
    <m/>
    <m/>
    <s v="Обычный"/>
    <m/>
    <m/>
    <m/>
    <m/>
    <m/>
    <n v="266726"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d v="2026-08-25T00:00:00"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9-02T09:50:00"/>
    <d v="2026-09-02T09:50:00"/>
    <m/>
    <m/>
    <m/>
    <m/>
    <m/>
    <m/>
    <m/>
    <m/>
    <m/>
    <m/>
    <m/>
    <m/>
    <m/>
    <m/>
    <m/>
    <m/>
    <m/>
    <m/>
    <m/>
    <n v="361673"/>
    <m/>
    <m/>
    <s v="Елена"/>
    <m/>
    <m/>
    <m/>
    <m/>
    <s v="Клиенты"/>
    <s v="ROBOT"/>
    <s v="[p] Добрый день! Подскажите как с вами связаться?11:33 [/p]"/>
    <s v="Авито. 1СБО"/>
    <s v="Чат открытой линии - &quot;1СБО Авито&quot;"/>
    <s v="Да"/>
    <s v="Антипина Алина"/>
    <d v="2025-03-25T09:55:24"/>
    <s v="Россинский Вадим"/>
    <d v="2026-09-02T09:52:16"/>
    <m/>
    <m/>
    <n v="79148955382"/>
    <m/>
    <m/>
    <m/>
    <m/>
    <m/>
    <m/>
    <m/>
    <m/>
    <m/>
    <m/>
    <m/>
    <m/>
    <s v="38yug@mail.ru"/>
    <m/>
    <m/>
    <m/>
    <m/>
    <m/>
    <m/>
    <m/>
    <m/>
    <m/>
    <m/>
    <m/>
    <s v="imol|avito|33|u2i-Sa3V_sgu_Q6Qsde3U3nDlg|15448"/>
    <m/>
    <m/>
    <m/>
    <s v="Иркутск г"/>
    <d v="2025-03-25T00:00:00"/>
    <s v="Да"/>
    <m/>
    <s v="Иркутская область 0 часов"/>
    <m/>
    <m/>
    <s v="Нет"/>
    <s v="af078190-6852-4b43-bc45-3b4b61885a86"/>
    <n v="258536"/>
    <m/>
    <s v="ООО &quot;ПАРТНЕР СЕРВИС - ТУР&quot; 3808300931#"/>
    <s v="Клиент"/>
    <s v="менее 50"/>
    <s v="ROBOT"/>
    <m/>
    <s v="Информационные технологии"/>
    <s v="0.00"/>
    <s v="Российский рубль"/>
    <m/>
    <s v="Россинский Вадим"/>
    <d v="2026-08-27T09:26:13"/>
    <s v="ROBOT_M"/>
    <d v="2026-08-27T09:43: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d v="2026-08-19T00:00:00"/>
    <m/>
    <s v="79.11 Деятельность туристических агентств"/>
    <m/>
    <s v="Нет"/>
    <m/>
    <m/>
    <s v="ПАРТНЕР СЕРВИС - ТУР ООО"/>
    <s v="ИРКУТСК"/>
    <n v="3808300931"/>
    <m/>
    <m/>
    <m/>
    <m/>
    <m/>
    <m/>
    <m/>
    <s v="Свой контакт (Менеджер)"/>
    <m/>
    <s v="Коммерческие"/>
    <s v="ООО"/>
    <n v="129103"/>
    <s v="Иркутская область 0 часов"/>
    <m/>
    <m/>
    <m/>
    <s v="Нет"/>
    <m/>
    <m/>
    <m/>
    <m/>
    <s v="Нет"/>
    <s v="Услуги. Туризм"/>
    <m/>
    <m/>
    <m/>
    <s v="7acde9ef-823b-4aa5-a89d-e9da6523c437"/>
  </r>
  <r>
    <n v="319638"/>
    <s v="ЦП. 1С. Продажи"/>
    <s v="Y"/>
    <s v="N"/>
    <x v="0"/>
    <m/>
    <m/>
    <m/>
    <m/>
    <m/>
    <s v="Соболев Максим"/>
    <s v="ONE_C"/>
    <s v="ООО &quot;ТУРМАЛИН&quot; 3849086941# - 1С-ЭПД"/>
    <s v="Продажа"/>
    <s v="1С Сайт its.1c.ru"/>
    <m/>
    <n v="1400"/>
    <s v="Российский рубль"/>
    <s v="ООО &quot;ТУРМАЛИН&quot; 3849086941#"/>
    <s v="Толстикова Наталья Викторовна"/>
    <m/>
    <s v="нет"/>
    <d v="2026-08-25T15:14:02"/>
    <s v="Соболев Максим"/>
    <d v="2026-08-27T18:02:17"/>
    <s v="ROBOT"/>
    <d v="2026-08-25T00:00:00"/>
    <d v="2026-09-01T00:00:00"/>
    <s v="1С-ЭДО. ЭПД-200 на 12 месяцев"/>
    <n v="1400"/>
    <n v="1"/>
    <s v="Заказ на сайте its.1c.ru ORD260825-1787634602 a:hover, a:active {color:#16489b;text-decoration:underline} #mail-message-wrapper a:hover, #mail-message-wrapper a:active {color:#16489b;text-decoration:underline} [b]Новый заказ на сайте its.1c.ru[/b] [p]Уважаемый партнер![/p] [p]Вы получили новый заказ на сайте its.1c.ru:[/p] Номер заказа: ORD260825-1787634602 Источник: its.1c.ru, ЭПД Время отправки: 2026-08-25 13:10:02 Контактное лицо: Наталья Телефон: 89027627575 E-mail: [url=mailto:nv-turmalin@yandex.ru]nv-turmalin@yandex.ru[/url] ИНН/ЕДРПОУ: Регион (город): Иркутская область, Иркутск Комментарий: Заказ сервиса 1С-ЭПД [p]Внимательно ознакомьтесь с правилами обработки заказа в [url=https://its.1c.ru/db/partnerits#content:1636:hdoc]справочнике партнера[/url].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 [*]В течение 1 рабочего часа с момента получения заказа свяжитесь с клиентом, уточните заказ и поставьте отметку о том, что вы приняли заказ в работу. 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Вопросы по обработке заказа присылайте на электронную почту [url=mailto:web-its@1c.ru]web-its@1c.ru[/url].[/p] [p]С уважением, администрация сайта [url=https://its.1c.ru/]its.1c.ru[/url].[p] [/p][/p]"/>
    <m/>
    <m/>
    <m/>
    <m/>
    <n v="5"/>
    <d v="2026-08-27T08:59:38"/>
    <m/>
    <m/>
    <m/>
    <m/>
    <m/>
    <m/>
    <s v="Договор-оферта"/>
    <s v="Нет"/>
    <n v="1"/>
    <m/>
    <m/>
    <m/>
    <s v="ИРКУТСК"/>
    <s v="ЦП. 1С и ИТС. Коммерция"/>
    <m/>
    <m/>
    <m/>
    <d v="2026-08-27T00:00:00"/>
    <d v="2027-08-26T00:00:00"/>
    <m/>
    <n v="0"/>
    <m/>
    <s v="Заказ на сайте its.1c.ru ORD260825-1787634602 a:hover, a:active {color:#16489b;text-decoration:underline} #mail-message-wrapper a:hover, #mail-message-wrapper a:active {color:#16489b;text-decoration:underline} [b]Новый заказ на сайте its.1c.ru[/b] [p]Уважаемый партнер![/p] [p]Вы получили новый заказ на сайте its.1c.ru:[/p] Номер заказа: ORD260825-1787634602 Источник: its.1c.ru, ЭПД Время отправки: 2026-08-25 13:10:02 Контактное лицо: Наталья Телефон: 89027627575 E-mail: [url=mailto:nv-turmalin@yandex.ru]nv-turmalin@yandex.ru[/url] ИНН/ЕДРПОУ: Регион (город): Иркутская область, Иркутск Комментарий: Заказ сервиса 1С-ЭПД [p]Внимательно ознакомьтесь с правилами обработки заказа в [url=https://its.1c.ru/db/partnerits#content:1636:hdoc]справочнике партнера[/url].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 [*]В течение 1 рабочего часа с момента получения заказа свяжитесь с клиентом, уточните заказ и поставьте отметку о том, что вы приняли заказ в работу. 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Вопросы по обработке заказа присылайте на электронную почту [url=mailto:web-its@1c.ru]web-its@1c.ru[/url].[/p] [p]С уважением, администрация сайта [url=https://its.1c.ru/]its.1c.ru[/url].[p] [/p][/p]"/>
    <m/>
    <m/>
    <n v="3"/>
    <s v="/upload/crm/d9a/a2uosga2e4pme80vivjcrtd0srapxm19/Договор-оферта.txt"/>
    <s v="ФРДТ-018861"/>
    <m/>
    <s v="ЦП. 1С. Коммерция"/>
    <m/>
    <m/>
    <m/>
    <m/>
    <d v="2026-08-25T00:00:00"/>
    <m/>
    <m/>
    <s v="[CO]ООО НПФ &quot;ФОРУС&quot; 3812023430#"/>
    <s v="Сервисы"/>
    <m/>
    <m/>
    <s v="Коммерческие"/>
    <m/>
    <m/>
    <s v="Обычный"/>
    <m/>
    <s v="Да"/>
    <s v="#Загружено из Битрикс-Коробка#"/>
    <d v="2026-08-26T00:00:00"/>
    <m/>
    <n v="266680"/>
    <s v="1С-ЭДО ЭПД"/>
    <m/>
    <m/>
    <n v="12"/>
    <m/>
    <n v="1400"/>
    <d v="2026-08-27T00:00:00"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-ЭПД"/>
    <s v="Контроль сделк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n v="1400"/>
    <d v="2026-08-27T00:00:00"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сделки"/>
    <m/>
    <m/>
    <m/>
    <m/>
    <m/>
    <d v="2026-08-27T10:51:14"/>
    <d v="2026-08-26T14:43:04"/>
    <s v="Завершен"/>
    <m/>
    <m/>
    <m/>
    <s v="Завершен"/>
    <m/>
    <m/>
    <m/>
    <m/>
    <m/>
    <m/>
    <m/>
    <m/>
    <m/>
    <m/>
    <m/>
    <m/>
    <m/>
    <m/>
    <n v="309507"/>
    <m/>
    <m/>
    <s v="Наталья"/>
    <s v="Толстикова"/>
    <s v="Викторовна"/>
    <m/>
    <m/>
    <s v="Клиенты"/>
    <s v="ROBOT"/>
    <s v="[Автор=БитриксКоробка] [Автор=БитриксКоробка][Редактор=Арановская Анна Алексеевна]"/>
    <s v="Звонок"/>
    <s v="Звонок поступил на номер: ЦП Общий 78-00-00 (14)."/>
    <s v="Да"/>
    <s v="Петров Андрей"/>
    <d v="2023-06-27T10:27:58"/>
    <s v="ROBOT"/>
    <d v="2026-08-26T08:58:24"/>
    <m/>
    <m/>
    <n v="79027627575"/>
    <m/>
    <m/>
    <m/>
    <m/>
    <m/>
    <m/>
    <m/>
    <m/>
    <m/>
    <m/>
    <m/>
    <m/>
    <s v="nv-turmalin@yandex.ru"/>
    <m/>
    <m/>
    <m/>
    <m/>
    <m/>
    <m/>
    <m/>
    <m/>
    <m/>
    <m/>
    <m/>
    <s v="imol|ank_chats_app24_whatsapp|32|79027627575|3349, imol|ank_chats_app24_max|59|private-62882767|24576"/>
    <m/>
    <m/>
    <s v="3349, 24576"/>
    <s v="Иркутская обл, нас. пункт Иркутск г"/>
    <d v="2023-06-27T00:00:00"/>
    <s v="Да"/>
    <m/>
    <s v="Иркутская область 0 часов"/>
    <m/>
    <m/>
    <s v="Нет"/>
    <s v="981d0e7d-ffcd-4dfd-8d10-51cdb1b7b4a1"/>
    <n v="207096"/>
    <m/>
    <s v="ООО &quot;ТУРМАЛИН&quot; 3849086941#"/>
    <s v="Клиент"/>
    <s v="менее 50"/>
    <s v="ROBOT"/>
    <m/>
    <s v="Информационные технологии"/>
    <m/>
    <s v="Российский рубль"/>
    <s v="Заказ на сайте its.1c.ru ORD260825-1787634602 a:hover, a:active {color:#16489b;text-decoration:underline} #mail-message-wrapper a:hover, #mail-message-wrapper a:active {color:#16489b;text-decoration:underline} [b]Новый заказ на сайте its.1c.ru[/b] [p]Уважаемый партнер![/p] [p]Вы получили новый заказ на сайте its.1c.ru:[/p] Номер заказа: ORD260825-1787634602 Источник: its.1c.ru, ЭПД Время отправки: 2026-08-25 13:10:02 Контактное лицо: Наталья Телефон: 89027627575 E-mail: [url=mailto:nv-turmalin@yandex.ru]nv-turmalin@yandex.ru[/url] ИНН/ЕДРПОУ: Регион (город): Иркутская область, Иркутск Комментарий: Заказ сервиса 1С-ЭПД [p]Внимательно ознакомьтесь с правилами обработки заказа в [url=https://its.1c.ru/db/partnerits#content:1636:hdoc]справочнике партне"/>
    <s v="Петров Андрей"/>
    <d v="2023-06-22T12:53:52"/>
    <s v="ROBOT_UT"/>
    <d v="2026-08-27T18:02:17"/>
    <m/>
    <m/>
    <n v="79027627575"/>
    <m/>
    <m/>
    <m/>
    <m/>
    <m/>
    <m/>
    <m/>
    <m/>
    <m/>
    <m/>
    <m/>
    <m/>
    <s v="nv-turmalin@yandex.ru"/>
    <m/>
    <m/>
    <m/>
    <m/>
    <m/>
    <m/>
    <m/>
    <m/>
    <m/>
    <m/>
    <m/>
    <s v="imol|ank_chats_app24_whatsapp|32|79027627575|3349, imol|ank_chats_app24_max|59|private-62882767|24576"/>
    <m/>
    <m/>
    <s v="3349, 24576"/>
    <m/>
    <n v="0"/>
    <s v="nv-turmalin@yandex.ru"/>
    <d v="2022-02-24T00:00:00"/>
    <m/>
    <s v="46.76 Торговля оптовая прочими промежуточными продуктами"/>
    <m/>
    <s v="Нет"/>
    <d v="2023-06-30T00:00:00"/>
    <d v="2025-06-30T00:00:00"/>
    <s v="ТУРМАЛИН, ИНН 3849086941 ООО"/>
    <s v="ИРКУТСК"/>
    <n v="3849086941"/>
    <m/>
    <m/>
    <m/>
    <m/>
    <s v="nv-turmalin@yandex.ru"/>
    <m/>
    <m/>
    <s v="Свой контакт (Менеджер)"/>
    <m/>
    <s v="Коммерческие"/>
    <s v="ООО"/>
    <n v="96555"/>
    <s v="Иркутская область 0 часов"/>
    <m/>
    <m/>
    <m/>
    <s v="Да, компания работает"/>
    <s v="[C]Толстикова Наталья Викторовна"/>
    <m/>
    <m/>
    <m/>
    <s v="Нет"/>
    <s v="Торговля. Прочая"/>
    <m/>
    <m/>
    <m/>
    <s v="83145e13-7e74-4c9f-b39f-af58cc240413"/>
  </r>
  <r>
    <n v="319634"/>
    <s v="ЦП. 1С. Продажи"/>
    <s v="Y"/>
    <s v="N"/>
    <x v="1"/>
    <m/>
    <s v="Соболев Максим"/>
    <m/>
    <m/>
    <m/>
    <s v="Соболев Максим"/>
    <m/>
    <s v="ООО &quot;ИРМАШ&quot; 3811436467# 1С КП и Сервисы"/>
    <s v="Продажа"/>
    <s v="Свой контакт (Менеджер)"/>
    <m/>
    <s v="0.00"/>
    <s v="Российский рубль"/>
    <s v="ООО &quot;ИРМАШ&quot; 3811436467#"/>
    <s v="Жуков Алексей Александрович"/>
    <m/>
    <s v="нет"/>
    <d v="2026-08-25T14:48:10"/>
    <s v="Соболев Максим"/>
    <d v="2026-09-02T13:10:38"/>
    <s v="Нечаева Елизавета"/>
    <d v="2026-08-25T00:00:00"/>
    <d v="2026-09-01T00:00:00"/>
    <m/>
    <m/>
    <m/>
    <m/>
    <m/>
    <m/>
    <m/>
    <m/>
    <n v="508"/>
    <d v="2026-08-25T15:10:52"/>
    <m/>
    <m/>
    <m/>
    <m/>
    <m/>
    <m/>
    <m/>
    <s v="Нет"/>
    <n v="1"/>
    <m/>
    <m/>
    <m/>
    <m/>
    <s v="ЦП. 1С и ИТС. Коммерция"/>
    <m/>
    <m/>
    <m/>
    <m/>
    <m/>
    <m/>
    <n v="2"/>
    <m/>
    <m/>
    <m/>
    <m/>
    <n v="10"/>
    <m/>
    <m/>
    <m/>
    <s v="ЦП. 1С. Коммерция"/>
    <m/>
    <m/>
    <m/>
    <m/>
    <m/>
    <m/>
    <m/>
    <m/>
    <m/>
    <m/>
    <m/>
    <m/>
    <m/>
    <m/>
    <s v="Обычный"/>
    <m/>
    <m/>
    <m/>
    <m/>
    <m/>
    <m/>
    <m/>
    <m/>
    <m/>
    <m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m/>
    <s v="Отправить счет/договор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Отправить счет"/>
    <m/>
    <m/>
    <m/>
    <m/>
    <m/>
    <d v="2026-09-02T13:08:51"/>
    <d v="2026-09-02T13:45:58"/>
    <m/>
    <m/>
    <m/>
    <m/>
    <m/>
    <m/>
    <m/>
    <m/>
    <m/>
    <m/>
    <m/>
    <m/>
    <m/>
    <m/>
    <m/>
    <m/>
    <m/>
    <m/>
    <m/>
    <n v="292721"/>
    <m/>
    <m/>
    <s v="Алексей"/>
    <s v="Жуков"/>
    <s v="Александрович"/>
    <m/>
    <m/>
    <m/>
    <s v="ROBOT"/>
    <s v="Загрузка номенклатуры через эксель документы[Редактор=БитриксКоробка]"/>
    <s v="Звонок"/>
    <s v="Звонок поступил на номер: ЦП Общий 78-00-00 (14)."/>
    <s v="Да"/>
    <s v="Пилигримова Евгения"/>
    <d v="2022-09-06T15:43:53"/>
    <s v="Нечаева Елизавета"/>
    <d v="2026-09-02T13:10:38"/>
    <m/>
    <m/>
    <n v="79996408359"/>
    <m/>
    <m/>
    <m/>
    <m/>
    <m/>
    <m/>
    <m/>
    <m/>
    <m/>
    <m/>
    <m/>
    <m/>
    <s v="marketing@ir-mash.ru"/>
    <m/>
    <m/>
    <m/>
    <m/>
    <m/>
    <m/>
    <m/>
    <m/>
    <m/>
    <m/>
    <m/>
    <m/>
    <m/>
    <m/>
    <m/>
    <s v="Братск г, Падун ж/р"/>
    <d v="2022-09-06T00:00:00"/>
    <s v="Да"/>
    <m/>
    <s v="Иркутская область 0 часов"/>
    <m/>
    <m/>
    <s v="Нет"/>
    <s v="2016a490-102a-4a6c-8af0-bb82fdc485d7"/>
    <n v="126512"/>
    <m/>
    <s v="ООО &quot;ИРМАШ&quot; 3811436467#"/>
    <s v="Клиент"/>
    <m/>
    <s v="ROBOT"/>
    <m/>
    <m/>
    <m/>
    <s v="Российский рубль"/>
    <s v="."/>
    <s v="ROBOT_M"/>
    <d v="2021-07-07T11:23:06"/>
    <s v="ROBOT_UT"/>
    <d v="2026-08-25T15:39:11"/>
    <m/>
    <n v="73952551250"/>
    <m/>
    <m/>
    <m/>
    <m/>
    <m/>
    <m/>
    <m/>
    <m/>
    <m/>
    <m/>
    <m/>
    <m/>
    <m/>
    <s v="buh@ir-mash.ru"/>
    <m/>
    <s v="buh@ir-mach.ru, buh@ir-mash.ru"/>
    <m/>
    <m/>
    <m/>
    <m/>
    <m/>
    <m/>
    <m/>
    <m/>
    <m/>
    <m/>
    <m/>
    <m/>
    <m/>
    <m/>
    <n v="0"/>
    <s v="buh@ir-mash.ru"/>
    <d v="2016-06-30T00:00:00"/>
    <m/>
    <s v="28.12.1 Производство гидравлических и пневматических силовых установок и двигателей"/>
    <m/>
    <s v="Нет"/>
    <d v="2018-03-30T00:00:00"/>
    <d v="2025-06-06T00:00:00"/>
    <s v="ИРМАШ ООО"/>
    <s v="Иркутск г"/>
    <n v="3811436467"/>
    <m/>
    <m/>
    <m/>
    <m/>
    <m/>
    <m/>
    <m/>
    <m/>
    <m/>
    <s v="Коммерческие"/>
    <s v="ООО"/>
    <n v="46669"/>
    <s v="Иркутская область 0 часов"/>
    <m/>
    <m/>
    <m/>
    <m/>
    <s v="[C]Шушарина Евгения Владимировна"/>
    <m/>
    <m/>
    <m/>
    <s v="Нет"/>
    <s v="Производство. Машиностроение"/>
    <m/>
    <m/>
    <m/>
    <s v="d92994c1-5630-49ba-8de2-8b3f9361f856"/>
  </r>
  <r>
    <n v="319616"/>
    <s v="ЦП. ФРЕШ. Продажи"/>
    <s v="N"/>
    <s v="N"/>
    <x v="6"/>
    <m/>
    <m/>
    <m/>
    <m/>
    <m/>
    <s v="Россинский Вадим"/>
    <m/>
    <s v="ООО &quot;СТС&quot; 3801119476#"/>
    <s v="Продажа"/>
    <s v="1С Сайт its.1c.ru"/>
    <m/>
    <s v="0.00"/>
    <s v="Российский рубль"/>
    <s v="ООО &quot;СТС&quot; 3801119476#"/>
    <s v="Александр"/>
    <m/>
    <s v="нет"/>
    <d v="2026-08-25T12:56:37"/>
    <s v="Россинский Вадим"/>
    <d v="2026-08-25T12:57:20"/>
    <s v="ROBOT_M"/>
    <d v="2026-08-25T00:00:00"/>
    <d v="2026-09-01T00:00:00"/>
    <m/>
    <m/>
    <m/>
    <s v="Заказ на сайте its.1c.ru ORD260825-1787633193 a:hover, a:active {color:#16489b;text-decoration:underline} #mail-message-wrapper a:hover, #mail-message-wrapper a:active {color:#16489b;text-decoration:underline} [b]Новый заказ на сайте its.1c.ru[/b] [p]Уважаемый партнер![/p] [p]Вы получили новый заказ на сайте its.1c.ru:[/p] Номер заказа: ORD260825-1787633193 Источник: its.1c.ru, ЭПД Время отправки: 2026-08-25 12:46:33 Контактное лицо: Александр Телефон: &amp;#43;7 (3955) 656-345 E-mail: [url=mailto:sts.angarsk@mail.ru]sts.angarsk@mail.ru[/url] ИНН/ЕДРПОУ: Регион (город): Иркутская область, Ангарск Комментарий: Заказ сервиса 1С-ЭПД [p]Внимательно ознакомьтесь с правилами обработки заказа в [url=https://its.1c.ru/db/partnerits#content:1636:hdoc]справочнике партнера[/url].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 [*]В течение 1 рабочего часа с момента получения заказа свяжитесь с клиентом, уточните заказ и поставьте отметку о том, что вы приняли заказ в работу. 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Вопросы по обработке заказа присылайте на электронную почту [url=mailto:web-its@1c.ru]web-its@1c.ru[/url].[/p] [p]С уважением, администрация сайта [url=https://its.1c.ru/]its.1c.ru[/url].[p] [/p][/p]"/>
    <m/>
    <m/>
    <m/>
    <m/>
    <n v="5"/>
    <d v="2026-08-25T12:57:17"/>
    <m/>
    <m/>
    <m/>
    <m/>
    <m/>
    <m/>
    <m/>
    <s v="Нет"/>
    <n v="2"/>
    <s v="sts.angarsk@mail.ru"/>
    <n v="73955656345"/>
    <m/>
    <m/>
    <s v="ЦП. 1С и ИТС. Коммерция"/>
    <d v="2026-09-24T00:00:00"/>
    <m/>
    <m/>
    <m/>
    <m/>
    <m/>
    <n v="0"/>
    <s v="Александр"/>
    <s v="Заказ на сайте its.1c.ru ORD260825-1787633193 a:hover, a:active {color:#16489b;text-decoration:underline} #mail-message-wrapper a:hover, #mail-message-wrapper a:active {color:#16489b;text-decoration:underline} [b]Новый заказ на сайте its.1c.ru[/b] [p]Уважаемый партнер![/p] [p]Вы получили новый заказ на сайте its.1c.ru:[/p] Номер заказа: ORD260825-1787633193 Источник: its.1c.ru, ЭПД Время отправки: 2026-08-25 12:46:33 Контактное лицо: Александр Телефон: &amp;amp;#43;7 (3955) 656-345 E-mail: [url=mailto:sts.angarsk@mail.ru]sts.angarsk@mail.ru[/url] ИНН/ЕДРПОУ: Регион (город): Иркутская область, Ангарск Комментарий: Заказ сервиса 1С-ЭПД [p]Внимательно ознакомьтесь с правилами обработки заказа в [url=https://its.1c.ru/db/partnerits#content:1636:hdoc]справочнике партнера[/url].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 [*]В течение 1 рабочего часа с момента получения заказа свяжитесь с клиентом, уточните заказ и поставьте отметку о том, что вы приняли заказ в работу. 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Вопросы по обработке заказа присылайте на электронную почту [url=mailto:web-its@1c.ru]web-its@1c.ru[/url].[/p] [p]С уважением, администрация сайта [url=https://its.1c.ru/]its.1c.ru[/url].[p] [/p][/p]"/>
    <m/>
    <m/>
    <n v="2"/>
    <m/>
    <m/>
    <m/>
    <s v="ЦП. 1С. Коммерция"/>
    <m/>
    <m/>
    <m/>
    <m/>
    <m/>
    <m/>
    <m/>
    <m/>
    <m/>
    <m/>
    <m/>
    <m/>
    <m/>
    <m/>
    <s v="Обычный"/>
    <m/>
    <m/>
    <m/>
    <m/>
    <m/>
    <n v="266670"/>
    <m/>
    <m/>
    <m/>
    <m/>
    <m/>
    <m/>
    <m/>
    <s v="Не было отгрузок"/>
    <m/>
    <m/>
    <m/>
    <m/>
    <s v="Нет"/>
    <m/>
    <m/>
    <m/>
    <m/>
    <m/>
    <m/>
    <m/>
    <m/>
    <m/>
    <s v="Необработанные"/>
    <s v="ФРЕШ и ГРМ"/>
    <m/>
    <m/>
    <s v="Не нужно"/>
    <m/>
    <m/>
    <m/>
    <s v="Необработанные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Необработанные"/>
    <m/>
    <m/>
    <m/>
    <m/>
    <m/>
    <d v="2026-08-25T12:57:18"/>
    <d v="2026-08-28T12:07:54"/>
    <m/>
    <m/>
    <m/>
    <m/>
    <m/>
    <m/>
    <m/>
    <m/>
    <m/>
    <m/>
    <m/>
    <m/>
    <m/>
    <m/>
    <m/>
    <m/>
    <m/>
    <m/>
    <m/>
    <n v="355695"/>
    <m/>
    <m/>
    <s v="Александр"/>
    <m/>
    <m/>
    <m/>
    <m/>
    <s v="Клиенты"/>
    <s v="ROBOT"/>
    <m/>
    <s v="Свой контакт (Менеджер)"/>
    <m/>
    <s v="Да"/>
    <s v="ROBOT_UT"/>
    <d v="2025-01-28T11:26:25"/>
    <s v="ROBOT"/>
    <d v="2026-08-25T13:24:30"/>
    <m/>
    <m/>
    <n v="79041202362"/>
    <m/>
    <m/>
    <m/>
    <m/>
    <m/>
    <m/>
    <m/>
    <m/>
    <m/>
    <m/>
    <m/>
    <m/>
    <m/>
    <m/>
    <m/>
    <m/>
    <m/>
    <m/>
    <m/>
    <m/>
    <m/>
    <m/>
    <m/>
    <m/>
    <m/>
    <m/>
    <m/>
    <m/>
    <s v="Ангарск г, нас. пункт Китой мкр"/>
    <d v="2025-01-28T00:00:00"/>
    <s v="Да"/>
    <m/>
    <s v="Иркутская область 0 часов"/>
    <m/>
    <m/>
    <s v="Нет"/>
    <s v="e77fea96-3aa0-4a9b-a468-a880105ab510"/>
    <n v="113412"/>
    <m/>
    <s v="ООО &quot;СТС&quot; 3801119476#"/>
    <s v="Клиент"/>
    <m/>
    <s v="ROBOT"/>
    <m/>
    <m/>
    <m/>
    <s v="Российский рубль"/>
    <m/>
    <s v="ROBOT_M"/>
    <d v="2021-07-07T01:29:52"/>
    <s v="ROBOT_M"/>
    <d v="2026-08-25T13:24:30"/>
    <m/>
    <n v="73955656345"/>
    <m/>
    <m/>
    <m/>
    <m/>
    <m/>
    <m/>
    <m/>
    <m/>
    <m/>
    <m/>
    <m/>
    <m/>
    <m/>
    <s v="sts.angarsk@mail.ru"/>
    <m/>
    <m/>
    <m/>
    <m/>
    <m/>
    <m/>
    <m/>
    <m/>
    <m/>
    <m/>
    <m/>
    <m/>
    <m/>
    <m/>
    <m/>
    <m/>
    <n v="0"/>
    <m/>
    <d v="2012-05-30T00:00:00"/>
    <m/>
    <s v="43.12 Подготовка строительной площадки"/>
    <m/>
    <s v="Нет"/>
    <d v="2018-03-29T00:00:00"/>
    <d v="2018-08-23T00:00:00"/>
    <s v="СТС ООО"/>
    <s v="Ангарск г, Китой мкр"/>
    <n v="3801119476"/>
    <m/>
    <m/>
    <m/>
    <m/>
    <m/>
    <m/>
    <m/>
    <m/>
    <m/>
    <s v="Коммерческие"/>
    <s v="ООО"/>
    <n v="46905"/>
    <s v="Иркутская область 0 часов"/>
    <m/>
    <m/>
    <m/>
    <m/>
    <m/>
    <m/>
    <m/>
    <m/>
    <s v="Нет"/>
    <s v="Строительство"/>
    <m/>
    <m/>
    <m/>
    <s v="81203f9f-41cb-42c8-ad9c-a417c64795d4"/>
  </r>
  <r>
    <n v="319604"/>
    <s v="1С. Комплексные продажи"/>
    <s v="N"/>
    <s v="N"/>
    <x v="11"/>
    <m/>
    <m/>
    <m/>
    <m/>
    <m/>
    <s v="Федорова Анастасия"/>
    <m/>
    <s v="Заказ на сайте its.1c.ru ORD260825-1787618299"/>
    <s v="Продажа"/>
    <s v="1С Сайт its.1c.ru"/>
    <m/>
    <s v="0.00"/>
    <s v="Российский рубль"/>
    <m/>
    <s v="Ольга"/>
    <m/>
    <s v="нет"/>
    <d v="2026-08-25T11:50:39"/>
    <s v="Федорова Анастасия"/>
    <d v="2026-08-25T18:00:11"/>
    <s v="ROBOT_M"/>
    <d v="2026-08-25T00:00:00"/>
    <d v="2026-09-01T00:00:00"/>
    <m/>
    <m/>
    <m/>
    <s v="Заказ на сайте its.1c.ru ORD260825-1787618299 a:hover, a:active {color:#16489b;text-decoration:underline} #mail-message-wrapper a:hover, #mail-message-wrapper a:active {color:#16489b;text-decoration:underline} [b]Новый заказ на сайте its.1c.ru[/b] [p]Уважаемый партнер![/p] [p]Вы получили новый заказ на сайте its.1c.ru:[/p] Номер заказа: ORD260825-1787618299 Источник: its.1c.ru, ЭПД Время отправки: 2026-08-25 08:38:19 Контактное лицо: Ольга Телефон: &amp;#43;79025671275 E-mail: [url=mailto:rusavto_bratsk@mail.ru]rusavto_bratsk@mail.ru[/url] ИНН/ЕДРПОУ: Регион (город): Иркутская область, Братск Комментарий: Заказ сервиса 1С-ЭПД [p]Внимательно ознакомьтесь с правилами обработки заказа в [url=https://its.1c.ru/db/partnerits#content:1636:hdoc]справочнике партнера[/url].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 [*]В течение 1 рабочего часа с момента получения заказа свяжитесь с клиентом, уточните заказ и поставьте отметку о том, что вы приняли заказ в работу. 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Вопросы по обработке заказа присылайте на электронную почту [url=mailto:web-its@1c.ru]web-its@1c.ru[/url].[/p] [p]С уважением, администрация сайта [url=https://its.1c.ru/]its.1c.ru[/url].[p] [/p][/p]"/>
    <m/>
    <m/>
    <m/>
    <m/>
    <n v="23689"/>
    <d v="2026-08-25T13:54:27"/>
    <m/>
    <m/>
    <m/>
    <m/>
    <m/>
    <m/>
    <m/>
    <s v="Нет"/>
    <n v="0"/>
    <s v="rusavto_bratsk@mail.ru"/>
    <n v="79025671275"/>
    <m/>
    <m/>
    <s v="ЦП. 1С и ИТС. Коммерция"/>
    <m/>
    <m/>
    <m/>
    <m/>
    <m/>
    <m/>
    <m/>
    <m/>
    <s v="Заказ на сайте its.1c.ru ORD260825-1787618299 a:hover, a:active {color:#16489b;text-decoration:underline} #mail-message-wrapper a:hover, #mail-message-wrapper a:active {color:#16489b;text-decoration:underline} [b]Новый заказ на сайте its.1c.ru[/b] [p]Уважаемый партнер![/p] [p]Вы получили новый заказ на сайте its.1c.ru:[/p] Номер заказа: ORD260825-1787618299 Источник: its.1c.ru, ЭПД Время отправки: 2026-08-25 08:38:19 Контактное лицо: Ольга Телефон: &amp;amp;#43;79025671275 E-mail: [url=mailto:rusavto_bratsk@mail.ru]rusavto_bratsk@mail.ru[/url] ИНН/ЕДРПОУ: Регион (город): Иркутская область, Братск Комментарий: Заказ сервиса 1С-ЭПД [p]Внимательно ознакомьтесь с правилами обработки заказа в [url=https://its.1c.ru/db/partnerits#content:1636:hdoc]справочнике партнера[/url].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 [*]В течение 1 рабочего часа с момента получения заказа свяжитесь с клиентом, уточните заказ и поставьте отметку о том, что вы приняли заказ в работу. 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Вопросы по обработке заказа присылайте на электронную почту [url=mailto:web-its@1c.ru]web-its@1c.ru[/url].[/p] [p]С уважением, администрация сайта [url=https://its.1c.ru/]its.1c.ru[/url].[p] [/p][/p]"/>
    <m/>
    <m/>
    <n v="0"/>
    <m/>
    <m/>
    <m/>
    <s v="ЦП. 1С. Коммерция"/>
    <m/>
    <m/>
    <m/>
    <m/>
    <m/>
    <m/>
    <m/>
    <m/>
    <m/>
    <m/>
    <m/>
    <m/>
    <m/>
    <m/>
    <s v="Обычный"/>
    <m/>
    <m/>
    <m/>
    <m/>
    <m/>
    <n v="266555"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d v="2026-09-24T00:00:00"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25T18:00:04"/>
    <d v="2026-08-25T11:51:03"/>
    <m/>
    <m/>
    <m/>
    <m/>
    <m/>
    <m/>
    <m/>
    <m/>
    <m/>
    <m/>
    <m/>
    <m/>
    <m/>
    <m/>
    <m/>
    <m/>
    <m/>
    <m/>
    <m/>
    <n v="398447"/>
    <m/>
    <m/>
    <s v="Ольга"/>
    <m/>
    <m/>
    <m/>
    <m/>
    <s v="Клиенты"/>
    <s v="ROBOT"/>
    <s v="[p] Заказ на сайте [url=https://its.1c.ru]its.1c.ru[/url] ORD260825-1787618299 [/p] [p] a:hover, a:active{color:#16489b;text-decoration:underline} #mail-message-wrapper a:hover, #mail-message-wrapper a:active{color:#16489b;text-decoration:underline} [b]Новый заказ на сайте [/b][url=https://its.1c.ru][b]its.1c.ru[/b][/url] [/p] [p] Уважаемый партнер! [/p] [p] [/p] [p] Вы получили новый заказ на сайте [url=https://its.1c.ru]its.1c.ru[/url]: [/p] [p] Номер заказа: ORD260825-1787618299 Источник: [url=https://its.1c.ru]its.1c.ru[/url], ЭПД Время отправки: 2026-08-25 08:38:19 Контактное лицо: Ольга Телефон: &amp;amp;#43;79025671275 E-mail: [url=mailto:rusavto_bratsk@mail.ru]rusavto_bratsk@mail.ru[/url] ИНН/ЕДРПОУ: Регион (город): Иркутская область, Братск Комментарий: Заказ сервиса 1С-ЭПД [/p] [p] Внимательно ознакомьтесь с правилами обработки заказа в [url=https://its.1c.ru/db/partnerits#content:1636:hdoc]справочнике партнера[/url]. [/p] [p] 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[*]В течение 1 рабочего часа с момента получения заказа свяжитесь с клиентом, уточните заказ и поставьте отметку о том, что вы приняли заказ в работу.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 [/p] [p] Вопросы по обработке заказа присылайте на электронную почту [url=mailto:web-its@1c.ru]web-its@1c.ru[/url]. [/p] [p] [/p] [p][/p] [p] С уважением, администрация сайта [url=https://its.1c.ru/]its.1c.ru[/url]. [/p]"/>
    <s v="1С Сайт its.1c.ru"/>
    <m/>
    <s v="Да"/>
    <s v="Федорова Анастасия"/>
    <d v="2026-08-25T11:50:39"/>
    <s v="ROBOT"/>
    <d v="2026-08-25T11:50:39"/>
    <m/>
    <m/>
    <n v="79025671275"/>
    <m/>
    <m/>
    <m/>
    <m/>
    <m/>
    <m/>
    <m/>
    <m/>
    <m/>
    <m/>
    <m/>
    <m/>
    <s v="rusavto_bratsk@mail.ru"/>
    <m/>
    <m/>
    <m/>
    <m/>
    <m/>
    <m/>
    <m/>
    <m/>
    <m/>
    <m/>
    <m/>
    <m/>
    <m/>
    <m/>
    <m/>
    <s v="Иркутская область, Братск"/>
    <d v="2026-08-25T00:00:00"/>
    <s v="Да"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9602"/>
    <s v="1С. Комплексные продажи"/>
    <s v="N"/>
    <s v="N"/>
    <x v="11"/>
    <m/>
    <m/>
    <m/>
    <m/>
    <m/>
    <s v="Федорова Анастасия"/>
    <m/>
    <s v="Заказ на сайте its.1c.ru ORD260803-1785727771"/>
    <s v="Продажа"/>
    <s v="1С Сайт its.1c.ru"/>
    <m/>
    <s v="0.00"/>
    <s v="Российский рубль"/>
    <m/>
    <s v="Сиямкин Виталий Викторович"/>
    <m/>
    <s v="нет"/>
    <d v="2026-08-25T11:49:11"/>
    <s v="Федорова Анастасия"/>
    <d v="2026-08-25T18:00:11"/>
    <s v="ROBOT_M"/>
    <d v="2026-08-25T00:00:00"/>
    <d v="2026-09-01T00:00:00"/>
    <m/>
    <m/>
    <m/>
    <s v="Заказ на сайте its.1c.ru ORD260803-1785727771 a:hover, a:active {color:#16489b;text-decoration:underline} #mail-message-wrapper a:hover, #mail-message-wrapper a:active {color:#16489b;text-decoration:underline} [b]Новый заказ на сайте its.1c.ru[/b] [p]Уважаемый партнер![/p] [p]Вы получили новый заказ на сайте its.1c.ru:[/p] Номер заказа: ORD260803-1785727771 Источник: its.1c.ru Время отправки: 2026-08-03 11:29:31 Контактное лицо: Сиямкин Виталий Викторович Телефон: 79247108886 E-mail: [url=mailto:vv@tlkgrani.ru]vv@tlkgrani.ru[/url] ИНН/ЕДРПОУ: Регион (город): Иркутская область, Иркутск Комментарий: Заказ на 1С-ЭПД [p]Внимательно ознакомьтесь с правилами обработки заказа в [url=https://its.1c.ru/db/partnerits#content:1636:hdoc]справочнике партнера[/url].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 [*]В течение 1 рабочего часа с момента получения заказа свяжитесь с клиентом, уточните заказ и поставьте отметку о том, что вы приняли заказ в работу. 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Вопросы по обработке заказа присылайте на электронную почту [url=mailto:web-its@1c.ru]web-its@1c.ru[/url].[/p] [p]С уважением, администрация сайта [url=https://its.1c.ru/]its.1c.ru[/url].[p] [/p][/p]"/>
    <m/>
    <m/>
    <m/>
    <m/>
    <n v="23689"/>
    <d v="2026-08-25T11:49:41"/>
    <m/>
    <m/>
    <m/>
    <m/>
    <m/>
    <m/>
    <m/>
    <s v="Нет"/>
    <n v="0"/>
    <s v="vv@tlkgrani.ru"/>
    <n v="79247108886"/>
    <m/>
    <m/>
    <s v="ЦП. 1С и ИТС. Коммерция"/>
    <m/>
    <m/>
    <m/>
    <m/>
    <m/>
    <m/>
    <m/>
    <s v="Виталий"/>
    <s v="Заказ на сайте its.1c.ru ORD260803-1785727771 a:hover, a:active {color:#16489b;text-decoration:underline} #mail-message-wrapper a:hover, #mail-message-wrapper a:active {color:#16489b;text-decoration:underline} [b]Новый заказ на сайте its.1c.ru[/b] [p]Уважаемый партнер![/p] [p]Вы получили новый заказ на сайте its.1c.ru:[/p] Номер заказа: ORD260803-1785727771 Источник: its.1c.ru Время отправки: 2026-08-03 11:29:31 Контактное лицо: Сиямкин Виталий Викторович Телефон: 79247108886 E-mail: [url=mailto:vv@tlkgrani.ru]vv@tlkgrani.ru[/url] ИНН/ЕДРПОУ: Регион (город): Иркутская область, Иркутск Комментарий: Заказ на 1С-ЭПД [p]Внимательно ознакомьтесь с правилами обработки заказа в [url=https://its.1c.ru/db/partnerits#content:1636:hdoc]справочнике партнера[/url].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 [*]В течение 1 рабочего часа с момента получения заказа свяжитесь с клиентом, уточните заказ и поставьте отметку о том, что вы приняли заказ в работу. 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Вопросы по обработке заказа присылайте на электронную почту [url=mailto:web-its@1c.ru]web-its@1c.ru[/url].[/p] [p]С уважением, администрация сайта [url=https://its.1c.ru/]its.1c.ru[/url].[p] [/p][/p]"/>
    <m/>
    <m/>
    <n v="0"/>
    <m/>
    <m/>
    <m/>
    <s v="ЦП. 1С. Коммерция"/>
    <m/>
    <m/>
    <m/>
    <m/>
    <m/>
    <m/>
    <m/>
    <m/>
    <m/>
    <m/>
    <m/>
    <m/>
    <m/>
    <m/>
    <s v="Обычный"/>
    <m/>
    <m/>
    <m/>
    <m/>
    <m/>
    <n v="262874"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d v="2026-08-31T00:00:00"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25T18:00:05"/>
    <d v="2026-08-25T11:49:37"/>
    <m/>
    <m/>
    <m/>
    <m/>
    <m/>
    <m/>
    <m/>
    <m/>
    <m/>
    <m/>
    <m/>
    <m/>
    <m/>
    <m/>
    <m/>
    <m/>
    <m/>
    <m/>
    <m/>
    <n v="398445"/>
    <m/>
    <m/>
    <s v="Виталий"/>
    <s v="Сиямкин"/>
    <s v="Викторович"/>
    <m/>
    <m/>
    <s v="Клиенты"/>
    <s v="ROBOT"/>
    <s v="Заказ на сайте its.1c.ru ORD260803-1785727771 a:hover, a:active {color:#16489b;text-decoration:underline} #mail-message-wrapper a:hover, #mail-message-wrapper a:active {color:#16489b;text-decoration:underline} [b]Новый заказ на сайте its.1c.ru[/b] [p]Уважаемый партнер![/p] [p]Вы получили новый заказ на сайте its.1c.ru:[/p] Номер заказа: ORD260803-1785727771 Источник: its.1c.ru Время отправки: 2026-08-03 11:29:31 Контактное лицо: Сиямкин Виталий Викторович Телефон: 79247108886 E-mail: [url=mailto:vv@tlkgrani.ru]vv@tlkgrani.ru[/url] ИНН/ЕДРПОУ: Регион (город): Иркутская область, Иркутск Комментарий: Заказ на 1С-ЭПД [p]Внимательно ознакомьтесь с правилами обработки заказа в [url=https://its.1c.ru/db/partnerits#content:1636:hdoc]справочнике партнера[/url].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 [*]В течение 1 рабочего часа с момента получения заказа свяжитесь с клиентом, уточните заказ и поставьте отметку о том, что вы приняли заказ в работу. 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Вопросы по обработке заказа присылайте на электронную почту [url=mailto:web-its@1c.ru]web-its@1c.ru[/url].[/p] [p]С уважением, администрация сайта [url=https://its.1c.ru/]its.1c.ru[/url].[p] [/p][/p]"/>
    <s v="1С Сайт its.1c.ru"/>
    <m/>
    <s v="Да"/>
    <s v="Федорова Анастасия"/>
    <d v="2026-08-25T11:49:11"/>
    <s v="ROBOT"/>
    <d v="2026-08-25T11:49:11"/>
    <m/>
    <m/>
    <n v="79247108886"/>
    <m/>
    <m/>
    <m/>
    <m/>
    <m/>
    <m/>
    <m/>
    <m/>
    <m/>
    <m/>
    <m/>
    <m/>
    <s v="vv@tlkgrani.ru"/>
    <m/>
    <m/>
    <m/>
    <m/>
    <m/>
    <m/>
    <m/>
    <m/>
    <m/>
    <m/>
    <m/>
    <m/>
    <m/>
    <m/>
    <m/>
    <s v="Иркутская область, Иркутск"/>
    <d v="2026-08-25T00:00:00"/>
    <s v="Да"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9600"/>
    <s v="1С. Комплексные продажи"/>
    <s v="N"/>
    <s v="N"/>
    <x v="11"/>
    <m/>
    <m/>
    <m/>
    <m/>
    <m/>
    <s v="Федорова Анастасия"/>
    <m/>
    <s v="Холодный обзвон ЭПД/УАТ 2026: ООО &quot;Прогресс&quot;"/>
    <s v="Продажа"/>
    <s v="Холодный обзвон"/>
    <s v="База ЭПД/УАТ 2026"/>
    <s v="0.00"/>
    <s v="Российский рубль"/>
    <m/>
    <s v="Гарбузов Роман Николаевич"/>
    <m/>
    <s v="нет"/>
    <d v="2026-08-25T11:45:31"/>
    <s v="Федорова Анастасия"/>
    <d v="2026-08-25T18:00:11"/>
    <s v="ROBOT_M"/>
    <d v="2026-08-25T00:00:00"/>
    <d v="2026-09-01T00:00:00"/>
    <m/>
    <m/>
    <m/>
    <s v="Статус: Действующее предприятие Основной вид деятельности : 49.41.1 Перевозка грузов специализированными автотранспортными средствами Регион регистрации: Свердловская обл"/>
    <m/>
    <m/>
    <m/>
    <m/>
    <n v="23689"/>
    <d v="2026-08-25T13:56:01"/>
    <m/>
    <m/>
    <m/>
    <m/>
    <m/>
    <m/>
    <m/>
    <s v="Нет"/>
    <n v="0"/>
    <m/>
    <s v="+7 904 982-98-56"/>
    <m/>
    <m/>
    <s v="ЦП. 1С и ИТС. Коммерция"/>
    <m/>
    <m/>
    <m/>
    <m/>
    <m/>
    <m/>
    <m/>
    <s v="Роман"/>
    <s v="Статус: Действующее предприятие Основной вид деятельности : 49.41.1 Перевозка грузов специализированными автотранспортными средствами Регион регистрации: Свердловская обл"/>
    <m/>
    <m/>
    <n v="0"/>
    <m/>
    <m/>
    <m/>
    <s v="ЦП. 1С. Коммерция"/>
    <m/>
    <m/>
    <m/>
    <m/>
    <m/>
    <m/>
    <m/>
    <m/>
    <m/>
    <m/>
    <m/>
    <m/>
    <m/>
    <m/>
    <s v="Обычный"/>
    <m/>
    <m/>
    <m/>
    <m/>
    <m/>
    <n v="244545"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d v="2026-09-04T00:00:00"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25T18:00:04"/>
    <d v="2026-08-25T11:45:52"/>
    <m/>
    <m/>
    <m/>
    <m/>
    <m/>
    <m/>
    <m/>
    <m/>
    <m/>
    <m/>
    <m/>
    <m/>
    <m/>
    <m/>
    <m/>
    <m/>
    <m/>
    <m/>
    <m/>
    <n v="398443"/>
    <m/>
    <m/>
    <s v="Роман"/>
    <s v="Гарбузов"/>
    <s v="Николаевич"/>
    <m/>
    <s v="ГЕНЕРАЛЬНЫЙ ДИРЕКТОР"/>
    <s v="Клиенты"/>
    <s v="ROBOT"/>
    <s v="Статус: Действующее предприятие Основной вид деятельности : 49.41.1 Перевозка грузов специализированными автотранспортными средствами Регион регистрации: Свердловская обл"/>
    <s v="Холодный обзвон"/>
    <s v="База ЭПД/УАТ 2026"/>
    <s v="Да"/>
    <s v="Федорова Анастасия"/>
    <d v="2026-08-25T11:45:31"/>
    <s v="ROBOT"/>
    <d v="2026-08-25T11:45:31"/>
    <m/>
    <m/>
    <n v="79049829856"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8-25T00:00:00"/>
    <s v="Да"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9594"/>
    <s v="1С. Комплексные продажи"/>
    <s v="N"/>
    <s v="N"/>
    <x v="11"/>
    <m/>
    <m/>
    <m/>
    <m/>
    <m/>
    <s v="Федорова Анастасия"/>
    <m/>
    <s v="Квиз ЦП.Фреш: Демонстрация УНФ"/>
    <s v="Продажа"/>
    <s v="Квиз"/>
    <s v="marquiz.ru ЦП.Фреш: Демонстрация УНФ"/>
    <s v="0.00"/>
    <s v="Российский рубль"/>
    <m/>
    <s v="Кучеровская Наталия Васильевна"/>
    <m/>
    <s v="нет"/>
    <d v="2026-08-25T11:29:57"/>
    <s v="Федорова Анастасия"/>
    <d v="2026-08-25T18:00:11"/>
    <s v="ROBOT_M"/>
    <d v="2026-08-25T00:00:00"/>
    <d v="2026-09-01T00:00:00"/>
    <m/>
    <m/>
    <m/>
    <s v="[b]Чем вы занимаетесь?[/b] Дошкольное воспитание [b]Какие задачи хотите решить с помощью программы?[/b] обновлять мониторинг [b]Сколько человек будет работать в программе?[/b] 10 и более [b]Местоположение[/b]: Россия, Москва [b]Страница[/b]: [url=https://mrqz.me/64a4fe841f5b5f0025ce34e1?utm_source=yandex&amp;utm_medium=cpc&amp;utm_campaign=mk_1cfresh_quiz_unf_1cdlya_h_1c_17_705141204&amp;utm_content=1906099911443884693&amp;utm_term=---autotargeting&amp;etext=2202.LvpOc6UhQ6OykUuz6eMI4XAI2NUgbL5aPbpFgIgf1gOWnt501OTiB9a5kchdF7weZ__UaVqE_L9qWdI7uhIOYWKfe0DITJZpk5Wihz-0DpV8Ap8fUc4wp7rWDDHeC9UouBvj2Qx9gJqWfjGBzrRrNGFweXJibXNmbHZnc3V5YnA.dcca6aa81a7b8f451933c0aecade25f4a2f72da5&amp;yclid=16297908812115607551]https://mrqz.me/64a4fe841f5b5f0025ce34e1?utm_source=yandex&amp;utm_medium=cpc&amp;utm_campaign=mk_1cfresh_quiz_unf_1cdlya_h_1c_17_705141204&amp;utm_content=1906099911443884693&amp;utm_term=---autotargeting&amp;etext=2202.LvpOc6UhQ6OykUuz6eMI4XAI2NUgbL5aPbpFgIgf1gOWnt501OTiB9a5kchdF7weZ__UaVqE_L9qWdI7uhIOYWKfe0DITJZpk5Wihz-0DpV8Ap8fUc4wp7rWDDHeC9UouBvj2Qx9gJqWfjGBzrRrNGFweXJibXNmbHZnc3V5YnA.dcca6aa81a7b8f451933c0aecade25f4a2f72da5&amp;yclid=16297908812115607551[/url] [b]Согласия[/b]: Я согласен на обработку персональных данных: Да"/>
    <m/>
    <m/>
    <m/>
    <m/>
    <n v="23689"/>
    <d v="2026-08-25T11:30:03"/>
    <m/>
    <s v="yandex"/>
    <s v="cpc"/>
    <s v="mk_1cfresh_quiz_unf_1cdlya_h_1c_17_705141204"/>
    <n v="1.9060999114438799E+18"/>
    <s v="---autotargeting"/>
    <m/>
    <s v="Нет"/>
    <n v="0"/>
    <s v="nata.kucherovskaya.70@mail.ru"/>
    <n v="79901357185"/>
    <m/>
    <m/>
    <s v="ЦП. 1С и ИТС. Коммерция"/>
    <m/>
    <m/>
    <m/>
    <m/>
    <m/>
    <m/>
    <m/>
    <s v="Кучеровская Наталия Васильевна"/>
    <s v="[b]Чем вы занимаетесь?[/b] Дошкольное воспитание [b]Какие задачи хотите решить с помощью программы?[/b] обновлять мониторинг [b]Сколько человек будет работать в программе?[/b] 10 и более [b]Местоположение[/b]: Россия, Москва [b]Страница[/b]: [url=https://mrqz.me/64a4fe841f5b5f0025ce34e1?utm_source=yandex&amp;amp;utm_medium=cpc&amp;amp;utm_campaign=mk_1cfresh_quiz_unf_1cdlya_h_1c_17_705141204&amp;amp;utm_content=1906099911443884693&amp;amp;utm_term=---autotargeting&amp;amp;etext=2202.LvpOc6UhQ6OykUuz6eMI4XAI2NUgbL5aPbpFgIgf1gOWnt501OTiB9a5kchdF7weZ__UaVqE_L9qWdI7uhIOYWKfe0DITJZpk5Wihz-0DpV8Ap8fUc4wp7rWDDHeC9UouBvj2Qx9gJqWfjGBzrRrNGFweXJibXNmbHZnc3V5YnA.dcca6aa81a7b8f451933c0aecade25f4a2f72da5&amp;amp;yclid=16297908812115607551]https://mrqz.me/64a4fe841f5b5f0025ce34e1?utm_source=yandex&amp;amp;utm_medium=cpc&amp;amp;utm_campaign=mk_1cfresh_quiz_unf_1cdlya_h_1c_17_705141204&amp;amp;utm_content=1906099911443884693&amp;amp;utm_term=---autotargeting&amp;amp;etext=2202.LvpOc6UhQ6OykUuz6eMI4XAI2NUgbL5aPbpFgIgf1gOWnt501OTiB9a5kchdF7weZ__UaVqE_L9qWdI7uhIOYWKfe0DITJZpk5Wihz-0DpV8Ap8fUc4wp7rWDDHeC9UouBvj2Qx9gJqWfjGBzrRrNGFweXJibXNmbHZnc3V5YnA.dcca6aa81a7b8f451933c0aecade25f4a2f72da5&amp;amp;yclid=16297908812115607551[/url] [b]Согласия[/b]: Я согласен на обработку персональных данных: Да"/>
    <m/>
    <m/>
    <n v="2"/>
    <m/>
    <m/>
    <m/>
    <s v="ЦП. 1С. Коммерция"/>
    <m/>
    <m/>
    <m/>
    <m/>
    <m/>
    <m/>
    <m/>
    <m/>
    <m/>
    <m/>
    <m/>
    <m/>
    <m/>
    <m/>
    <s v="Обычный"/>
    <m/>
    <m/>
    <m/>
    <m/>
    <m/>
    <n v="265585"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d v="2026-08-26T00:00:00"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25T18:00:05"/>
    <d v="2026-08-27T17:15:55"/>
    <m/>
    <m/>
    <m/>
    <m/>
    <m/>
    <m/>
    <m/>
    <m/>
    <m/>
    <m/>
    <m/>
    <m/>
    <m/>
    <m/>
    <m/>
    <m/>
    <m/>
    <m/>
    <m/>
    <n v="398438"/>
    <m/>
    <m/>
    <s v="Кучеровская Наталия Васильевна"/>
    <m/>
    <m/>
    <m/>
    <m/>
    <s v="Клиенты"/>
    <s v="ROBOT"/>
    <s v="[b]Чем вы занимаетесь?[/b] Дошкольное воспитание [b]Какие задачи хотите решить с помощью программы?[/b] обновлять мониторинг [b]Сколько человек будет работать в программе?[/b] 10 и более [b]Местоположение[/b]: Россия, Москва [b]Страница[/b]: [url=https://mrqz.me/64a4fe841f5b5f0025ce34e1?utm_source=yandex&amp;amp;utm_medium=cpc&amp;amp;utm_campaign=mk_1cfresh_quiz_unf_1cdlya_h_1c_17_705141204&amp;amp;utm_content=1906099911443884693&amp;amp;utm_term=---autotargeting&amp;amp;etext=2202.LvpOc6UhQ6OykUuz6eMI4XAI2NUgbL5aPbpFgIgf1gOWnt501OTiB9a5kchdF7weZ__UaVqE_L9qWdI7uhIOYWKfe0DITJZpk5Wihz-0DpV8Ap8fUc4wp7rWDDHeC9UouBvj2Qx9gJqWfjGBzrRrNGFweXJibXNmbHZnc3V5YnA.dcca6aa81a7b8f451933c0aecade25f4a2f72da5&amp;amp;yclid=16297908812115607551]https://mrqz.me/64a4fe841f5b5f0025ce34e1?utm_source=yandex&amp;amp;utm_medium=cpc&amp;amp;utm_campaign=mk_1cfresh_quiz_unf_1cdlya_h_1c_17_705141204&amp;amp;utm_content=1906099911443884693&amp;amp;utm_term=---autotargeting&amp;amp;etext=2202.LvpOc6UhQ6OykUuz6eMI4XAI2NUgbL5aPbpFgIgf1gOWnt501OTiB9a5kchdF7weZ__UaVqE_L9qWdI7uhIOYWKfe0DITJZpk5Wihz-0DpV8Ap8fUc4wp7rWDDHeC9UouBvj2Qx9gJqWfjGBzrRrNGFweXJibXNmbHZnc3V5YnA.dcca6aa81a7b8f451933c0aecade25f4a2f72da5&amp;amp;yclid=16297908812115607551[/url] [b]Согласия[/b]: Я согласен на обработку персональных данных: Да"/>
    <s v="Квиз"/>
    <s v="marquiz.ru ЦП.Фреш: Демонстрация УНФ"/>
    <s v="Да"/>
    <s v="Федорова Анастасия"/>
    <d v="2026-08-25T11:29:57"/>
    <s v="ROBOT"/>
    <d v="2026-08-25T11:29:57"/>
    <m/>
    <m/>
    <n v="79901357185"/>
    <m/>
    <m/>
    <m/>
    <m/>
    <m/>
    <m/>
    <m/>
    <m/>
    <m/>
    <m/>
    <m/>
    <m/>
    <m/>
    <s v="nata.kucherovskaya.70@mail.ru"/>
    <m/>
    <m/>
    <m/>
    <m/>
    <m/>
    <m/>
    <m/>
    <m/>
    <m/>
    <m/>
    <m/>
    <m/>
    <m/>
    <m/>
    <m/>
    <d v="2026-08-25T00:00:00"/>
    <s v="Да"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9588"/>
    <s v="ЦП. 1С. Продажи"/>
    <s v="Y"/>
    <s v="N"/>
    <x v="1"/>
    <m/>
    <m/>
    <m/>
    <m/>
    <m/>
    <s v="Федорова Анастасия"/>
    <m/>
    <s v="ЧОУ &quot;ТОЧКА БУДУЩЕГО&quot; 3808268822# 1С КП и Сервисы"/>
    <s v="Продажа"/>
    <s v="Звонок"/>
    <m/>
    <s v="0.00"/>
    <s v="Российский рубль"/>
    <s v="ЧОУ &quot;ТОЧКА БУДУЩЕГО&quot; 3808268822#"/>
    <s v="Ларин Сергей"/>
    <m/>
    <s v="нет"/>
    <d v="2026-08-25T11:20:55"/>
    <s v="Федорова Анастасия"/>
    <d v="2026-09-01T12:01:52"/>
    <s v="ROBOT"/>
    <d v="2026-08-25T00:00:00"/>
    <d v="2026-09-01T00:00:00"/>
    <m/>
    <m/>
    <m/>
    <m/>
    <m/>
    <m/>
    <m/>
    <m/>
    <n v="5"/>
    <d v="2026-09-01T11:58:58"/>
    <m/>
    <m/>
    <m/>
    <m/>
    <m/>
    <m/>
    <m/>
    <s v="Нет"/>
    <n v="1"/>
    <m/>
    <m/>
    <m/>
    <s v="Иркутск г"/>
    <s v="ЦП. 1С и ИТС. Коммерция"/>
    <m/>
    <m/>
    <m/>
    <m/>
    <m/>
    <m/>
    <n v="0"/>
    <m/>
    <m/>
    <m/>
    <m/>
    <n v="8"/>
    <m/>
    <m/>
    <m/>
    <s v="ЦП. 1С. Коммерция"/>
    <m/>
    <m/>
    <m/>
    <m/>
    <m/>
    <m/>
    <m/>
    <m/>
    <m/>
    <m/>
    <m/>
    <s v="Некоммерческие"/>
    <m/>
    <m/>
    <s v="Обычный"/>
    <m/>
    <m/>
    <m/>
    <m/>
    <m/>
    <m/>
    <m/>
    <m/>
    <m/>
    <m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Другие сервисы"/>
    <s v="Отправить счет/договор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ЧУ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Отправить счет"/>
    <m/>
    <m/>
    <m/>
    <m/>
    <m/>
    <d v="2026-09-01T11:58:58"/>
    <d v="2026-09-01T11:57:54"/>
    <m/>
    <m/>
    <m/>
    <m/>
    <m/>
    <m/>
    <m/>
    <m/>
    <m/>
    <m/>
    <m/>
    <m/>
    <m/>
    <m/>
    <m/>
    <m/>
    <m/>
    <m/>
    <m/>
    <n v="317960"/>
    <m/>
    <m/>
    <s v="Сергей"/>
    <s v="Ларин"/>
    <m/>
    <m/>
    <m/>
    <s v="Клиенты"/>
    <s v="ROBOT"/>
    <s v="."/>
    <s v="Звонок"/>
    <s v="Звонок поступил на номер: ЦП СЭД Клиенты 78-23-02 (10)."/>
    <s v="Да"/>
    <s v="Савинская Евгения"/>
    <d v="2023-11-01T17:07:33"/>
    <s v="ROBOT"/>
    <d v="2026-09-02T13:17:42"/>
    <m/>
    <m/>
    <n v="158395273667"/>
    <m/>
    <m/>
    <m/>
    <m/>
    <m/>
    <m/>
    <m/>
    <m/>
    <m/>
    <m/>
    <m/>
    <m/>
    <s v="admin@oktb.ru, info@oktb.ru, sergej.larin@oktb.ru"/>
    <m/>
    <m/>
    <m/>
    <m/>
    <m/>
    <m/>
    <m/>
    <m/>
    <m/>
    <m/>
    <m/>
    <m/>
    <m/>
    <m/>
    <m/>
    <s v="Иркутск г"/>
    <d v="2023-11-01T00:00:00"/>
    <s v="Да"/>
    <m/>
    <s v="Иркутская область 0 часов"/>
    <m/>
    <m/>
    <s v="Нет"/>
    <s v="f35316fc-67dd-4fde-8e98-3f1b8362ffc2"/>
    <n v="105269"/>
    <m/>
    <s v="ЧОУ &quot;ТОЧКА БУДУЩЕГО&quot; 3808268822#"/>
    <s v="Клиент"/>
    <m/>
    <s v="ROBOT"/>
    <m/>
    <m/>
    <m/>
    <s v="Российский рубль"/>
    <s v="О КОМПАНИИ Вид деятельности: образование. Кол-во сотрудников: 350. СНО: ОСНО. Как себя чувствует организация сейчас? Стабильно работает. Какие есть проблемы? Проблем нет. Что предпринимает организация? . Какие есть 1С: 1С:ЗУП 8, ред. 3, 1с Бухгалтерия нко. Есть ли ИТС? Да. Используете ли КЭДО? Не пл."/>
    <s v="ROBOT_M"/>
    <d v="2021-07-06T16:04:55"/>
    <s v="ROBOT_M"/>
    <d v="2026-09-02T13:17:42"/>
    <m/>
    <n v="73952434370"/>
    <n v="237257229806"/>
    <m/>
    <m/>
    <m/>
    <m/>
    <m/>
    <m/>
    <m/>
    <m/>
    <m/>
    <m/>
    <m/>
    <m/>
    <s v="admin@oktb.ru, tatyana.nikitenko@oktb.ru"/>
    <m/>
    <s v="nikita2009.71@mail.ru"/>
    <m/>
    <m/>
    <m/>
    <m/>
    <m/>
    <m/>
    <m/>
    <m/>
    <m/>
    <m/>
    <m/>
    <m/>
    <m/>
    <m/>
    <n v="0"/>
    <s v="nikita2009.71@mail.ru"/>
    <d v="2019-06-04T00:00:00"/>
    <m/>
    <s v="85.14 Образование среднее общее"/>
    <m/>
    <s v="Нет"/>
    <d v="2019-09-30T00:00:00"/>
    <d v="2025-07-25T00:00:00"/>
    <s v="ТОЧКА БУДУЩЕГО ЧОУ"/>
    <s v="Иркутск г"/>
    <n v="3808268822"/>
    <m/>
    <m/>
    <m/>
    <m/>
    <s v="nikita2009.71@mail.ru"/>
    <m/>
    <m/>
    <m/>
    <m/>
    <s v="Некоммерческие"/>
    <s v="ЧУ"/>
    <n v="81914"/>
    <s v="Иркутская область 0 часов"/>
    <m/>
    <m/>
    <m/>
    <m/>
    <s v="[C]Никитенко Татьяна Геннадьевна"/>
    <m/>
    <m/>
    <m/>
    <s v="Нет"/>
    <s v="Образование"/>
    <m/>
    <m/>
    <m/>
    <s v="a888207d-c752-434c-995a-8ae412c69e85"/>
  </r>
  <r>
    <n v="319585"/>
    <s v="ЦП. 1С. Продажи"/>
    <s v="N"/>
    <s v="Y"/>
    <x v="0"/>
    <m/>
    <m/>
    <m/>
    <m/>
    <m/>
    <s v="Соболев Максим"/>
    <s v="ONE_C"/>
    <s v="ИП Наумов Герман Германович 380201543550# - 1С Программы и лицензии"/>
    <s v="Продажа"/>
    <s v="Звонок"/>
    <s v="Звонок поступил на номер: ЦП 78-00-00 (62)."/>
    <n v="37600"/>
    <s v="Российский рубль"/>
    <s v="ИП Наумов Герман Германович 380201543550#"/>
    <s v="Наумов Герман Германович"/>
    <m/>
    <s v="нет"/>
    <d v="2026-08-25T11:08:50"/>
    <s v="Соболев Максим"/>
    <d v="2026-08-31T09:45:41"/>
    <s v="ROBOT_M"/>
    <d v="2026-08-25T00:00:00"/>
    <d v="2026-09-01T00:00:00"/>
    <s v="1С:Предприятие 8 ПРОФ. Клиентская лицензия на 1 рабочее место. Электронная поставка"/>
    <n v="9400"/>
    <n v="4"/>
    <m/>
    <m/>
    <m/>
    <m/>
    <m/>
    <n v="5"/>
    <d v="2026-08-27T17:04:04"/>
    <m/>
    <m/>
    <m/>
    <m/>
    <m/>
    <m/>
    <s v="Договор-оферта"/>
    <s v="Нет"/>
    <n v="1"/>
    <m/>
    <n v="79041331315"/>
    <m/>
    <s v="г Бодайбо"/>
    <s v="ЦП. 1С и ИТС. Коммерция"/>
    <m/>
    <m/>
    <m/>
    <m/>
    <m/>
    <m/>
    <n v="0"/>
    <m/>
    <m/>
    <m/>
    <m/>
    <n v="33"/>
    <s v="/upload/crm/a8a/tgl9r04u3u1527awds5cmzx4ld4qzzst/Договор-оферта.txt"/>
    <s v="ФРДТ-018824"/>
    <m/>
    <s v="ЦП. 1С. Коммерция"/>
    <m/>
    <m/>
    <m/>
    <m/>
    <d v="2026-08-25T00:00:00"/>
    <m/>
    <m/>
    <s v="[CO]ООО НПФ &quot;ФОРУС&quot; 3812023430#"/>
    <s v="Сублицензионный"/>
    <m/>
    <m/>
    <s v="Коммерческие"/>
    <m/>
    <m/>
    <s v="Обычный"/>
    <m/>
    <m/>
    <s v="#Загружено из Битрикс-Коробка#"/>
    <d v="2026-08-28T00:00:00"/>
    <m/>
    <n v="266604"/>
    <s v="1С КлЛиц ПРОФ;1С 8 Розница"/>
    <m/>
    <m/>
    <m/>
    <m/>
    <n v="60600"/>
    <d v="2026-08-27T00:00:00"/>
    <s v="Не было отгрузок"/>
    <m/>
    <m/>
    <m/>
    <m/>
    <s v="Нет"/>
    <m/>
    <m/>
    <m/>
    <m/>
    <m/>
    <m/>
    <m/>
    <m/>
    <m/>
    <m/>
    <s v="1С Программы и лицензии"/>
    <s v="1С: Розница, 1С Лицензии"/>
    <s v="Эл. Поставка"/>
    <s v="Не нужно"/>
    <m/>
    <m/>
    <m/>
    <s v="Контроль сделк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n v="60600"/>
    <d v="2026-08-27T00:00:00"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сделки"/>
    <m/>
    <m/>
    <m/>
    <m/>
    <m/>
    <d v="2026-08-31T09:45:41"/>
    <d v="2026-08-27T17:54:01"/>
    <s v="Завершен"/>
    <m/>
    <m/>
    <m/>
    <s v="Завершен"/>
    <m/>
    <m/>
    <m/>
    <m/>
    <m/>
    <m/>
    <m/>
    <m/>
    <m/>
    <m/>
    <m/>
    <m/>
    <m/>
    <m/>
    <n v="364626"/>
    <m/>
    <m/>
    <s v="Герман"/>
    <s v="Наумов"/>
    <s v="Германович"/>
    <m/>
    <m/>
    <s v="Клиенты"/>
    <s v="ROBOT"/>
    <m/>
    <s v="Свой контакт (Менеджер)"/>
    <m/>
    <s v="Да"/>
    <s v="Коморных Оксана"/>
    <d v="2025-04-22T15:21:54"/>
    <s v="ROBOT_UT"/>
    <d v="2026-08-28T06:44:23"/>
    <m/>
    <m/>
    <n v="79041331315"/>
    <m/>
    <m/>
    <m/>
    <m/>
    <m/>
    <m/>
    <m/>
    <m/>
    <m/>
    <m/>
    <m/>
    <m/>
    <s v="naumovg3@gmail.com"/>
    <m/>
    <m/>
    <m/>
    <m/>
    <m/>
    <m/>
    <m/>
    <m/>
    <m/>
    <m/>
    <m/>
    <m/>
    <m/>
    <m/>
    <m/>
    <s v="Бодайбо г"/>
    <d v="2025-04-22T00:00:00"/>
    <s v="Да"/>
    <m/>
    <s v="Иркутская область 0 часов"/>
    <m/>
    <m/>
    <s v="Нет"/>
    <s v="e482bee0-0af8-4c32-87cf-55d36df42cad"/>
    <n v="237774"/>
    <m/>
    <s v="ИП Наумов Герман Германович 380201543550#"/>
    <s v="Клиент"/>
    <m/>
    <s v="ROBOT"/>
    <m/>
    <m/>
    <m/>
    <s v="Российский рубль"/>
    <m/>
    <s v="Коморных Оксана"/>
    <d v="2025-04-22T15:21:54"/>
    <s v="ROBOT_UT"/>
    <d v="2026-08-31T09:08:09"/>
    <m/>
    <m/>
    <n v="79041331315"/>
    <m/>
    <m/>
    <m/>
    <m/>
    <m/>
    <m/>
    <m/>
    <m/>
    <m/>
    <m/>
    <m/>
    <m/>
    <s v="naumovg3@gmail.com"/>
    <m/>
    <m/>
    <m/>
    <m/>
    <m/>
    <m/>
    <m/>
    <m/>
    <m/>
    <m/>
    <m/>
    <m/>
    <m/>
    <m/>
    <m/>
    <m/>
    <n v="0"/>
    <s v="naumovg3@gmail.com"/>
    <m/>
    <m/>
    <s v="56.10.1 Деятельность ресторанов и кафе с полным ресторанным обслуживанием, кафетериев, ресторанов быстрого питания и самообслуживания"/>
    <m/>
    <s v="Нет"/>
    <m/>
    <m/>
    <s v="ИП Наумов Герман Германович"/>
    <s v="Бодайбо г"/>
    <n v="380201543550"/>
    <m/>
    <m/>
    <m/>
    <m/>
    <s v="naumovg3@gmail.com"/>
    <m/>
    <m/>
    <s v="Свой контакт (Менеджер)"/>
    <m/>
    <s v="Коммерческие"/>
    <s v="ИП"/>
    <n v="113748"/>
    <s v="Иркутская область 0 часов"/>
    <m/>
    <m/>
    <m/>
    <s v="Нет"/>
    <m/>
    <m/>
    <m/>
    <m/>
    <s v="Нет"/>
    <s v="Услуги. Рестораны и общепит"/>
    <m/>
    <m/>
    <m/>
    <s v="611818b2-abc8-434a-bf9d-8a500cb0481b"/>
  </r>
  <r>
    <n v="319585"/>
    <s v="ЦП. 1С. Продажи"/>
    <s v="N"/>
    <s v="Y"/>
    <x v="0"/>
    <m/>
    <m/>
    <m/>
    <m/>
    <m/>
    <s v="Соболев Максим"/>
    <s v="ONE_C"/>
    <s v="ИП Наумов Герман Германович 380201543550# - 1С Программы и лицензии"/>
    <s v="Продажа"/>
    <s v="Звонок"/>
    <s v="Звонок поступил на номер: ЦП 78-00-00 (62)."/>
    <n v="23000"/>
    <s v="Российский рубль"/>
    <s v="ИП Наумов Герман Германович 380201543550#"/>
    <s v="Наумов Герман Германович"/>
    <m/>
    <s v="нет"/>
    <d v="2026-08-25T11:08:50"/>
    <s v="Соболев Максим"/>
    <d v="2026-08-31T09:45:41"/>
    <s v="ROBOT_M"/>
    <d v="2026-08-25T00:00:00"/>
    <d v="2026-09-01T00:00:00"/>
    <s v="1С:Розница 8 ПРОФ. Электронная поставка (&lt;&gt;)"/>
    <n v="23000"/>
    <n v="1"/>
    <m/>
    <m/>
    <m/>
    <m/>
    <m/>
    <n v="5"/>
    <d v="2026-08-27T17:04:04"/>
    <m/>
    <m/>
    <m/>
    <m/>
    <m/>
    <m/>
    <s v="Договор-оферта"/>
    <s v="Нет"/>
    <n v="1"/>
    <m/>
    <n v="79041331315"/>
    <m/>
    <s v="г Бодайбо"/>
    <s v="ЦП. 1С и ИТС. Коммерция"/>
    <m/>
    <m/>
    <m/>
    <m/>
    <m/>
    <m/>
    <n v="0"/>
    <m/>
    <m/>
    <m/>
    <m/>
    <n v="33"/>
    <s v="/upload/crm/a8a/tgl9r04u3u1527awds5cmzx4ld4qzzst/Договор-оферта.txt"/>
    <s v="ФРДТ-018824"/>
    <m/>
    <s v="ЦП. 1С. Коммерция"/>
    <m/>
    <m/>
    <m/>
    <m/>
    <d v="2026-08-25T00:00:00"/>
    <m/>
    <m/>
    <s v="[CO]ООО НПФ &quot;ФОРУС&quot; 3812023430#"/>
    <s v="Сублицензионный"/>
    <m/>
    <m/>
    <s v="Коммерческие"/>
    <m/>
    <m/>
    <s v="Обычный"/>
    <m/>
    <m/>
    <s v="#Загружено из Битрикс-Коробка#"/>
    <d v="2026-08-28T00:00:00"/>
    <m/>
    <n v="266604"/>
    <s v="1С КлЛиц ПРОФ;1С 8 Розница"/>
    <m/>
    <m/>
    <m/>
    <m/>
    <n v="60600"/>
    <d v="2026-08-27T00:00:00"/>
    <s v="Не было отгрузок"/>
    <m/>
    <m/>
    <m/>
    <m/>
    <s v="Нет"/>
    <m/>
    <m/>
    <m/>
    <m/>
    <m/>
    <m/>
    <m/>
    <m/>
    <m/>
    <m/>
    <s v="1С Программы и лицензии"/>
    <s v="1С: Розница, 1С Лицензии"/>
    <s v="Эл. Поставка"/>
    <s v="Не нужно"/>
    <m/>
    <m/>
    <m/>
    <s v="Контроль сделк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n v="60600"/>
    <d v="2026-08-27T00:00:00"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сделки"/>
    <m/>
    <m/>
    <m/>
    <m/>
    <m/>
    <d v="2026-08-31T09:45:41"/>
    <d v="2026-08-27T17:54:01"/>
    <s v="Завершен"/>
    <m/>
    <m/>
    <m/>
    <s v="Завершен"/>
    <m/>
    <m/>
    <m/>
    <m/>
    <m/>
    <m/>
    <m/>
    <m/>
    <m/>
    <m/>
    <m/>
    <m/>
    <m/>
    <m/>
    <n v="364626"/>
    <m/>
    <m/>
    <s v="Герман"/>
    <s v="Наумов"/>
    <s v="Германович"/>
    <m/>
    <m/>
    <s v="Клиенты"/>
    <s v="ROBOT"/>
    <m/>
    <s v="Свой контакт (Менеджер)"/>
    <m/>
    <s v="Да"/>
    <s v="Коморных Оксана"/>
    <d v="2025-04-22T15:21:54"/>
    <s v="ROBOT_UT"/>
    <d v="2026-08-28T06:44:23"/>
    <m/>
    <m/>
    <n v="79041331315"/>
    <m/>
    <m/>
    <m/>
    <m/>
    <m/>
    <m/>
    <m/>
    <m/>
    <m/>
    <m/>
    <m/>
    <m/>
    <s v="naumovg3@gmail.com"/>
    <m/>
    <m/>
    <m/>
    <m/>
    <m/>
    <m/>
    <m/>
    <m/>
    <m/>
    <m/>
    <m/>
    <m/>
    <m/>
    <m/>
    <m/>
    <s v="Бодайбо г"/>
    <d v="2025-04-22T00:00:00"/>
    <s v="Да"/>
    <m/>
    <s v="Иркутская область 0 часов"/>
    <m/>
    <m/>
    <s v="Нет"/>
    <s v="e482bee0-0af8-4c32-87cf-55d36df42cad"/>
    <n v="237774"/>
    <m/>
    <s v="ИП Наумов Герман Германович 380201543550#"/>
    <s v="Клиент"/>
    <m/>
    <s v="ROBOT"/>
    <m/>
    <m/>
    <m/>
    <s v="Российский рубль"/>
    <m/>
    <s v="Коморных Оксана"/>
    <d v="2025-04-22T15:21:54"/>
    <s v="ROBOT_UT"/>
    <d v="2026-08-31T09:08:09"/>
    <m/>
    <m/>
    <n v="79041331315"/>
    <m/>
    <m/>
    <m/>
    <m/>
    <m/>
    <m/>
    <m/>
    <m/>
    <m/>
    <m/>
    <m/>
    <m/>
    <s v="naumovg3@gmail.com"/>
    <m/>
    <m/>
    <m/>
    <m/>
    <m/>
    <m/>
    <m/>
    <m/>
    <m/>
    <m/>
    <m/>
    <m/>
    <m/>
    <m/>
    <m/>
    <m/>
    <n v="0"/>
    <s v="naumovg3@gmail.com"/>
    <m/>
    <m/>
    <s v="56.10.1 Деятельность ресторанов и кафе с полным ресторанным обслуживанием, кафетериев, ресторанов быстрого питания и самообслуживания"/>
    <m/>
    <s v="Нет"/>
    <m/>
    <m/>
    <s v="ИП Наумов Герман Германович"/>
    <s v="Бодайбо г"/>
    <n v="380201543550"/>
    <m/>
    <m/>
    <m/>
    <m/>
    <s v="naumovg3@gmail.com"/>
    <m/>
    <m/>
    <s v="Свой контакт (Менеджер)"/>
    <m/>
    <s v="Коммерческие"/>
    <s v="ИП"/>
    <n v="113748"/>
    <s v="Иркутская область 0 часов"/>
    <m/>
    <m/>
    <m/>
    <s v="Нет"/>
    <m/>
    <m/>
    <m/>
    <m/>
    <s v="Нет"/>
    <s v="Услуги. Рестораны и общепит"/>
    <m/>
    <m/>
    <m/>
    <s v="611818b2-abc8-434a-bf9d-8a500cb0481b"/>
  </r>
  <r>
    <n v="319578"/>
    <s v="ЦП. ФРЕШ. Продажи"/>
    <s v="N"/>
    <s v="Y"/>
    <x v="9"/>
    <m/>
    <m/>
    <m/>
    <m/>
    <m/>
    <s v="Федосеев Максим"/>
    <m/>
    <s v="ООО &quot;АВТОСПЕЦСЕРВИС&quot; 3810058685# - ФРЕШ. Базовый"/>
    <s v="Продажа"/>
    <s v="Звонок"/>
    <s v="Звонок поступил на номер: ЦП 78-00-00 (62)."/>
    <s v="0.00"/>
    <s v="Российский рубль"/>
    <s v="ООО &quot;АВТОСПЕЦСЕРВИС&quot; 3810058685#"/>
    <s v="Борщ Александр Анатольевич"/>
    <m/>
    <s v="нет"/>
    <d v="2026-08-25T10:50:07"/>
    <s v="Федосеев Максим"/>
    <d v="2026-08-28T10:59:55"/>
    <s v="Федосеев Максим"/>
    <d v="2026-08-25T00:00:00"/>
    <d v="2026-09-01T00:00:00"/>
    <m/>
    <m/>
    <m/>
    <m/>
    <m/>
    <m/>
    <m/>
    <m/>
    <n v="14748"/>
    <d v="2026-08-25T11:05:27"/>
    <m/>
    <m/>
    <m/>
    <m/>
    <m/>
    <m/>
    <m/>
    <s v="Нет"/>
    <n v="1"/>
    <s v="avtos-15@mail.ru"/>
    <n v="79025112695"/>
    <m/>
    <s v="ИРКУТСК"/>
    <s v="ЦП. 1С и ИТС. Коммерция"/>
    <d v="2026-09-24T00:00:00"/>
    <m/>
    <m/>
    <m/>
    <d v="2026-09-24T00:00:00"/>
    <m/>
    <n v="0"/>
    <s v="Елена"/>
    <m/>
    <m/>
    <m/>
    <n v="3"/>
    <m/>
    <m/>
    <m/>
    <s v="ЦП. 1С. Коммерция"/>
    <m/>
    <m/>
    <m/>
    <m/>
    <m/>
    <m/>
    <m/>
    <m/>
    <m/>
    <m/>
    <m/>
    <s v="Коммерческие"/>
    <m/>
    <m/>
    <s v="Обычный"/>
    <m/>
    <m/>
    <m/>
    <m/>
    <m/>
    <n v="266590"/>
    <m/>
    <m/>
    <m/>
    <m/>
    <m/>
    <m/>
    <m/>
    <s v="Не было отгрузок"/>
    <m/>
    <m/>
    <m/>
    <m/>
    <s v="Нет"/>
    <m/>
    <m/>
    <m/>
    <s v="ФРЕШ. Базовый"/>
    <s v="1С:Бух +ЭТК"/>
    <s v="-"/>
    <s v="Основная"/>
    <m/>
    <m/>
    <s v="Отправить счет / договор"/>
    <s v="ФРЕШ и ГРМ"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28T11:00:00"/>
    <d v="2026-08-28T11:56:01"/>
    <m/>
    <m/>
    <m/>
    <m/>
    <m/>
    <m/>
    <m/>
    <m/>
    <m/>
    <m/>
    <m/>
    <m/>
    <m/>
    <m/>
    <m/>
    <m/>
    <m/>
    <m/>
    <m/>
    <n v="284564"/>
    <m/>
    <m/>
    <s v="Александр"/>
    <s v="Борщ"/>
    <s v="Анатольевич"/>
    <m/>
    <m/>
    <m/>
    <s v="ROBOT_M"/>
    <s v="#Загружен из ЕГРЮЛ# [Автор=RobotBitrix][Редактор=БитриксКоробка]"/>
    <m/>
    <m/>
    <s v="Да"/>
    <s v="ROBOT_M"/>
    <d v="2022-03-03T13:48:37"/>
    <s v="ROBOT"/>
    <d v="2026-08-27T13:08: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Иркутск г"/>
    <d v="2022-03-03T00:00:00"/>
    <s v="Да"/>
    <m/>
    <s v="Иркутская область 0 часов"/>
    <m/>
    <m/>
    <s v="Нет"/>
    <s v="465e22a6-9309-489d-823a-1e40dd3c344d"/>
    <n v="196471"/>
    <m/>
    <s v="ООО &quot;АВТОСПЕЦСЕРВИС&quot; 3810058685#"/>
    <s v="Клиент"/>
    <m/>
    <s v="ROBOT"/>
    <m/>
    <m/>
    <m/>
    <s v="Российский рубль"/>
    <m/>
    <s v="ROBOT_M"/>
    <d v="2022-03-03T13:48:06"/>
    <s v="ROBOT_M"/>
    <d v="2026-08-27T13:08:31"/>
    <m/>
    <m/>
    <n v="79025112695"/>
    <m/>
    <m/>
    <m/>
    <m/>
    <m/>
    <m/>
    <m/>
    <m/>
    <m/>
    <m/>
    <m/>
    <m/>
    <s v="avtos-15@mail.ru"/>
    <m/>
    <m/>
    <m/>
    <m/>
    <m/>
    <m/>
    <m/>
    <m/>
    <m/>
    <m/>
    <m/>
    <m/>
    <m/>
    <m/>
    <m/>
    <m/>
    <n v="0"/>
    <s v="avtos-15@mail.ru"/>
    <d v="2015-06-18T00:00:00"/>
    <m/>
    <s v="52.29 Деятельность вспомогательная прочая, связанная с перевозками"/>
    <m/>
    <s v="Нет"/>
    <m/>
    <m/>
    <s v="АВТОСПЕЦСЕРВИС ООО"/>
    <s v="ИРКУТСК"/>
    <n v="3810058685"/>
    <m/>
    <m/>
    <m/>
    <m/>
    <s v="avtos-15@mail.ru"/>
    <m/>
    <m/>
    <s v="Свой контакт (Менеджер)"/>
    <m/>
    <s v="Коммерческие"/>
    <s v="ООО"/>
    <n v="129043"/>
    <s v="Иркутская область 0 часов"/>
    <m/>
    <m/>
    <m/>
    <m/>
    <m/>
    <m/>
    <m/>
    <m/>
    <s v="Нет"/>
    <s v="Услуги. Перевозки, логистика, склад"/>
    <m/>
    <m/>
    <m/>
    <s v="419e71e1-a9ff-4049-9067-dfc2c23be384"/>
  </r>
  <r>
    <n v="319554"/>
    <s v="ЦП. 1С. Продажи"/>
    <s v="Y"/>
    <s v="N"/>
    <x v="0"/>
    <m/>
    <m/>
    <m/>
    <m/>
    <m/>
    <s v="Соболев Максим"/>
    <s v="ONE_C"/>
    <s v="КЛ РО ВДПО 3828005807# - 1С-ЭПД"/>
    <s v="Продажа"/>
    <s v="1С Сайт its.1c.ru"/>
    <m/>
    <n v="1400"/>
    <s v="Российский рубль"/>
    <s v="КЛ РО ВДПО 3828005807#"/>
    <s v="Подмосковная Елена Викторовна"/>
    <m/>
    <s v="нет"/>
    <d v="2026-08-25T09:39:47"/>
    <s v="Соболев Максим"/>
    <d v="2026-09-02T17:25:17"/>
    <s v="ROBOT"/>
    <d v="2026-08-25T00:00:00"/>
    <d v="2026-09-01T00:00:00"/>
    <s v="1С-ЭДО. ЭПД-200 на 12 месяцев"/>
    <n v="1400"/>
    <n v="1"/>
    <s v="Заказ на сайте its.1c.ru ORD260825-1787621006 a:hover, a:active {color:#16489b;text-decoration:underline} #mail-message-wrapper a:hover, #mail-message-wrapper a:active {color:#16489b;text-decoration:underline} [b]Новый заказ на сайте its.1c.ru[/b] [p]Уважаемый партнер![/p] [p]Вы получили новый заказ на сайте its.1c.ru:[/p] Номер заказа: ORD260825-1787621006 Источник: its.1c.ru, ЭПД Время отправки: 2026-08-25 09:23:26 Контактное лицо: Подмосковная Елена Викторовна Телефон: &amp;#43;79501085635 E-mail: [url=mailto:KLROVDPO38@yandex.ru]KLROVDPO38@yandex.ru[/url] ИНН/ЕДРПОУ: Регион (город): Иркутская область, Усть-Кут Комментарий: Заказ сервиса 1С-ЭПД [p]Внимательно ознакомьтесь с правилами обработки заказа в [url=https://its.1c.ru/db/partnerits#content:1636:hdoc]справочнике партнера[/url].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 [*]В течение 1 рабочего часа с момента получения заказа свяжитесь с клиентом, уточните заказ и поставьте отметку о том, что вы приняли заказ в работу. 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Вопросы по обработке заказа присылайте на электронную почту [url=mailto:web-its@1c.ru]web-its@1c.ru[/url].[/p] [p]С уважением, администрация сайта [url=https://its.1c.ru/]its.1c.ru[/url].[p] [/p][/p]"/>
    <m/>
    <m/>
    <m/>
    <m/>
    <n v="5"/>
    <d v="2026-08-31T09:08:58"/>
    <m/>
    <m/>
    <m/>
    <m/>
    <m/>
    <m/>
    <s v="Договор-оферта"/>
    <s v="Нет"/>
    <n v="1"/>
    <m/>
    <m/>
    <m/>
    <s v=", Магистральный рп"/>
    <s v="ЦП. 1С и ИТС. Коммерция"/>
    <m/>
    <m/>
    <m/>
    <d v="2026-09-02T00:00:00"/>
    <d v="2027-09-01T00:00:00"/>
    <m/>
    <n v="0"/>
    <m/>
    <s v="Заказ на сайте its.1c.ru ORD260825-1787621006 a:hover, a:active {color:#16489b;text-decoration:underline} #mail-message-wrapper a:hover, #mail-message-wrapper a:active {color:#16489b;text-decoration:underline} [b]Новый заказ на сайте its.1c.ru[/b] [p]Уважаемый партнер![/p] [p]Вы получили новый заказ на сайте its.1c.ru:[/p] Номер заказа: ORD260825-1787621006 Источник: its.1c.ru, ЭПД Время отправки: 2026-08-25 09:23:26 Контактное лицо: Подмосковная Елена Викторовна Телефон: &amp;amp;#43;79501085635 E-mail: [url=mailto:KLROVDPO38@yandex.ru]KLROVDPO38@yandex.ru[/url] ИНН/ЕДРПОУ: Регион (город): Иркутская область, Усть-Кут Комментарий: Заказ сервиса 1С-ЭПД [p]Внимательно ознакомьтесь с правилами обработки заказа в [url=https://its.1c.ru/db/partnerits#content:1636:hdoc]справочнике партнера[/url].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 [*]В течение 1 рабочего часа с момента получения заказа свяжитесь с клиентом, уточните заказ и поставьте отметку о том, что вы приняли заказ в работу. 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Вопросы по обработке заказа присылайте на электронную почту [url=mailto:web-its@1c.ru]web-its@1c.ru[/url].[/p] [p]С уважением, администрация сайта [url=https://its.1c.ru/]its.1c.ru[/url].[p] [/p][/p]"/>
    <m/>
    <m/>
    <n v="2"/>
    <s v="/upload/crm/26a/7bq5utd8aydo6j93am2hbzs7majig4rz/Договор-оферта.txt"/>
    <s v="ФРДТ-018808"/>
    <m/>
    <s v="ЦП. 1С. Коммерция"/>
    <m/>
    <m/>
    <m/>
    <m/>
    <d v="2026-08-25T00:00:00"/>
    <m/>
    <m/>
    <s v="[CO]ООО НПФ &quot;ФОРУС&quot; 3812023430#"/>
    <s v="Сервисы"/>
    <m/>
    <m/>
    <s v="Некоммерческие"/>
    <m/>
    <m/>
    <s v="Обычный"/>
    <m/>
    <s v="Да"/>
    <s v="#Загружено из Битрикс-Коробка#"/>
    <d v="2026-08-28T00:00:00"/>
    <m/>
    <n v="266567"/>
    <s v="1С-ЭДО ЭПД"/>
    <m/>
    <m/>
    <n v="12"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-ЭПД"/>
    <s v="Контроль сделк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m/>
    <m/>
    <s v="Не было отгрузок"/>
    <m/>
    <s v="К оформлению"/>
    <m/>
    <m/>
    <m/>
    <s v="Не запущен"/>
    <m/>
    <m/>
    <m/>
    <m/>
    <m/>
    <m/>
    <m/>
    <s v="Нет"/>
    <s v="БП не запускался. Нет сделки продлений"/>
    <m/>
    <m/>
    <m/>
    <s v="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сделки"/>
    <m/>
    <m/>
    <m/>
    <m/>
    <m/>
    <d v="2026-09-02T17:16:42"/>
    <d v="2026-08-28T09:42:31"/>
    <m/>
    <m/>
    <m/>
    <m/>
    <s v="Выполняется"/>
    <m/>
    <m/>
    <m/>
    <m/>
    <m/>
    <m/>
    <m/>
    <m/>
    <m/>
    <m/>
    <m/>
    <m/>
    <m/>
    <m/>
    <n v="261786"/>
    <m/>
    <m/>
    <s v="Елена"/>
    <s v="Подмосковная"/>
    <s v="Викторовна"/>
    <d v="2001-01-01T00:00:00"/>
    <m/>
    <m/>
    <s v="ROBOT"/>
    <s v="[Автор=Кордуб Екатерина]"/>
    <s v="1С Сайт its.1c.ru"/>
    <m/>
    <s v="Да"/>
    <s v="ROBOT_M"/>
    <d v="2021-11-23T11:56:15"/>
    <s v="ROBOT"/>
    <d v="2026-09-01T14:47:29"/>
    <m/>
    <m/>
    <n v="79501085635"/>
    <m/>
    <m/>
    <m/>
    <m/>
    <m/>
    <m/>
    <m/>
    <m/>
    <m/>
    <m/>
    <m/>
    <m/>
    <s v="klrovdpo38@yandex.ru"/>
    <m/>
    <m/>
    <m/>
    <m/>
    <m/>
    <m/>
    <m/>
    <m/>
    <m/>
    <m/>
    <m/>
    <m/>
    <m/>
    <m/>
    <m/>
    <s v="нас. пункт Магистральный рп"/>
    <d v="2021-11-23T00:00:00"/>
    <s v="Да"/>
    <m/>
    <s v="Иркутская область 0 часов"/>
    <m/>
    <m/>
    <s v="Нет"/>
    <s v="3f7b634c-9829-412f-9414-d80d60934150"/>
    <n v="113624"/>
    <m/>
    <s v="КЛ РО ВДПО 3828005807#"/>
    <s v="Клиент"/>
    <m/>
    <s v="ROBOT"/>
    <m/>
    <m/>
    <m/>
    <s v="Российский рубль"/>
    <m/>
    <s v="ROBOT_M"/>
    <d v="2021-07-07T01:38:44"/>
    <s v="ROBOT_UT"/>
    <d v="2026-09-02T17:25:17"/>
    <m/>
    <m/>
    <n v="79086622027"/>
    <m/>
    <m/>
    <m/>
    <m/>
    <m/>
    <m/>
    <m/>
    <m/>
    <m/>
    <m/>
    <m/>
    <m/>
    <s v="klrovdpo38@yandex.ru"/>
    <m/>
    <s v="klrovdpo38@yandex.ru"/>
    <m/>
    <m/>
    <m/>
    <m/>
    <m/>
    <m/>
    <m/>
    <m/>
    <m/>
    <m/>
    <m/>
    <m/>
    <m/>
    <m/>
    <n v="0"/>
    <s v="klrovdpo38@yandex.ru"/>
    <d v="2000-06-25T00:00:00"/>
    <m/>
    <s v="94.99 Деятельность прочих общественных организаций и некоммерческих организаций, кроме религиозных и политических организаций"/>
    <m/>
    <s v="Нет"/>
    <d v="2011-07-07T00:00:00"/>
    <d v="2025-04-14T00:00:00"/>
    <s v="КЛ РО ВДПО"/>
    <s v=", Магистральный рп"/>
    <n v="3828005807"/>
    <m/>
    <m/>
    <m/>
    <m/>
    <s v="bdpo-dobrunin@yandex.ru"/>
    <m/>
    <m/>
    <m/>
    <m/>
    <s v="Некоммерческие"/>
    <s v="ОО"/>
    <n v="16245"/>
    <s v="Иркутская область 0 часов"/>
    <m/>
    <m/>
    <m/>
    <m/>
    <s v="[C]Добрынин Сергей Геннадьевич"/>
    <m/>
    <m/>
    <m/>
    <s v="Нет"/>
    <s v="Фонды, ассоциации, профсоюзы и иные объединения"/>
    <m/>
    <m/>
    <m/>
    <s v="d4d34d82-a776-11e0-9520-0026554f9a5c"/>
  </r>
  <r>
    <n v="319553"/>
    <s v="ЦП. УЦ. Продажи"/>
    <s v="N"/>
    <s v="Y"/>
    <x v="3"/>
    <m/>
    <s v="Шкуренко Дарья"/>
    <m/>
    <m/>
    <m/>
    <s v="Россинский Вадим"/>
    <s v="ONE_C"/>
    <s v="1С-Отчётность. ИП МАКАРОВА ЕЛИЗАВЕТА СЕРГЕЕВНА 032619863206#"/>
    <s v="Продажа"/>
    <s v="Звонок"/>
    <s v="Звонок поступил на номер: ЦП 78-00-00 (62)."/>
    <n v="2800"/>
    <s v="Российский рубль"/>
    <s v="ИП Макарова Елизавета Сергеевна 032619863206#"/>
    <s v="Макаров Алексей Владимирович"/>
    <m/>
    <s v="нет"/>
    <d v="2026-08-25T09:35:41"/>
    <s v="Россинский Вадим"/>
    <d v="2026-08-25T10:14:23"/>
    <s v="ROBOT"/>
    <d v="2026-08-25T00:00:00"/>
    <d v="2026-09-01T00:00:00"/>
    <s v="ТП Основной для ИП ПО &quot;Астрал-Отчетность&quot; (сроком на 1 год) (&lt;&gt;)"/>
    <n v="2800"/>
    <n v="1"/>
    <m/>
    <m/>
    <m/>
    <m/>
    <m/>
    <n v="15488"/>
    <d v="2026-08-25T10:02:33"/>
    <m/>
    <m/>
    <m/>
    <m/>
    <m/>
    <m/>
    <s v="Договор-оферта"/>
    <s v="Нет"/>
    <n v="1"/>
    <m/>
    <n v="73952261014"/>
    <m/>
    <m/>
    <s v="ЦП. 1С и ИТС. Коммерция"/>
    <d v="2026-10-06T00:00:00"/>
    <m/>
    <m/>
    <m/>
    <m/>
    <m/>
    <n v="1"/>
    <m/>
    <m/>
    <m/>
    <m/>
    <n v="6"/>
    <m/>
    <s v="ФРДТ-018809"/>
    <m/>
    <s v="ЦП. 1С. Коммерция"/>
    <m/>
    <m/>
    <m/>
    <m/>
    <d v="2026-08-25T00:00:00"/>
    <m/>
    <m/>
    <s v="[CO]ООО НПФ &quot;ФОРУС&quot; 3812023430#"/>
    <s v="Сервисы"/>
    <m/>
    <m/>
    <m/>
    <m/>
    <m/>
    <s v="Обычный"/>
    <m/>
    <m/>
    <s v="#Загружено из Битрикс-Коробка#"/>
    <m/>
    <m/>
    <n v="266569"/>
    <s v="1С-Отч Конечным пользователям"/>
    <m/>
    <m/>
    <m/>
    <m/>
    <m/>
    <m/>
    <s v="Не было отгрузок"/>
    <m/>
    <m/>
    <m/>
    <m/>
    <s v="Нет"/>
    <m/>
    <m/>
    <m/>
    <m/>
    <m/>
    <m/>
    <m/>
    <m/>
    <m/>
    <m/>
    <s v="УЦ"/>
    <m/>
    <m/>
    <s v="Не нужно"/>
    <m/>
    <m/>
    <m/>
    <m/>
    <m/>
    <m/>
    <m/>
    <m/>
    <s v="1С-Отчётность"/>
    <s v="Не нужно УЛ"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8-25T10:02:36"/>
    <d v="2026-08-27T15:05:39"/>
    <m/>
    <m/>
    <m/>
    <m/>
    <m/>
    <m/>
    <m/>
    <m/>
    <m/>
    <m/>
    <m/>
    <m/>
    <m/>
    <m/>
    <m/>
    <m/>
    <m/>
    <m/>
    <m/>
    <n v="130621"/>
    <m/>
    <m/>
    <s v="Алексей"/>
    <s v="Макаров"/>
    <s v="Владимирович"/>
    <d v="2001-01-01T00:00:00"/>
    <m/>
    <m/>
    <s v="ROBOT"/>
    <s v="#Предыдущая должность : Финансовый директор[Редактор=Буркова Анастасия Николаевна]"/>
    <m/>
    <m/>
    <s v="Да"/>
    <s v="ROBOT_M"/>
    <d v="2021-07-08T17:43:52"/>
    <s v="ROBOT_UT"/>
    <d v="2026-08-27T06:44:19"/>
    <m/>
    <n v="73952261014"/>
    <n v="79149347828"/>
    <m/>
    <m/>
    <m/>
    <m/>
    <m/>
    <m/>
    <m/>
    <m/>
    <m/>
    <m/>
    <m/>
    <m/>
    <m/>
    <m/>
    <m/>
    <m/>
    <m/>
    <m/>
    <m/>
    <m/>
    <m/>
    <m/>
    <m/>
    <m/>
    <m/>
    <m/>
    <m/>
    <m/>
    <s v="село Харайгун"/>
    <d v="2019-08-02T00:00:00"/>
    <s v="Да"/>
    <m/>
    <s v="Иркутская область 0 часов"/>
    <m/>
    <m/>
    <s v="Нет"/>
    <s v="ed47a870-0578-11e3-a0be-0026554f9a58"/>
    <n v="258428"/>
    <m/>
    <s v="ИП Макарова Елизавета Сергеевна 032619863206#"/>
    <s v="Клиент"/>
    <s v="менее 50"/>
    <s v="ROBOT"/>
    <m/>
    <s v="Информационные технологии"/>
    <s v="0.00"/>
    <s v="Российский рубль"/>
    <m/>
    <s v="Россинский Вадим"/>
    <d v="2026-08-25T09:36:11"/>
    <s v="ROBOT_M"/>
    <d v="2026-08-25T10:14: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s v="43.13 Разведочное бурение"/>
    <m/>
    <s v="Нет"/>
    <m/>
    <m/>
    <s v="ИП Макарова Елизавета Сергеевна"/>
    <s v="село Харайгун"/>
    <n v="32619863206"/>
    <m/>
    <m/>
    <m/>
    <m/>
    <m/>
    <m/>
    <m/>
    <s v="Свой контакт (Менеджер)"/>
    <m/>
    <s v="Коммерческие"/>
    <s v="ИП"/>
    <n v="129033"/>
    <s v="Иркутская область 0 часов"/>
    <m/>
    <m/>
    <m/>
    <s v="Нет"/>
    <m/>
    <m/>
    <m/>
    <m/>
    <s v="Нет"/>
    <s v="Строительство"/>
    <m/>
    <m/>
    <m/>
    <s v="28cdd48c-9178-4875-8f2e-76e2129f1a7f"/>
  </r>
  <r>
    <n v="319520"/>
    <s v="ЦП. 1С. Продажи"/>
    <s v="N"/>
    <s v="N"/>
    <x v="8"/>
    <m/>
    <m/>
    <m/>
    <m/>
    <m/>
    <s v="Багланова Антонина"/>
    <m/>
    <s v="ЭПД Квиз сайт Форус"/>
    <s v="Продажа"/>
    <s v="Квиз"/>
    <s v="marquiz.ru ЦП.Фреш: ЭПД Квиз сайт Форус"/>
    <s v="0.00"/>
    <s v="Российский рубль"/>
    <m/>
    <s v="Елена"/>
    <m/>
    <s v="нет"/>
    <d v="2026-08-24T18:47:37"/>
    <s v="Багланова Антонина"/>
    <d v="2026-08-24T18:47:59"/>
    <s v="ROBOT_M"/>
    <d v="2026-08-24T00:00:00"/>
    <d v="2026-08-31T00:00:00"/>
    <m/>
    <m/>
    <m/>
    <s v="[b]Выберете свой сценарий перевозки[/b] Грузоперевозка транспортной компанией по договору перевозки, Между филиалами при привлечении другого юр. лица как перевозчика [b]Укажите роль/роли в грузоперевозке[/b] Грузоотправитель, Грузополучатель [b]Форма[/b]: [b]ID формы[/b]: kixVhMHyw8 Вам нужно подключение [b]Местоположение[/b]: RU, Omsk [b]Страница[/b]: [url=https://mrqz.me/6a4766700c053200196405e8]https://mrqz.me/6a4766700c053200196405e8[/url] [b]Согласия[/b]: Я согласен на обработку персональных данных: Да"/>
    <m/>
    <m/>
    <m/>
    <m/>
    <n v="27"/>
    <d v="2026-08-24T18:47:57"/>
    <m/>
    <m/>
    <m/>
    <m/>
    <m/>
    <m/>
    <m/>
    <s v="Нет"/>
    <n v="1"/>
    <s v="SLT-EVA@MAIL.RU"/>
    <n v="79236944555"/>
    <m/>
    <m/>
    <s v="ЦП. 1С и ИТС. Коммерция"/>
    <m/>
    <m/>
    <m/>
    <m/>
    <m/>
    <m/>
    <n v="0"/>
    <s v="Елена"/>
    <s v="[b]Выберете свой сценарий перевозки[/b] Грузоперевозка транспортной компанией по договору перевозки, Между филиалами при привлечении другого юр. лица как перевозчика [b]Укажите роль/роли в грузоперевозке[/b] Грузоотправитель, Грузополучатель [b]Форма[/b]: [b]ID формы[/b]: kixVhMHyw8 Вам нужно подключение [b]Местоположение[/b]: RU, Omsk [b]Страница[/b]: [url=https://mrqz.me/6a4766700c053200196405e8]https://mrqz.me/6a4766700c053200196405e8[/url] [b]Согласия[/b]: Я согласен на обработку персональных данных: Да"/>
    <m/>
    <m/>
    <n v="1"/>
    <m/>
    <m/>
    <m/>
    <s v="ЦП. 1С. Коммерция"/>
    <m/>
    <m/>
    <m/>
    <m/>
    <m/>
    <m/>
    <m/>
    <m/>
    <m/>
    <m/>
    <m/>
    <m/>
    <m/>
    <m/>
    <s v="Обычный"/>
    <m/>
    <m/>
    <m/>
    <m/>
    <m/>
    <n v="265939"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s v="Уточнить потребност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Уточнить потребности"/>
    <m/>
    <m/>
    <m/>
    <m/>
    <m/>
    <d v="2026-08-24T18:47:58"/>
    <d v="2026-08-24T19:02:38"/>
    <m/>
    <m/>
    <m/>
    <m/>
    <m/>
    <m/>
    <m/>
    <m/>
    <m/>
    <m/>
    <m/>
    <m/>
    <m/>
    <m/>
    <m/>
    <m/>
    <m/>
    <m/>
    <m/>
    <n v="398408"/>
    <m/>
    <m/>
    <s v="Елена"/>
    <m/>
    <m/>
    <m/>
    <m/>
    <s v="Клиенты"/>
    <s v="ROBOT"/>
    <s v="[b]Выберете свой сценарий перевозки[/b] Грузоперевозка транспортной компанией по договору перевозки, Между филиалами при привлечении другого юр. лица как перевозчика [b]Укажите роль/роли в грузоперевозке[/b] Грузоотправитель, Грузополучатель [b]Форма[/b]: [b]ID формы[/b]: kixVhMHyw8 Вам нужно подключение [b]Местоположение[/b]: RU, Omsk [b]Страница[/b]: [url=https://mrqz.me/6a4766700c053200196405e8]https://mrqz.me/6a4766700c053200196405e8[/url] [b]Согласия[/b]: Я согласен на обработку персональных данных: Да"/>
    <s v="Квиз"/>
    <s v="marquiz.ru ЦП.Фреш: ЭПД Квиз сайт Форус"/>
    <s v="Да"/>
    <s v="Багланова Антонина"/>
    <d v="2026-08-24T18:47:36"/>
    <s v="ROBOT"/>
    <d v="2026-08-24T18:47:37"/>
    <m/>
    <m/>
    <n v="79236944555"/>
    <m/>
    <m/>
    <m/>
    <m/>
    <m/>
    <m/>
    <m/>
    <m/>
    <m/>
    <m/>
    <m/>
    <m/>
    <m/>
    <s v="SLT-EVA@MAIL.RU"/>
    <m/>
    <m/>
    <m/>
    <m/>
    <m/>
    <m/>
    <m/>
    <m/>
    <m/>
    <m/>
    <m/>
    <m/>
    <m/>
    <m/>
    <m/>
    <d v="2026-08-24T00:00:00"/>
    <s v="Да"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9505"/>
    <s v="ЦП. 1С. Продажи"/>
    <s v="N"/>
    <s v="N"/>
    <x v="8"/>
    <m/>
    <s v="Савинская Евгения Россинский Вадим"/>
    <m/>
    <m/>
    <m/>
    <s v="Россинский Вадим"/>
    <m/>
    <s v="ООО &quot;ПЛАНЕТА-КРЕПЕЖА&quot; 1656052029#"/>
    <s v="Продажа"/>
    <s v="CRM-форма"/>
    <s v="ЦП. 1С и ИТС. Корппроекты - калькулятор затрат"/>
    <s v="0.00"/>
    <s v="Российский рубль"/>
    <s v="ООО &quot;ПЛАНЕТА-КРЕПЕЖА&quot; 1656052029#"/>
    <s v="Гладышева Светлана Валентиновна"/>
    <m/>
    <s v="нет"/>
    <d v="2026-08-24T17:13:06"/>
    <s v="Россинский Вадим"/>
    <d v="2026-08-25T09:09:03"/>
    <s v="Савинская Евгения"/>
    <d v="2026-08-24T00:00:00"/>
    <d v="2026-08-31T00:00:00"/>
    <m/>
    <m/>
    <m/>
    <m/>
    <m/>
    <m/>
    <m/>
    <n v="195"/>
    <n v="26"/>
    <d v="2026-08-25T09:08:53"/>
    <m/>
    <s v="yandex"/>
    <s v="cpc"/>
    <s v="epk_1cfresh_1c_epd_h_1c_20_1Cepd_710672493"/>
    <n v="17746581919"/>
    <s v="1с эпд как подключить"/>
    <m/>
    <s v="Нет"/>
    <n v="1"/>
    <m/>
    <n v="79274422762"/>
    <m/>
    <m/>
    <s v="ЦП. 1С и ИТС. Коммерция"/>
    <m/>
    <m/>
    <m/>
    <m/>
    <m/>
    <m/>
    <n v="0"/>
    <s v="Светлана"/>
    <m/>
    <m/>
    <m/>
    <n v="1"/>
    <m/>
    <m/>
    <m/>
    <s v="ЦП. 1С. Коммерция"/>
    <m/>
    <m/>
    <m/>
    <m/>
    <m/>
    <m/>
    <m/>
    <m/>
    <m/>
    <m/>
    <m/>
    <m/>
    <m/>
    <m/>
    <s v="Обычный"/>
    <m/>
    <m/>
    <m/>
    <m/>
    <m/>
    <n v="265856"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s v="Уточнить потребност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Уточнить потребности"/>
    <m/>
    <m/>
    <m/>
    <m/>
    <m/>
    <d v="2026-08-25T09:08:54"/>
    <d v="2026-08-27T16:40:49"/>
    <m/>
    <m/>
    <m/>
    <m/>
    <m/>
    <m/>
    <m/>
    <m/>
    <m/>
    <m/>
    <m/>
    <m/>
    <m/>
    <m/>
    <m/>
    <m/>
    <m/>
    <m/>
    <m/>
    <n v="398262"/>
    <m/>
    <m/>
    <s v="Светлана"/>
    <s v="Гладышева"/>
    <s v="Валентиновна"/>
    <m/>
    <s v="ДИРЕКТОР"/>
    <s v="Клиенты"/>
    <s v="ROBOT"/>
    <m/>
    <s v="Свой контакт (Менеджер)"/>
    <s v="ЦП. 1С и ИТС. Корппроекты - калькулятор затрат"/>
    <s v="Да"/>
    <s v="ROBOT_M"/>
    <d v="2026-08-20T18:05:01"/>
    <s v="ROBOT"/>
    <d v="2026-08-25T09:21:22"/>
    <m/>
    <m/>
    <n v="79274422762"/>
    <m/>
    <m/>
    <m/>
    <m/>
    <m/>
    <m/>
    <m/>
    <m/>
    <m/>
    <m/>
    <m/>
    <m/>
    <m/>
    <m/>
    <m/>
    <m/>
    <m/>
    <m/>
    <m/>
    <m/>
    <m/>
    <m/>
    <m/>
    <m/>
    <m/>
    <m/>
    <m/>
    <m/>
    <s v="Казань г"/>
    <d v="2026-08-20T00:00:00"/>
    <s v="Да"/>
    <m/>
    <s v="Республика Татарстан - 5 час"/>
    <m/>
    <m/>
    <s v="Нет"/>
    <s v="aa828610-93ae-49cc-afde-c570b3f5737c"/>
    <n v="258342"/>
    <m/>
    <s v="ООО &quot;ПЛАНЕТА-КРЕПЕЖА&quot; 1656052029#"/>
    <s v="Клиент"/>
    <s v="менее 50"/>
    <s v="ROBOT"/>
    <m/>
    <s v="Информационные технологии"/>
    <s v="0.00"/>
    <s v="Российский рубль"/>
    <m/>
    <s v="Соболев Максим"/>
    <d v="2026-08-20T18:04:01"/>
    <s v="ROBOT_M"/>
    <d v="2026-08-25T09:21:23"/>
    <m/>
    <m/>
    <n v="79274422762"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d v="2009-07-29T00:00:00"/>
    <m/>
    <s v="46.49.49 Торговля оптовая прочими потребительскими товарами, не включенными в другие группировки"/>
    <m/>
    <s v="Нет"/>
    <m/>
    <m/>
    <s v="ПЛАНЕТА-КРЕПЕЖА ООО"/>
    <s v="г Казань"/>
    <n v="1656052029"/>
    <m/>
    <m/>
    <m/>
    <m/>
    <m/>
    <m/>
    <m/>
    <s v="Свой контакт (Менеджер)"/>
    <m/>
    <s v="Коммерческие"/>
    <s v="ООО"/>
    <n v="128957"/>
    <s v="Республика Татарстан - 5 час"/>
    <m/>
    <m/>
    <m/>
    <s v="Нет"/>
    <m/>
    <m/>
    <m/>
    <m/>
    <s v="Нет"/>
    <s v="Торговля. Прочая"/>
    <m/>
    <m/>
    <m/>
    <s v="e4480d2c-5c18-464f-873a-9a6213f0d15f"/>
  </r>
  <r>
    <n v="319499"/>
    <s v="ЦП. ФРЕШ. Продажи"/>
    <s v="N"/>
    <s v="Y"/>
    <x v="6"/>
    <m/>
    <m/>
    <m/>
    <m/>
    <m/>
    <s v="Россинский Вадим"/>
    <m/>
    <s v="ИП НОВИКОВ ДМИТРИЙ АНДРЕЕВИЧ 753624222152#"/>
    <s v="Продажа"/>
    <s v="Звонок"/>
    <s v="Звонок поступил на номер: ЦП 78-00-00 (62)."/>
    <s v="0.00"/>
    <s v="Российский рубль"/>
    <s v="ИП НОВИКОВ ДМИТРИЙ АНДРЕЕВИЧ 753624222152#"/>
    <s v="Бобровская Кристина"/>
    <m/>
    <s v="нет"/>
    <d v="2026-08-24T16:35:33"/>
    <s v="Россинский Вадим"/>
    <d v="2026-08-24T16:36:09"/>
    <s v="ROBOT_M"/>
    <d v="2026-08-24T00:00:00"/>
    <d v="2026-08-31T00:00:00"/>
    <m/>
    <m/>
    <m/>
    <m/>
    <m/>
    <m/>
    <m/>
    <m/>
    <n v="5"/>
    <d v="2026-08-24T16:36:07"/>
    <m/>
    <m/>
    <m/>
    <m/>
    <m/>
    <m/>
    <m/>
    <s v="Нет"/>
    <n v="1"/>
    <s v="bkw1406@mail.ru"/>
    <n v="79500504884"/>
    <m/>
    <s v="Иркутск г"/>
    <s v="ЦП. 1С и ИТС. Коммерция"/>
    <d v="2026-09-23T00:00:00"/>
    <m/>
    <m/>
    <m/>
    <m/>
    <m/>
    <n v="0"/>
    <s v="Кристина"/>
    <m/>
    <m/>
    <m/>
    <n v="1"/>
    <m/>
    <m/>
    <m/>
    <s v="ЦП. 1С. Коммерция"/>
    <m/>
    <m/>
    <m/>
    <m/>
    <m/>
    <m/>
    <m/>
    <m/>
    <m/>
    <m/>
    <m/>
    <s v="Коммерческие"/>
    <m/>
    <m/>
    <s v="Обычный"/>
    <m/>
    <m/>
    <m/>
    <m/>
    <m/>
    <n v="266485"/>
    <m/>
    <m/>
    <m/>
    <m/>
    <m/>
    <m/>
    <m/>
    <s v="Не было отгрузок"/>
    <m/>
    <m/>
    <m/>
    <m/>
    <s v="Нет"/>
    <m/>
    <m/>
    <m/>
    <m/>
    <m/>
    <m/>
    <m/>
    <m/>
    <m/>
    <s v="Необработанные"/>
    <s v="ФРЕШ и ГРМ"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24T16:36:08"/>
    <d v="2026-08-24T16:43:27"/>
    <m/>
    <m/>
    <m/>
    <m/>
    <m/>
    <m/>
    <m/>
    <m/>
    <m/>
    <m/>
    <m/>
    <m/>
    <m/>
    <m/>
    <m/>
    <m/>
    <m/>
    <m/>
    <m/>
    <n v="325053"/>
    <m/>
    <m/>
    <s v="Кристина"/>
    <s v="Бобровская"/>
    <m/>
    <m/>
    <s v="менеджер/бухгалтер на первичку"/>
    <m/>
    <s v="ROBOT"/>
    <m/>
    <m/>
    <m/>
    <s v="Да"/>
    <s v="Ахмедова Екатерина"/>
    <d v="2024-01-19T16:53:13"/>
    <s v="ROBOT_UT"/>
    <d v="2026-08-26T06:44:29"/>
    <m/>
    <m/>
    <n v="79500504884"/>
    <m/>
    <m/>
    <m/>
    <m/>
    <m/>
    <m/>
    <m/>
    <m/>
    <m/>
    <m/>
    <m/>
    <m/>
    <s v="k.bobrovskaya@gmate.ru"/>
    <m/>
    <m/>
    <m/>
    <m/>
    <m/>
    <m/>
    <m/>
    <m/>
    <m/>
    <m/>
    <m/>
    <s v="imol|ank_chats_app24_whatsapp|32|79500504884|7257"/>
    <m/>
    <m/>
    <n v="7257"/>
    <s v="Иркутская обл"/>
    <d v="2024-01-19T00:00:00"/>
    <s v="Да"/>
    <m/>
    <s v="Иркутская область 0 часов"/>
    <m/>
    <m/>
    <s v="Нет"/>
    <s v="8eea212e-fb16-4219-a431-80fd5bef9085"/>
    <n v="258421"/>
    <m/>
    <s v="ИП НОВИКОВ ДМИТРИЙ АНДРЕЕВИЧ 753624222152#"/>
    <s v="Клиент"/>
    <s v="менее 50"/>
    <s v="ROBOT"/>
    <m/>
    <s v="Информационные технологии"/>
    <s v="0.00"/>
    <s v="Российский рубль"/>
    <m/>
    <s v="Россинский Вадим"/>
    <d v="2026-08-24T16:34:50"/>
    <s v="ROBOT_M"/>
    <d v="2026-08-24T16:51:42"/>
    <m/>
    <m/>
    <m/>
    <m/>
    <m/>
    <m/>
    <m/>
    <m/>
    <m/>
    <m/>
    <m/>
    <m/>
    <m/>
    <m/>
    <m/>
    <s v="ipnovikov1991@mail.ru"/>
    <m/>
    <m/>
    <m/>
    <m/>
    <m/>
    <m/>
    <m/>
    <m/>
    <m/>
    <m/>
    <m/>
    <m/>
    <m/>
    <m/>
    <m/>
    <m/>
    <n v="0"/>
    <m/>
    <m/>
    <m/>
    <s v="47.91.2 Торговля розничная, осуществляемая непосредственно при помощи информационно-коммуникационной сети Интернет"/>
    <m/>
    <s v="Нет"/>
    <m/>
    <m/>
    <s v="Новиков Дмитрий Андреевич, Инн 753624222152"/>
    <s v="пгт Первомайский"/>
    <n v="753624222152"/>
    <m/>
    <m/>
    <m/>
    <m/>
    <m/>
    <m/>
    <m/>
    <s v="Свой контакт (Менеджер)"/>
    <m/>
    <s v="Коммерческие"/>
    <s v="ИП"/>
    <n v="129026"/>
    <s v="Забайкальский край +1 час"/>
    <m/>
    <m/>
    <m/>
    <s v="Нет"/>
    <m/>
    <m/>
    <m/>
    <m/>
    <s v="Нет"/>
    <s v="Торговля. Прочая"/>
    <m/>
    <m/>
    <m/>
    <m/>
  </r>
  <r>
    <n v="319484"/>
    <s v="1С. Комплексные продажи"/>
    <s v="Y"/>
    <s v="N"/>
    <x v="7"/>
    <m/>
    <m/>
    <m/>
    <m/>
    <m/>
    <s v="Багланова Антонина"/>
    <s v="ONE_C"/>
    <s v="[Связь] - ООО &quot;ТЕЛЕЦ&quot; 3819011392# - 1С Проекты, доработки"/>
    <s v="Продажа"/>
    <s v="Звонок"/>
    <m/>
    <n v="40000"/>
    <s v="Российский рубль"/>
    <s v="ООО &quot;ТЕЛЕЦ&quot; 3819011392#"/>
    <s v="Норин Михаил Леонидович"/>
    <m/>
    <s v="нет"/>
    <d v="2026-08-24T15:37:56"/>
    <s v="Багланова Антонина"/>
    <d v="2026-08-28T17:27:15"/>
    <s v="ROBOT_UT"/>
    <d v="2026-08-24T00:00:00"/>
    <d v="2026-08-31T00:00:00"/>
    <s v="Программирование и адаптация доработанных конфигураций 1С через интернет"/>
    <n v="4000"/>
    <n v="10"/>
    <s v="##Родительская сделка 309950 ##"/>
    <m/>
    <m/>
    <m/>
    <m/>
    <n v="6346"/>
    <d v="2026-08-26T09:32:53"/>
    <m/>
    <m/>
    <m/>
    <m/>
    <m/>
    <m/>
    <s v="Договор-оферта"/>
    <s v="Нет"/>
    <n v="1"/>
    <m/>
    <m/>
    <m/>
    <m/>
    <s v="ЦП. 1С и ИТС. Коммерция"/>
    <m/>
    <m/>
    <m/>
    <m/>
    <m/>
    <m/>
    <m/>
    <m/>
    <m/>
    <m/>
    <m/>
    <n v="1"/>
    <s v="/upload/crm/a0b/5euu7owjsu1x4warmfkahrkew4cunfob/Договор-оферта.txt"/>
    <s v="ФРДТ-018766"/>
    <s v="[D]ООО &quot;ТЕЛЕЦ&quot; 3819011392# - 1С Проекты, доработки"/>
    <s v="ЦП. 1С. Коммерция"/>
    <m/>
    <m/>
    <m/>
    <m/>
    <d v="2026-08-24T00:00:00"/>
    <m/>
    <m/>
    <s v="[CO]ООО НПФ &quot;ФОРУС&quot; 3812023430#"/>
    <s v="Оказание услуг"/>
    <m/>
    <m/>
    <m/>
    <m/>
    <m/>
    <s v="Обычный"/>
    <m/>
    <m/>
    <s v="#Загружено из Битрикс-Коробка#"/>
    <d v="2026-08-25T00:00:00"/>
    <m/>
    <m/>
    <s v="Услуги ЦСВ 1С сопровождение"/>
    <m/>
    <m/>
    <m/>
    <m/>
    <n v="40000"/>
    <d v="2026-08-26T00:00:00"/>
    <s v="Не было отгрузок"/>
    <m/>
    <m/>
    <m/>
    <m/>
    <s v="Нет"/>
    <m/>
    <m/>
    <m/>
    <m/>
    <m/>
    <m/>
    <m/>
    <m/>
    <m/>
    <m/>
    <s v="АРХИВ_1С Проекты, доработки"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n v="40000"/>
    <d v="2026-08-26T00:00:00"/>
    <s v="Не было отгрузок"/>
    <m/>
    <s v="Не оформляется"/>
    <m/>
    <m/>
    <m/>
    <s v="Не запущен"/>
    <s v="Управление товарами и ценообразованием, Производство"/>
    <s v="[C]Норин Михаил Леонидович"/>
    <d v="2026-08-24T00:00:00"/>
    <d v="2026-08-24T00:00:00"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27T00:04:00"/>
    <d v="2026-08-24T16:05:45"/>
    <m/>
    <m/>
    <m/>
    <m/>
    <m/>
    <m/>
    <m/>
    <m/>
    <m/>
    <m/>
    <m/>
    <m/>
    <m/>
    <m/>
    <m/>
    <m/>
    <m/>
    <m/>
    <m/>
    <n v="376924"/>
    <m/>
    <m/>
    <s v="Михаил"/>
    <s v="Норин"/>
    <s v="Леонидович"/>
    <m/>
    <m/>
    <s v="Клиенты"/>
    <s v="ROBOT"/>
    <s v="[p] 21.10.25 Направила ссылку на партнерский сайт 22.10.25 Направила ссылку повторно 23.10.25 Еще не рассмотрел подробно курс, возможно будет регистрироваться, перевожу в сделку для дальнейшей работы 22/12/25 Интересуют курсы по программированию базовый и продвинутый очно, у продвинутого не подходят даты. Поздно весной. Направлю для ознакомлений наши программы и онлайн партнерку. [/p]"/>
    <s v="Звонок"/>
    <s v="Звонок поступил на номер: ЦП 78-00-00 (62)."/>
    <s v="Да"/>
    <s v="Чернышова Софья"/>
    <d v="2025-10-23T15:14:38"/>
    <s v="Багланова Антонина"/>
    <d v="2026-08-13T11:14:56"/>
    <m/>
    <s v="73952435511#203, +73952436511"/>
    <n v="79996825228"/>
    <m/>
    <m/>
    <m/>
    <m/>
    <m/>
    <m/>
    <m/>
    <m/>
    <m/>
    <m/>
    <m/>
    <m/>
    <s v="whitemasters8888@gmail.com"/>
    <m/>
    <m/>
    <m/>
    <m/>
    <m/>
    <m/>
    <m/>
    <m/>
    <m/>
    <m/>
    <m/>
    <m/>
    <m/>
    <m/>
    <m/>
    <m/>
    <d v="2025-10-23T00:00:00"/>
    <s v="Да"/>
    <m/>
    <m/>
    <m/>
    <m/>
    <s v="Нет"/>
    <m/>
    <n v="133964"/>
    <m/>
    <s v="ООО &quot;ТЕЛЕЦ&quot; 3819011392#"/>
    <s v="Клиент"/>
    <m/>
    <s v="ROBOT"/>
    <m/>
    <m/>
    <m/>
    <s v="Российский рубль"/>
    <m/>
    <s v="ROBOT_M"/>
    <d v="2021-07-08T06:33:36"/>
    <s v="ROBOT_M"/>
    <d v="2026-08-27T17:52:13"/>
    <m/>
    <n v="147908734134"/>
    <m/>
    <m/>
    <m/>
    <m/>
    <m/>
    <m/>
    <m/>
    <m/>
    <m/>
    <m/>
    <m/>
    <m/>
    <m/>
    <s v="telec2002@mail.ru"/>
    <m/>
    <s v="telec2002@mail.ru"/>
    <m/>
    <m/>
    <m/>
    <m/>
    <m/>
    <m/>
    <m/>
    <m/>
    <m/>
    <m/>
    <m/>
    <m/>
    <m/>
    <m/>
    <n v="0"/>
    <s v="telec2002@mail.ru"/>
    <d v="2001-12-04T00:00:00"/>
    <m/>
    <s v="10.13.1 Производство соленого, вареного, запеченого, копченого, вяленого и прочего мяса"/>
    <m/>
    <s v="Нет"/>
    <d v="2010-12-23T00:00:00"/>
    <d v="2021-11-25T00:00:00"/>
    <s v="Телец"/>
    <s v=", Тайтурка рп"/>
    <n v="3819011392"/>
    <m/>
    <m/>
    <m/>
    <m/>
    <s v="telec2002@mail.ru"/>
    <m/>
    <m/>
    <m/>
    <m/>
    <s v="Коммерческие"/>
    <s v="ООО"/>
    <n v="11957"/>
    <s v="Иркутская область 0 часов"/>
    <m/>
    <m/>
    <m/>
    <m/>
    <m/>
    <m/>
    <m/>
    <m/>
    <s v="Нет"/>
    <s v="Производство. Пищевое производство"/>
    <m/>
    <m/>
    <m/>
    <s v="df7458d8-ce9a-11de-924a-001517351dde"/>
  </r>
  <r>
    <n v="319461"/>
    <s v="ЦП. 1С. Продажи"/>
    <s v="N"/>
    <s v="N"/>
    <x v="8"/>
    <m/>
    <m/>
    <m/>
    <m/>
    <m/>
    <s v="Багланова Антонина"/>
    <m/>
    <s v="Список от Калуги по ЭПД"/>
    <s v="Продажа"/>
    <s v="Звонок"/>
    <s v="Список от Калуги по ЭПД"/>
    <s v="0.00"/>
    <s v="Российский рубль"/>
    <m/>
    <s v="Екатерина"/>
    <m/>
    <s v="нет"/>
    <d v="2026-08-24T13:11:41"/>
    <s v="Шкаруба Кристина"/>
    <d v="2026-08-25T10:20:33"/>
    <s v="ROBOT_M"/>
    <d v="2026-08-24T00:00:00"/>
    <d v="2026-08-31T00:00:00"/>
    <m/>
    <m/>
    <m/>
    <m/>
    <m/>
    <m/>
    <m/>
    <m/>
    <n v="27"/>
    <d v="2026-08-25T10:20:32"/>
    <m/>
    <m/>
    <m/>
    <m/>
    <m/>
    <m/>
    <m/>
    <s v="Нет"/>
    <n v="1"/>
    <s v="sibagrotrade-krsk@yandex.ru"/>
    <n v="79048953151"/>
    <m/>
    <m/>
    <s v="ЦП. 1С и ИТС. Коммерция"/>
    <m/>
    <m/>
    <m/>
    <m/>
    <m/>
    <m/>
    <n v="0"/>
    <s v="Екатерина"/>
    <m/>
    <m/>
    <m/>
    <n v="1"/>
    <m/>
    <m/>
    <m/>
    <s v="ЦП. 1С. Коммерция"/>
    <m/>
    <m/>
    <m/>
    <m/>
    <m/>
    <m/>
    <m/>
    <m/>
    <m/>
    <m/>
    <m/>
    <m/>
    <m/>
    <m/>
    <s v="Обычный"/>
    <m/>
    <m/>
    <m/>
    <m/>
    <m/>
    <n v="265239"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s v="Уточнить потребност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Уточнить потребности"/>
    <m/>
    <m/>
    <m/>
    <m/>
    <m/>
    <d v="2026-08-25T10:20:33"/>
    <d v="2026-08-27T17:41:45"/>
    <m/>
    <m/>
    <m/>
    <m/>
    <m/>
    <m/>
    <m/>
    <m/>
    <m/>
    <m/>
    <m/>
    <m/>
    <m/>
    <m/>
    <m/>
    <m/>
    <m/>
    <m/>
    <m/>
    <n v="398356"/>
    <m/>
    <m/>
    <s v="Екатерина"/>
    <m/>
    <m/>
    <m/>
    <m/>
    <s v="Клиенты"/>
    <s v="ROBOT"/>
    <m/>
    <s v="Звонок"/>
    <s v="Звонок поступил на номер: ЦП 78-00-00 (62)."/>
    <s v="Да"/>
    <s v="Шкаруба Кристина"/>
    <d v="2026-08-24T13:11:28"/>
    <s v="ROBOT"/>
    <d v="2026-08-24T13:11:28"/>
    <m/>
    <m/>
    <n v="79048953151"/>
    <m/>
    <m/>
    <m/>
    <m/>
    <m/>
    <m/>
    <m/>
    <m/>
    <m/>
    <m/>
    <m/>
    <m/>
    <s v="sibagrotrade-krsk@yandex.ru"/>
    <m/>
    <m/>
    <m/>
    <m/>
    <m/>
    <m/>
    <m/>
    <m/>
    <m/>
    <m/>
    <m/>
    <m/>
    <m/>
    <m/>
    <m/>
    <s v="Красноярск"/>
    <d v="2026-08-24T00:00:00"/>
    <s v="Да"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9421"/>
    <s v="ЦП. 1С. Продажи"/>
    <s v="N"/>
    <s v="N"/>
    <x v="8"/>
    <m/>
    <m/>
    <m/>
    <m/>
    <m/>
    <s v="Федорова Анастасия"/>
    <m/>
    <s v="ООО &quot;ГЛП&quot; 2704025968#"/>
    <s v="Продажа"/>
    <s v="Мероприятие Форус"/>
    <s v="Звонок поступил на номер: ЦП 78-00-00 (62)."/>
    <s v="0.00"/>
    <s v="Российский рубль"/>
    <s v="ООО &quot;ГЛП&quot; 2704025968#"/>
    <m/>
    <m/>
    <s v="нет"/>
    <d v="2026-08-24T10:39:38"/>
    <s v="Федорова Анастасия"/>
    <d v="2026-08-25T14:42:46"/>
    <s v="ROBOT_M"/>
    <d v="2026-08-24T00:00:00"/>
    <d v="2026-08-31T00:00:00"/>
    <m/>
    <m/>
    <m/>
    <m/>
    <m/>
    <m/>
    <m/>
    <m/>
    <n v="23689"/>
    <d v="2026-08-25T14:42:44"/>
    <m/>
    <m/>
    <m/>
    <m/>
    <m/>
    <m/>
    <m/>
    <s v="Нет"/>
    <n v="1"/>
    <s v="fartzp95@mail.ru"/>
    <n v="74212789830"/>
    <m/>
    <m/>
    <s v="ЦП. 1С и ИТС. Коммерция"/>
    <m/>
    <m/>
    <m/>
    <m/>
    <m/>
    <m/>
    <n v="0"/>
    <s v="Елена"/>
    <m/>
    <m/>
    <s v="Небольшой опыт"/>
    <n v="1"/>
    <m/>
    <m/>
    <m/>
    <s v="ЦП. 1С. Коммерция"/>
    <m/>
    <m/>
    <m/>
    <m/>
    <m/>
    <m/>
    <m/>
    <m/>
    <m/>
    <m/>
    <m/>
    <m/>
    <m/>
    <m/>
    <s v="Обычный"/>
    <m/>
    <m/>
    <m/>
    <m/>
    <m/>
    <n v="266329"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s v="Уточнить потребност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Уточнить потребности"/>
    <m/>
    <m/>
    <m/>
    <m/>
    <m/>
    <d v="2026-08-25T14:42:45"/>
    <d v="2026-08-24T10:41: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8384"/>
    <m/>
    <s v="ООО &quot;ГЛП&quot; 2704025968#"/>
    <s v="Клиент"/>
    <s v="менее 50"/>
    <s v="ROBOT"/>
    <m/>
    <s v="Информационные технологии"/>
    <s v="0.00"/>
    <s v="Российский рубль"/>
    <m/>
    <s v="Федорова Анастасия"/>
    <d v="2026-08-24T10:41:05"/>
    <s v="ROBOT_M"/>
    <d v="2026-08-25T15:19:03"/>
    <m/>
    <n v="74212789830"/>
    <m/>
    <m/>
    <m/>
    <m/>
    <m/>
    <m/>
    <m/>
    <m/>
    <m/>
    <m/>
    <m/>
    <m/>
    <m/>
    <s v="fartzp95@mail.ru"/>
    <m/>
    <m/>
    <m/>
    <m/>
    <m/>
    <m/>
    <m/>
    <m/>
    <m/>
    <m/>
    <m/>
    <m/>
    <m/>
    <m/>
    <m/>
    <m/>
    <n v="0"/>
    <m/>
    <d v="2018-07-12T00:00:00"/>
    <m/>
    <s v="16.10 Распиловка и строгание древесины"/>
    <m/>
    <s v="Нет"/>
    <m/>
    <m/>
    <s v="ГЛП ООО"/>
    <s v="Г.П. РАБОЧИЙ ПОСЕЛОК МАЙСКИЙ, РП. МАЙСКИЙ"/>
    <n v="2704025968"/>
    <m/>
    <m/>
    <m/>
    <m/>
    <m/>
    <m/>
    <m/>
    <s v="Свой контакт (Менеджер)"/>
    <m/>
    <s v="Коммерческие"/>
    <s v="ООО"/>
    <n v="129006"/>
    <s v="Хабаровский край +2 часа"/>
    <m/>
    <m/>
    <m/>
    <s v="Нет"/>
    <m/>
    <m/>
    <m/>
    <m/>
    <s v="Нет"/>
    <s v="Производство. Лесхоз и деревообработка"/>
    <m/>
    <m/>
    <m/>
    <s v="a7f9d4cb-bdb4-4ae4-a2e1-b028ae84df05"/>
  </r>
  <r>
    <n v="319307"/>
    <s v="ЦП. 1С. Продажи"/>
    <s v="N"/>
    <s v="N"/>
    <x v="3"/>
    <m/>
    <m/>
    <m/>
    <m/>
    <m/>
    <s v="Багланова Антонина"/>
    <s v="ONE_C"/>
    <s v="ООО &quot;МАКСИМУМ&quot; 5252046154# - Другие сервисы"/>
    <s v="Продажа"/>
    <s v="CRM-форма"/>
    <s v="ЦП. 1С и ИТС. Корппроекты - калькулятор затрат"/>
    <n v="1800"/>
    <s v="Российский рубль"/>
    <s v="ООО &quot;МАКСИМУМ&quot; 5252046154#"/>
    <s v="Максим"/>
    <m/>
    <s v="нет"/>
    <d v="2026-08-21T18:31:16"/>
    <s v="Багланова Антонина"/>
    <d v="2026-08-26T00:03:33"/>
    <s v="ROBOT_M"/>
    <d v="2026-08-21T00:00:00"/>
    <d v="2026-08-28T00:00:00"/>
    <s v="Лицензия Доки-200 на 12 месяцев"/>
    <n v="1800"/>
    <n v="1"/>
    <m/>
    <m/>
    <m/>
    <m/>
    <m/>
    <n v="27"/>
    <d v="2026-08-21T19:19:05"/>
    <m/>
    <s v="yandex"/>
    <s v="cpc"/>
    <s v="epk_1cfresh_1c_epd_h_1c_20_1Cepd_710672493"/>
    <n v="17746581919"/>
    <s v="---autotargeting"/>
    <s v="Договор-оферта"/>
    <s v="Нет"/>
    <n v="1"/>
    <s v="79875435273@mail.ru"/>
    <n v="79588359007"/>
    <m/>
    <s v="ПАВЛОВО"/>
    <s v="ЦП. 1С и ИТС. Коммерция"/>
    <m/>
    <m/>
    <m/>
    <m/>
    <m/>
    <m/>
    <n v="0"/>
    <s v="Максим"/>
    <m/>
    <m/>
    <m/>
    <n v="2"/>
    <m/>
    <s v="ФРДТ-018667"/>
    <m/>
    <s v="ЦП. 1С. Коммерция"/>
    <m/>
    <m/>
    <m/>
    <m/>
    <d v="2026-08-21T00:00:00"/>
    <m/>
    <m/>
    <s v="[CO]ООО НПФ &quot;ФОРУС&quot; 3812023430#"/>
    <s v="Сервисы"/>
    <m/>
    <m/>
    <s v="Коммерческие"/>
    <m/>
    <m/>
    <s v="Обычный"/>
    <m/>
    <m/>
    <s v="#Загружено из Битрикс-Коробка#"/>
    <m/>
    <m/>
    <n v="265580"/>
    <s v="1С-Доки"/>
    <m/>
    <m/>
    <m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Другие сервисы"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8-26T00:02:47"/>
    <d v="2026-08-25T15:50:15"/>
    <m/>
    <m/>
    <m/>
    <m/>
    <m/>
    <m/>
    <m/>
    <m/>
    <m/>
    <m/>
    <m/>
    <m/>
    <m/>
    <m/>
    <m/>
    <m/>
    <m/>
    <m/>
    <m/>
    <n v="398317"/>
    <m/>
    <m/>
    <s v="Максим"/>
    <m/>
    <m/>
    <m/>
    <m/>
    <s v="Клиенты"/>
    <s v="ROBOT"/>
    <m/>
    <s v="CRM-форма"/>
    <s v="ЦП. 1С и ИТС. Корппроекты - калькулятор затрат"/>
    <s v="Да"/>
    <s v="Багланова Антонина"/>
    <d v="2026-08-21T18:28:10"/>
    <s v="ROBOT_UT"/>
    <d v="2026-08-23T06:44:32"/>
    <m/>
    <m/>
    <m/>
    <m/>
    <m/>
    <m/>
    <m/>
    <n v="79588359007"/>
    <m/>
    <m/>
    <m/>
    <m/>
    <m/>
    <m/>
    <m/>
    <s v="79875435273@mail.ru"/>
    <m/>
    <m/>
    <m/>
    <m/>
    <m/>
    <m/>
    <m/>
    <m/>
    <m/>
    <m/>
    <m/>
    <m/>
    <m/>
    <m/>
    <m/>
    <s v="Павлово г"/>
    <d v="2026-08-21T00:00:00"/>
    <s v="Да"/>
    <m/>
    <s v="Нижегородская область - 5 час"/>
    <m/>
    <m/>
    <s v="Нет"/>
    <s v="0dc40398-ffe4-4a02-9433-7fb917889e42"/>
    <n v="258377"/>
    <m/>
    <s v="ООО &quot;МАКСИМУМ&quot; 5252046154#"/>
    <s v="Клиент"/>
    <s v="менее 50"/>
    <s v="ROBOT"/>
    <m/>
    <s v="Информационные технологии"/>
    <s v="0.00"/>
    <s v="Российский рубль"/>
    <m/>
    <s v="Багланова Антонина"/>
    <d v="2026-08-21T18:26:07"/>
    <s v="Соломатова Милена"/>
    <d v="2026-08-25T08:57:06"/>
    <m/>
    <m/>
    <m/>
    <m/>
    <m/>
    <m/>
    <m/>
    <m/>
    <m/>
    <m/>
    <m/>
    <m/>
    <m/>
    <m/>
    <m/>
    <s v="79875435273@mail.ru"/>
    <m/>
    <m/>
    <m/>
    <m/>
    <m/>
    <m/>
    <m/>
    <m/>
    <m/>
    <m/>
    <m/>
    <m/>
    <m/>
    <m/>
    <m/>
    <m/>
    <n v="0"/>
    <s v="79875435273@mail.ru"/>
    <d v="2020-11-11T00:00:00"/>
    <m/>
    <s v="32.99.9 Производство прочих изделий, не включенных в другие группировки"/>
    <m/>
    <s v="Нет"/>
    <m/>
    <m/>
    <s v="ООО МАКСИМУМ 5252046154"/>
    <s v="ПАВЛОВО"/>
    <n v="5252046154"/>
    <m/>
    <m/>
    <m/>
    <m/>
    <s v="79875435273@mail.ru"/>
    <m/>
    <m/>
    <s v="Свой контакт (Менеджер)"/>
    <m/>
    <s v="Коммерческие"/>
    <s v="ООО"/>
    <n v="128984"/>
    <s v="Нижегородская область - 5 час"/>
    <m/>
    <m/>
    <m/>
    <s v="Да, компания работает"/>
    <s v="[C]Созонтов Максим Леонидович"/>
    <m/>
    <m/>
    <m/>
    <s v="Нет"/>
    <s v="Производство. Прочее"/>
    <m/>
    <m/>
    <m/>
    <s v="8df42a0b-469b-4ea0-81b9-a053223d442d"/>
  </r>
  <r>
    <n v="319289"/>
    <s v="ЦП. 1С. Продажи"/>
    <s v="N"/>
    <s v="Y"/>
    <x v="8"/>
    <m/>
    <m/>
    <m/>
    <m/>
    <m/>
    <s v="Россинский Вадим"/>
    <m/>
    <s v="ООО &quot;КДП&quot; 3812165227#"/>
    <s v="Продажа"/>
    <s v="Звонок"/>
    <s v="Звонок поступил на номер: ЦП. ОД (78-23-03) (86)."/>
    <s v="0.00"/>
    <s v="Российский рубль"/>
    <s v="ООО &quot;КДП&quot; 3812165227#"/>
    <s v="Луговых Татьяна Валерьевна"/>
    <m/>
    <s v="нет"/>
    <d v="2026-08-21T16:20:23"/>
    <s v="Россинский Вадим"/>
    <d v="2026-08-21T16:21:14"/>
    <s v="ROBOT_M"/>
    <d v="2026-08-21T00:00:00"/>
    <d v="2026-08-28T00:00:00"/>
    <m/>
    <m/>
    <m/>
    <m/>
    <m/>
    <m/>
    <m/>
    <m/>
    <n v="15488"/>
    <d v="2026-08-21T16:21:11"/>
    <m/>
    <m/>
    <m/>
    <m/>
    <m/>
    <m/>
    <m/>
    <s v="Нет"/>
    <n v="1"/>
    <m/>
    <n v="79641025986"/>
    <m/>
    <s v="Г.П. ШЕЛЕХОВСКОЕ, Г. ШЕЛЕХОВ"/>
    <s v="ЦП. 1С и ИТС. Коммерция"/>
    <m/>
    <m/>
    <m/>
    <m/>
    <m/>
    <m/>
    <n v="0"/>
    <m/>
    <m/>
    <m/>
    <m/>
    <n v="0"/>
    <m/>
    <m/>
    <m/>
    <s v="ЦП. 1С. Коммерция"/>
    <m/>
    <m/>
    <m/>
    <m/>
    <m/>
    <m/>
    <m/>
    <m/>
    <m/>
    <m/>
    <m/>
    <s v="Коммерческие"/>
    <m/>
    <m/>
    <s v="Обычный"/>
    <m/>
    <m/>
    <m/>
    <m/>
    <m/>
    <n v="266235"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s v="Уточнить потребност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Уточнить потребности"/>
    <m/>
    <m/>
    <m/>
    <m/>
    <m/>
    <d v="2026-08-21T16:21:13"/>
    <d v="2026-08-21T16:21:22"/>
    <m/>
    <m/>
    <m/>
    <m/>
    <m/>
    <m/>
    <m/>
    <m/>
    <m/>
    <m/>
    <m/>
    <m/>
    <m/>
    <m/>
    <m/>
    <m/>
    <m/>
    <m/>
    <m/>
    <n v="205550"/>
    <m/>
    <m/>
    <s v="Татьяна"/>
    <s v="Луговых"/>
    <s v="Валерьевна"/>
    <m/>
    <m/>
    <m/>
    <s v="ROBOT"/>
    <s v="[Автор=Не авторизован][Редактор=БитриксКоробка]"/>
    <m/>
    <m/>
    <s v="Да"/>
    <s v="ROBOT_M"/>
    <d v="2021-07-10T00:19:41"/>
    <s v="ROBOT_UT"/>
    <d v="2026-08-23T06:44:30"/>
    <m/>
    <m/>
    <n v="79641025986"/>
    <m/>
    <m/>
    <m/>
    <m/>
    <m/>
    <m/>
    <m/>
    <m/>
    <m/>
    <m/>
    <m/>
    <m/>
    <s v="tvsereda@yandex.ru"/>
    <m/>
    <m/>
    <m/>
    <m/>
    <m/>
    <m/>
    <m/>
    <m/>
    <m/>
    <m/>
    <m/>
    <m/>
    <m/>
    <m/>
    <m/>
    <s v="Иркутск г"/>
    <d v="2020-10-23T00:00:00"/>
    <s v="Да"/>
    <m/>
    <s v="Иркутская область 0 часов"/>
    <m/>
    <m/>
    <s v="Нет"/>
    <s v="566470f1-65b1-11e6-9054-0026554f9a58"/>
    <n v="258367"/>
    <m/>
    <s v="ООО &quot;КДП&quot; 3812165227#"/>
    <s v="Клиент"/>
    <s v="менее 50"/>
    <s v="ROBOT"/>
    <m/>
    <s v="Информационные технологии"/>
    <s v="0.00"/>
    <s v="Российский рубль"/>
    <m/>
    <s v="Россинский Вадим"/>
    <d v="2026-08-21T16:19:57"/>
    <s v="ROBOT_M"/>
    <d v="2026-08-21T16:30: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d v="2025-02-07T00:00:00"/>
    <m/>
    <s v="10.51.9 Производство прочей молочной продукции"/>
    <m/>
    <s v="Нет"/>
    <m/>
    <m/>
    <s v="КДП, ИНН 3812165227 ООО"/>
    <s v="Г.П. ШЕЛЕХОВСКОЕ, Г. ШЕЛЕХОВ"/>
    <n v="3812165227"/>
    <m/>
    <m/>
    <m/>
    <m/>
    <m/>
    <m/>
    <m/>
    <s v="Свой контакт (Менеджер)"/>
    <m/>
    <s v="Коммерческие"/>
    <s v="ООО"/>
    <n v="128980"/>
    <s v="Иркутская область 0 часов"/>
    <m/>
    <m/>
    <m/>
    <s v="Нет"/>
    <m/>
    <m/>
    <m/>
    <m/>
    <s v="Нет"/>
    <s v="Производство. Пищевое производство"/>
    <m/>
    <m/>
    <m/>
    <m/>
  </r>
  <r>
    <n v="319235"/>
    <s v="ЦП. УЦ. Продажи"/>
    <s v="Y"/>
    <s v="N"/>
    <x v="7"/>
    <m/>
    <s v="Шкуренко Дарья"/>
    <m/>
    <m/>
    <m/>
    <s v="Федосеев Максим"/>
    <s v="ONE_C"/>
    <s v="1С-Отчётность. АНО ИРГСК &quot;ВЕРШИНА&quot; 3849066367#"/>
    <s v="Продажа"/>
    <s v="По рекомендации/ Почкование"/>
    <m/>
    <n v="7600"/>
    <s v="Российский рубль"/>
    <s v="АНО ИРГСК &quot;ВЕРШИНА&quot; 3849066367#"/>
    <s v="Ширяева Наталия Сергеевна"/>
    <m/>
    <s v="нет"/>
    <d v="2026-08-21T13:26:50"/>
    <s v="Федосеев Максим"/>
    <d v="2026-08-25T00:04:16"/>
    <s v="ROBOT_M"/>
    <d v="2026-08-21T00:00:00"/>
    <d v="2026-08-28T00:00:00"/>
    <s v="ПО &quot;Астрал-Отчетность&quot; (сроком на 1 год) 1 юр. лицо (&lt;&gt;)"/>
    <n v="7600"/>
    <n v="1"/>
    <m/>
    <m/>
    <m/>
    <m/>
    <m/>
    <n v="14748"/>
    <d v="2026-08-21T15:39:59"/>
    <m/>
    <m/>
    <m/>
    <m/>
    <m/>
    <m/>
    <s v="Договор-оферта"/>
    <s v="Нет"/>
    <n v="1"/>
    <m/>
    <m/>
    <s v="[CO]ООО &quot;НАВИГАТОР&quot; 3810340674#"/>
    <s v="Иркутск г"/>
    <s v="ЦП. 1С и ИТС. Коммерция"/>
    <d v="2026-10-02T00:00:00"/>
    <m/>
    <m/>
    <m/>
    <m/>
    <m/>
    <n v="0"/>
    <m/>
    <m/>
    <m/>
    <m/>
    <n v="8"/>
    <s v="/upload/crm/9c7/hk7nwr3nw89k3jlaecv6ov34h0s1lvrs/Договор-оферта.txt"/>
    <s v="ФРДТ-018633"/>
    <m/>
    <s v="ЦП. 1С. Коммерция"/>
    <m/>
    <m/>
    <m/>
    <m/>
    <d v="2026-08-21T00:00:00"/>
    <m/>
    <s v="/upload/main/741/m3o8numzn2wh37m28cwghf7aywnf2qsf.pdf"/>
    <s v="[CO]ООО НПФ &quot;ФОРУС&quot; 3812023430#"/>
    <s v="Сервисы"/>
    <s v="Почта России"/>
    <s v="Доступ в сервисе"/>
    <s v="Бюджетные"/>
    <m/>
    <m/>
    <s v="Обычный"/>
    <m/>
    <m/>
    <s v="#Загружено из Битрикс-Коробка#"/>
    <d v="2026-08-21T00:00:00"/>
    <m/>
    <m/>
    <s v="1С-Отч Конечным пользователям"/>
    <m/>
    <m/>
    <m/>
    <m/>
    <m/>
    <m/>
    <s v="Не было отгрузок"/>
    <m/>
    <m/>
    <m/>
    <m/>
    <s v="Нет"/>
    <m/>
    <m/>
    <m/>
    <m/>
    <m/>
    <m/>
    <m/>
    <m/>
    <m/>
    <m/>
    <s v="УЦ"/>
    <m/>
    <m/>
    <s v="Не нужно"/>
    <m/>
    <m/>
    <m/>
    <m/>
    <m/>
    <m/>
    <m/>
    <m/>
    <s v="1С-Отчётность"/>
    <s v="Не нужно УЛ"/>
    <s v="Оплаче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АН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Оплачено"/>
    <m/>
    <m/>
    <m/>
    <m/>
    <m/>
    <d v="2026-08-25T00:03:38"/>
    <d v="2026-08-28T14:06:21"/>
    <m/>
    <m/>
    <m/>
    <m/>
    <m/>
    <m/>
    <m/>
    <m/>
    <m/>
    <m/>
    <m/>
    <m/>
    <m/>
    <m/>
    <m/>
    <m/>
    <m/>
    <m/>
    <m/>
    <n v="174699"/>
    <m/>
    <m/>
    <s v="Наталия"/>
    <s v="Ширяева"/>
    <s v="Сергеевна"/>
    <d v="2001-01-01T00:00:00"/>
    <m/>
    <m/>
    <s v="ROBOT"/>
    <s v="#Загружен из ЕГРЮЛ# [Автор=Пасюк Юлия Леонидовна]"/>
    <m/>
    <m/>
    <s v="Да"/>
    <s v="ROBOT_M"/>
    <d v="2021-07-09T09:35:33"/>
    <s v="ROBOT"/>
    <d v="2026-09-01T15:03:07"/>
    <m/>
    <m/>
    <n v="79025664248"/>
    <m/>
    <m/>
    <m/>
    <m/>
    <m/>
    <m/>
    <m/>
    <m/>
    <m/>
    <m/>
    <m/>
    <m/>
    <s v="vershina.ski@gmail.com"/>
    <m/>
    <m/>
    <m/>
    <m/>
    <m/>
    <m/>
    <m/>
    <m/>
    <m/>
    <m/>
    <m/>
    <s v="imol|ank_chats_app24_max|68|private-128854795|25517, imol|ank_chats_app24_max|63|private-128854795|25517"/>
    <m/>
    <m/>
    <n v="25517"/>
    <s v="Иркутск г"/>
    <d v="2021-02-23T00:00:00"/>
    <s v="Да"/>
    <m/>
    <s v="Иркутская область 0 часов"/>
    <m/>
    <m/>
    <s v="Нет"/>
    <s v="4e9a6623-4f43-43ad-a622-830d89a0b741"/>
    <n v="127351"/>
    <m/>
    <s v="АНО ИРГСК &quot;ВЕРШИНА&quot; 3849066367#"/>
    <s v="Клиент. Группа компаний"/>
    <m/>
    <s v="ROBOT"/>
    <m/>
    <m/>
    <m/>
    <s v="Российский рубль"/>
    <m/>
    <s v="ROBOT_M"/>
    <d v="2021-07-07T12:01:38"/>
    <s v="ROBOT_UT"/>
    <d v="2026-09-02T17:24:00"/>
    <m/>
    <m/>
    <n v="79025664248"/>
    <m/>
    <m/>
    <m/>
    <m/>
    <m/>
    <m/>
    <m/>
    <m/>
    <m/>
    <m/>
    <m/>
    <m/>
    <s v="vershina.ski@gmail.com"/>
    <m/>
    <m/>
    <m/>
    <m/>
    <m/>
    <m/>
    <m/>
    <m/>
    <m/>
    <m/>
    <m/>
    <s v="imol|ank_chats_app24_max|63|private-128854795|25517"/>
    <m/>
    <m/>
    <n v="25517"/>
    <m/>
    <n v="0"/>
    <s v="vershina.ski@gmail.com"/>
    <d v="2017-10-09T00:00:00"/>
    <m/>
    <s v="85.41.1 Образование в области спорта и отдыха"/>
    <s v="[CO]ООО &quot;НАВИГАТОР&quot; 3810340674#"/>
    <s v="Нет"/>
    <d v="2020-01-31T00:00:00"/>
    <d v="2024-02-29T00:00:00"/>
    <s v="АНО ИРГСК &quot;ВЕРШИНА&quot;"/>
    <s v="Иркутск г"/>
    <n v="3849066367"/>
    <m/>
    <m/>
    <m/>
    <m/>
    <s v="vershina.ski@gmail.com"/>
    <m/>
    <m/>
    <m/>
    <m/>
    <s v="Бюджетные"/>
    <s v="АНО"/>
    <n v="80565"/>
    <s v="Иркутская область 0 часов"/>
    <m/>
    <m/>
    <m/>
    <m/>
    <m/>
    <m/>
    <m/>
    <m/>
    <s v="Нет"/>
    <s v="Образование"/>
    <m/>
    <m/>
    <m/>
    <s v="438cb11c-9a28-46d3-bcfc-74c6d19ac6c1"/>
  </r>
  <r>
    <n v="319204"/>
    <s v="ЦП. 1С. Продажи"/>
    <s v="Y"/>
    <s v="N"/>
    <x v="0"/>
    <m/>
    <m/>
    <m/>
    <m/>
    <m/>
    <s v="Соболев Максим"/>
    <s v="ONE_C"/>
    <s v="ООО &quot;НЕКТАР&quot; 3815015558# - 1С-ЭПД"/>
    <s v="Продажа"/>
    <s v="Свой контакт (Менеджер)"/>
    <m/>
    <n v="5000"/>
    <s v="Российский рубль"/>
    <s v="ООО &quot;НЕКТАР&quot; 3815015558#"/>
    <s v="Махмутянов Ренат"/>
    <m/>
    <s v="нет"/>
    <d v="2026-08-21T11:52:56"/>
    <s v="Соболев Максим"/>
    <d v="2026-09-01T13:42:23"/>
    <s v="ROBOT"/>
    <d v="2026-08-21T00:00:00"/>
    <d v="2026-08-28T00:00:00"/>
    <s v="1С-ЭДО. ЭПД-1000 на 12 месяцев"/>
    <n v="5000"/>
    <n v="1"/>
    <m/>
    <m/>
    <m/>
    <m/>
    <m/>
    <n v="5"/>
    <d v="2026-08-25T09:07:32"/>
    <m/>
    <m/>
    <m/>
    <m/>
    <m/>
    <m/>
    <s v="Договор-оферта"/>
    <s v="Нет"/>
    <n v="1"/>
    <m/>
    <m/>
    <s v="[CO]ООО &quot;ЕДИНСТВО&quot; 3823034113#"/>
    <s v="Тайшет г"/>
    <s v="ЦП. 1С и ИТС. Коммерция"/>
    <m/>
    <m/>
    <m/>
    <d v="2026-08-25T00:00:00"/>
    <d v="2027-08-24T00:00:00"/>
    <m/>
    <n v="0"/>
    <m/>
    <m/>
    <m/>
    <m/>
    <n v="9"/>
    <s v="/upload/crm/a43/0tfx1hmzferyidtppt3a805639gnvrlh/Договор-оферта.txt"/>
    <s v="ФРДТ-018666"/>
    <m/>
    <s v="ЦП. 1С. Коммерция"/>
    <m/>
    <m/>
    <m/>
    <m/>
    <d v="2026-08-24T00:00:00"/>
    <m/>
    <m/>
    <s v="[CO]ООО НПФ &quot;ФОРУС&quot; 3812023430#"/>
    <s v="Сервисы"/>
    <m/>
    <m/>
    <s v="Коммерческие"/>
    <m/>
    <m/>
    <s v="Обычный"/>
    <m/>
    <s v="Нет"/>
    <s v="#Загружено из Битрикс-Коробка#"/>
    <d v="2026-08-24T00:00:00"/>
    <m/>
    <m/>
    <s v="1С-ЭДО ЭПД"/>
    <m/>
    <m/>
    <n v="12"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-ЭПД"/>
    <s v="Контроль сделк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m/>
    <m/>
    <s v="Не было отгрузок"/>
    <m/>
    <s v="К оформлению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сделки"/>
    <m/>
    <m/>
    <m/>
    <m/>
    <m/>
    <d v="2026-09-01T13:42:12"/>
    <d v="2026-09-02T16:20:39"/>
    <s v="Завершен"/>
    <m/>
    <m/>
    <m/>
    <s v="Завершен"/>
    <m/>
    <m/>
    <m/>
    <m/>
    <m/>
    <m/>
    <m/>
    <m/>
    <m/>
    <m/>
    <m/>
    <m/>
    <m/>
    <m/>
    <n v="319120"/>
    <m/>
    <m/>
    <s v="Ренат"/>
    <s v="Махмутянов"/>
    <m/>
    <m/>
    <m/>
    <m/>
    <s v="ROBOT"/>
    <s v="[p] . [/p]"/>
    <m/>
    <m/>
    <s v="Да"/>
    <s v="ROBOT"/>
    <d v="2023-11-20T16:25:46"/>
    <s v="ROBOT"/>
    <d v="2026-09-02T16:26:00"/>
    <m/>
    <n v="73956322093"/>
    <n v="79086458991"/>
    <m/>
    <m/>
    <m/>
    <m/>
    <n v="79501201862"/>
    <m/>
    <m/>
    <m/>
    <m/>
    <m/>
    <m/>
    <m/>
    <s v="trud-taishet@bk.ru, progress2066@mail.ru"/>
    <m/>
    <m/>
    <s v="rinatm69@mail.ru"/>
    <m/>
    <m/>
    <m/>
    <m/>
    <m/>
    <m/>
    <m/>
    <m/>
    <m/>
    <m/>
    <m/>
    <m/>
    <s v="Тайшет г"/>
    <d v="2023-11-20T00:00:00"/>
    <s v="Да"/>
    <m/>
    <s v="Иркутская область 0 часов"/>
    <m/>
    <m/>
    <s v="Нет"/>
    <s v="26877d7f-d2af-4577-b6c1-762a91cc4acb"/>
    <n v="124860"/>
    <m/>
    <s v="ООО &quot;НЕКТАР&quot; 3815015558#"/>
    <s v="Клиент. Группа компаний"/>
    <m/>
    <s v="ROBOT"/>
    <m/>
    <m/>
    <m/>
    <s v="Российский рубль"/>
    <m/>
    <s v="ROBOT_M"/>
    <d v="2021-07-07T10:06:33"/>
    <s v="ROBOT_UT"/>
    <d v="2026-09-01T13:42:23"/>
    <m/>
    <m/>
    <n v="79500756158"/>
    <m/>
    <m/>
    <m/>
    <m/>
    <m/>
    <m/>
    <m/>
    <m/>
    <m/>
    <m/>
    <m/>
    <m/>
    <s v="edinstvo17@mail.ru"/>
    <m/>
    <m/>
    <m/>
    <m/>
    <m/>
    <m/>
    <m/>
    <m/>
    <m/>
    <m/>
    <m/>
    <m/>
    <m/>
    <m/>
    <m/>
    <m/>
    <n v="0"/>
    <m/>
    <d v="2010-04-08T00:00:00"/>
    <m/>
    <s v="02.20 Лесозаготовки"/>
    <s v="[CO]ООО &quot;ЕДИНСТВО&quot; 3823034113#"/>
    <s v="Нет"/>
    <d v="2014-02-04T00:00:00"/>
    <d v="2024-02-29T00:00:00"/>
    <s v="Нектар, ООО"/>
    <s v="Тайшет г"/>
    <n v="3815015558"/>
    <m/>
    <m/>
    <m/>
    <m/>
    <s v="edinstvo17@mail.ru"/>
    <m/>
    <m/>
    <m/>
    <m/>
    <s v="Коммерческие"/>
    <s v="ООО"/>
    <n v="32723"/>
    <s v="Иркутская область 0 часов"/>
    <m/>
    <m/>
    <m/>
    <m/>
    <m/>
    <m/>
    <m/>
    <m/>
    <s v="Нет"/>
    <s v="Производство. Лесхоз и деревообработка"/>
    <m/>
    <m/>
    <m/>
    <s v="c14af612-8c81-11e3-b125-0026554f9a58"/>
  </r>
  <r>
    <n v="319192"/>
    <s v="ЦП. 1С. Продажи"/>
    <s v="Y"/>
    <s v="N"/>
    <x v="0"/>
    <m/>
    <m/>
    <m/>
    <m/>
    <m/>
    <s v="Соболев Максим"/>
    <s v="ONE_C"/>
    <s v="ООО &quot;ГУКЕНХАЙМЕР-МС&quot; 3849051434# - 1С-ЭПД"/>
    <s v="Продажа"/>
    <s v="Свой контакт (Менеджер)"/>
    <m/>
    <n v="25500"/>
    <s v="Российский рубль"/>
    <s v="ООО &quot;ГУКЕНХАЙМЕР-МС&quot; 3849051434#"/>
    <s v="Евстигнеева Светлана Валентиновна"/>
    <m/>
    <s v="нет"/>
    <d v="2026-08-21T11:18:52"/>
    <s v="Соболев Максим"/>
    <d v="2026-08-31T17:10:45"/>
    <s v="ROBOT"/>
    <d v="2026-08-21T00:00:00"/>
    <d v="2026-08-24T00:00:00"/>
    <s v="1С-ЭДО годовой. 3000"/>
    <n v="25500"/>
    <n v="1"/>
    <m/>
    <m/>
    <m/>
    <m/>
    <m/>
    <n v="5"/>
    <d v="2026-08-24T12:00:32"/>
    <m/>
    <m/>
    <m/>
    <m/>
    <m/>
    <m/>
    <s v="Договор-оферта"/>
    <s v="Нет"/>
    <n v="1"/>
    <m/>
    <m/>
    <m/>
    <s v="Иркутск г"/>
    <s v="ЦП. 1С и ИТС. Коммерция"/>
    <m/>
    <m/>
    <m/>
    <m/>
    <m/>
    <m/>
    <n v="0"/>
    <m/>
    <m/>
    <m/>
    <m/>
    <n v="1"/>
    <s v="/upload/crm/7f3/pz22a9mzzzrukuf47iljis2rslui24ix/Договор-оферта.txt"/>
    <s v="ФРДТ-018617"/>
    <m/>
    <s v="ЦП. 1С. Коммерция"/>
    <m/>
    <m/>
    <m/>
    <m/>
    <d v="2026-08-21T00:00:00"/>
    <m/>
    <m/>
    <s v="[CO]ООО НПФ &quot;ФОРУС&quot; 3812023430#"/>
    <s v="Сервисы"/>
    <m/>
    <m/>
    <s v="Коммерческие"/>
    <m/>
    <m/>
    <s v="Обычный"/>
    <m/>
    <m/>
    <s v="#Загружено из Битрикс-Коробка#"/>
    <d v="2026-08-21T00:00:00"/>
    <m/>
    <m/>
    <s v="1С-ЭДО Предоплаченные ТП"/>
    <m/>
    <m/>
    <m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-ЭПД"/>
    <s v="Контроль сделк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сделки"/>
    <m/>
    <m/>
    <m/>
    <m/>
    <m/>
    <d v="2026-08-31T16:26:58"/>
    <d v="2026-08-31T16:34:41"/>
    <s v="Завершен"/>
    <m/>
    <m/>
    <m/>
    <s v="Завершен"/>
    <m/>
    <m/>
    <m/>
    <m/>
    <m/>
    <m/>
    <m/>
    <m/>
    <m/>
    <m/>
    <m/>
    <m/>
    <m/>
    <m/>
    <n v="203874"/>
    <m/>
    <m/>
    <s v="Светлана"/>
    <s v="Евстигнеева"/>
    <s v="Валентиновна"/>
    <m/>
    <m/>
    <m/>
    <s v="ROBOT"/>
    <s v="."/>
    <m/>
    <m/>
    <s v="Да"/>
    <s v="ROBOT_M"/>
    <d v="2021-07-09T20:22:52"/>
    <s v="ROBOT_M"/>
    <d v="2026-09-01T09:23:40"/>
    <m/>
    <n v="73952503644"/>
    <n v="79148995743"/>
    <m/>
    <m/>
    <m/>
    <m/>
    <m/>
    <m/>
    <m/>
    <m/>
    <m/>
    <m/>
    <m/>
    <m/>
    <s v="buh@g-ms.ru, buh@ms.center.ru"/>
    <m/>
    <m/>
    <m/>
    <m/>
    <m/>
    <m/>
    <m/>
    <m/>
    <m/>
    <m/>
    <m/>
    <m/>
    <m/>
    <m/>
    <m/>
    <s v="Иркутск г"/>
    <d v="2020-03-30T00:00:00"/>
    <s v="Да"/>
    <m/>
    <s v="Иркутская область 0 часов"/>
    <m/>
    <m/>
    <s v="Нет"/>
    <s v="b78b1e11-5771-11e5-a799-0026554f9a58"/>
    <n v="120608"/>
    <m/>
    <s v="ООО &quot;ГУКЕНХАЙМЕР-МС&quot; 3849051434#"/>
    <s v="Клиент"/>
    <m/>
    <s v="ROBOT"/>
    <m/>
    <m/>
    <m/>
    <s v="Российский рубль"/>
    <s v="документы отправлять по диадоку/ ЭДО НЕ ПОДКЛЮЧИТЬ: Отчтеность СБИС, ключи на локалке, 1С на сервере//КБ."/>
    <s v="ROBOT_M"/>
    <d v="2021-07-07T06:52:47"/>
    <s v="ROBOT_UT"/>
    <d v="2026-09-01T12:49:14"/>
    <m/>
    <n v="73952503644"/>
    <n v="79148995743"/>
    <m/>
    <m/>
    <m/>
    <m/>
    <m/>
    <m/>
    <m/>
    <m/>
    <m/>
    <m/>
    <m/>
    <m/>
    <s v="buh@g-ms.ru"/>
    <m/>
    <s v="buh@g-ms.ru"/>
    <m/>
    <m/>
    <m/>
    <m/>
    <m/>
    <m/>
    <m/>
    <m/>
    <m/>
    <m/>
    <m/>
    <m/>
    <m/>
    <m/>
    <n v="0"/>
    <s v="buh@g-ms.ru"/>
    <d v="2015-02-11T00:00:00"/>
    <m/>
    <s v="46.46 Торговля оптовая фармацевтической продукцией"/>
    <m/>
    <s v="Нет"/>
    <d v="2015-09-16T00:00:00"/>
    <d v="2024-08-30T00:00:00"/>
    <s v="ГУКЕНХАЙМЕР-МЕДИЦИНСКИЕ СИСТЕМЫ, ООО"/>
    <s v="Иркутск г"/>
    <n v="3849051434"/>
    <m/>
    <m/>
    <m/>
    <m/>
    <s v="buh@g-ms.ru"/>
    <m/>
    <m/>
    <m/>
    <m/>
    <s v="Коммерческие"/>
    <s v="ООО"/>
    <n v="37866"/>
    <s v="Иркутская область 0 часов"/>
    <m/>
    <m/>
    <m/>
    <s v="Да, компания работает"/>
    <s v="[C]Евстигнеева Светлана Валентиновна"/>
    <m/>
    <m/>
    <m/>
    <s v="Нет"/>
    <s v="Торговля. Лекарства и медицинские товары"/>
    <m/>
    <m/>
    <m/>
    <s v="b78b1e0f-5771-11e5-a799-0026554f9a58"/>
  </r>
  <r>
    <n v="319191"/>
    <s v="ЦП. 1С. Продажи"/>
    <s v="Y"/>
    <s v="N"/>
    <x v="0"/>
    <m/>
    <s v="Федосеева Юлия Соболев Максим"/>
    <m/>
    <m/>
    <m/>
    <s v="Соболев Максим"/>
    <s v="ONE_C"/>
    <s v="ООО &quot;ГУКЕНХАЙМЕР-МС&quot; 3849051434# - 1С-ЭПД"/>
    <s v="Продажа"/>
    <s v="Свой контакт (Менеджер)"/>
    <m/>
    <n v="14000"/>
    <s v="Российский рубль"/>
    <s v="ООО &quot;ГУКЕНХАЙМЕР-МС&quot; 3849051434#"/>
    <s v="Евстигнеева Светлана Валентиновна"/>
    <m/>
    <s v="нет"/>
    <d v="2026-08-21T11:16:08"/>
    <s v="Соболев Максим"/>
    <d v="2026-08-31T16:41:07"/>
    <m/>
    <d v="2026-08-21T00:00:00"/>
    <d v="2026-08-24T00:00:00"/>
    <s v="1С-ЭДО. ЭПД-3000 на 12 месяцев"/>
    <n v="14000"/>
    <n v="1"/>
    <m/>
    <m/>
    <m/>
    <m/>
    <m/>
    <n v="5"/>
    <d v="2026-08-24T12:00:41"/>
    <m/>
    <m/>
    <m/>
    <m/>
    <m/>
    <m/>
    <s v="Договор-оферта"/>
    <s v="Нет"/>
    <n v="1"/>
    <m/>
    <m/>
    <m/>
    <s v="Иркутск г"/>
    <s v="ЦП. 1С и ИТС. Коммерция"/>
    <m/>
    <m/>
    <m/>
    <d v="2026-08-21T00:00:00"/>
    <d v="2027-08-20T00:00:00"/>
    <m/>
    <n v="0"/>
    <m/>
    <m/>
    <m/>
    <m/>
    <n v="4"/>
    <s v="/upload/crm/7ac/8pgk96usu5j4rfdaarn5che89suytxv0/Договор-оферта.txt"/>
    <s v="ФРДТ-018615"/>
    <m/>
    <s v="ЦП. 1С. Коммерция"/>
    <m/>
    <m/>
    <m/>
    <m/>
    <d v="2026-08-21T00:00:00"/>
    <m/>
    <m/>
    <s v="[CO]ООО НПФ &quot;ФОРУС&quot; 3812023430#"/>
    <s v="Сервисы"/>
    <m/>
    <m/>
    <s v="Коммерческие"/>
    <m/>
    <m/>
    <s v="Обычный"/>
    <m/>
    <s v="Нет"/>
    <s v="#Загружено из Битрикс-Коробка#"/>
    <d v="2026-08-21T00:00:00"/>
    <m/>
    <m/>
    <s v="1С-ЭДО Предоплаченные ТП"/>
    <m/>
    <m/>
    <n v="12"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-ЭПД"/>
    <s v="Контроль сделк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m/>
    <m/>
    <s v="Не было отгрузок"/>
    <m/>
    <s v="Оформлена подписка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сделки"/>
    <m/>
    <m/>
    <m/>
    <m/>
    <m/>
    <d v="2026-08-31T16:26:58"/>
    <d v="2026-08-31T16:34:41"/>
    <s v="Завершен"/>
    <m/>
    <m/>
    <m/>
    <m/>
    <m/>
    <m/>
    <m/>
    <m/>
    <m/>
    <m/>
    <m/>
    <m/>
    <m/>
    <m/>
    <m/>
    <m/>
    <m/>
    <m/>
    <n v="203874"/>
    <m/>
    <m/>
    <s v="Светлана"/>
    <s v="Евстигнеева"/>
    <s v="Валентиновна"/>
    <m/>
    <m/>
    <m/>
    <s v="ROBOT"/>
    <s v="."/>
    <m/>
    <m/>
    <s v="Да"/>
    <s v="ROBOT_M"/>
    <d v="2021-07-09T20:22:52"/>
    <s v="ROBOT_M"/>
    <d v="2026-09-01T09:23:40"/>
    <m/>
    <n v="73952503644"/>
    <n v="79148995743"/>
    <m/>
    <m/>
    <m/>
    <m/>
    <m/>
    <m/>
    <m/>
    <m/>
    <m/>
    <m/>
    <m/>
    <m/>
    <s v="buh@g-ms.ru, buh@ms.center.ru"/>
    <m/>
    <m/>
    <m/>
    <m/>
    <m/>
    <m/>
    <m/>
    <m/>
    <m/>
    <m/>
    <m/>
    <m/>
    <m/>
    <m/>
    <m/>
    <s v="Иркутск г"/>
    <d v="2020-03-30T00:00:00"/>
    <s v="Да"/>
    <m/>
    <s v="Иркутская область 0 часов"/>
    <m/>
    <m/>
    <s v="Нет"/>
    <s v="b78b1e11-5771-11e5-a799-0026554f9a58"/>
    <n v="120608"/>
    <m/>
    <s v="ООО &quot;ГУКЕНХАЙМЕР-МС&quot; 3849051434#"/>
    <s v="Клиент"/>
    <m/>
    <s v="ROBOT"/>
    <m/>
    <m/>
    <m/>
    <s v="Российский рубль"/>
    <s v="документы отправлять по диадоку/ ЭДО НЕ ПОДКЛЮЧИТЬ: Отчтеность СБИС, ключи на локалке, 1С на сервере//КБ."/>
    <s v="ROBOT_M"/>
    <d v="2021-07-07T06:52:47"/>
    <s v="ROBOT_UT"/>
    <d v="2026-09-01T12:49:14"/>
    <m/>
    <n v="73952503644"/>
    <n v="79148995743"/>
    <m/>
    <m/>
    <m/>
    <m/>
    <m/>
    <m/>
    <m/>
    <m/>
    <m/>
    <m/>
    <m/>
    <m/>
    <s v="buh@g-ms.ru"/>
    <m/>
    <s v="buh@g-ms.ru"/>
    <m/>
    <m/>
    <m/>
    <m/>
    <m/>
    <m/>
    <m/>
    <m/>
    <m/>
    <m/>
    <m/>
    <m/>
    <m/>
    <m/>
    <n v="0"/>
    <s v="buh@g-ms.ru"/>
    <d v="2015-02-11T00:00:00"/>
    <m/>
    <s v="46.46 Торговля оптовая фармацевтической продукцией"/>
    <m/>
    <s v="Нет"/>
    <d v="2015-09-16T00:00:00"/>
    <d v="2024-08-30T00:00:00"/>
    <s v="ГУКЕНХАЙМЕР-МЕДИЦИНСКИЕ СИСТЕМЫ, ООО"/>
    <s v="Иркутск г"/>
    <n v="3849051434"/>
    <m/>
    <m/>
    <m/>
    <m/>
    <s v="buh@g-ms.ru"/>
    <m/>
    <m/>
    <m/>
    <m/>
    <s v="Коммерческие"/>
    <s v="ООО"/>
    <n v="37866"/>
    <s v="Иркутская область 0 часов"/>
    <m/>
    <m/>
    <m/>
    <s v="Да, компания работает"/>
    <s v="[C]Евстигнеева Светлана Валентиновна"/>
    <m/>
    <m/>
    <m/>
    <s v="Нет"/>
    <s v="Торговля. Лекарства и медицинские товары"/>
    <m/>
    <m/>
    <m/>
    <s v="b78b1e0f-5771-11e5-a799-0026554f9a58"/>
  </r>
  <r>
    <n v="319171"/>
    <s v="ЦП. 1С. Продажи"/>
    <s v="Y"/>
    <s v="N"/>
    <x v="8"/>
    <m/>
    <m/>
    <m/>
    <m/>
    <m/>
    <s v="Федорова Анастасия"/>
    <m/>
    <s v="ИП ИВАНУС ИВАН ПЕТРОВИЧ 272327227317#"/>
    <s v="Продажа"/>
    <s v="Звонок"/>
    <s v="Списоск по Эпд от Калуги Астрал"/>
    <s v="0.00"/>
    <s v="Российский рубль"/>
    <s v="ИП ИВАНУС ИВАН ПЕТРОВИЧ 272327227317#"/>
    <m/>
    <m/>
    <s v="нет"/>
    <d v="2026-08-21T10:26:03"/>
    <s v="Шкаруба Кристина"/>
    <d v="2026-08-21T16:13:54"/>
    <s v="ROBOT_M"/>
    <d v="2026-08-21T00:00:00"/>
    <d v="2026-08-28T00:00:00"/>
    <m/>
    <m/>
    <m/>
    <s v="[p] пропущенный по звонку от тебя [/p]"/>
    <m/>
    <m/>
    <m/>
    <m/>
    <n v="23689"/>
    <d v="2026-08-21T16:13:52"/>
    <m/>
    <m/>
    <m/>
    <m/>
    <m/>
    <m/>
    <m/>
    <s v="Нет"/>
    <n v="1"/>
    <m/>
    <n v="79141991411"/>
    <m/>
    <s v="ГОРОД Хабаровск"/>
    <s v="ЦП. 1С и ИТС. Коммерция"/>
    <m/>
    <m/>
    <m/>
    <m/>
    <m/>
    <m/>
    <n v="0"/>
    <m/>
    <s v="[p] пропущенный по звонку от тебя [/p]"/>
    <m/>
    <m/>
    <n v="0"/>
    <m/>
    <m/>
    <m/>
    <s v="ЦП. 1С. Коммерция"/>
    <m/>
    <m/>
    <m/>
    <m/>
    <m/>
    <m/>
    <m/>
    <m/>
    <m/>
    <m/>
    <m/>
    <s v="Коммерческие"/>
    <m/>
    <m/>
    <s v="Обычный"/>
    <m/>
    <m/>
    <m/>
    <m/>
    <m/>
    <n v="266104"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s v="Уточнить потребност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Уточнить потребности"/>
    <m/>
    <m/>
    <m/>
    <m/>
    <m/>
    <d v="2026-08-21T16:13:54"/>
    <d v="2026-08-21T10:56: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8610"/>
    <m/>
    <s v="ИП ИВАНУС ИВАН ПЕТРОВИЧ 272327227317#"/>
    <s v="Клиент"/>
    <s v="менее 50"/>
    <s v="ROBOT"/>
    <m/>
    <s v="Информационные технологии"/>
    <m/>
    <s v="Российский рубль"/>
    <m/>
    <s v="Кизилова Елена"/>
    <d v="2024-10-24T13:21:32"/>
    <s v="ROBOT_UT"/>
    <d v="2026-08-21T16:15:42"/>
    <m/>
    <m/>
    <n v="79141991411"/>
    <m/>
    <m/>
    <m/>
    <m/>
    <m/>
    <m/>
    <m/>
    <m/>
    <m/>
    <m/>
    <m/>
    <m/>
    <s v="svetlanav678@gmail.com"/>
    <m/>
    <m/>
    <m/>
    <m/>
    <m/>
    <m/>
    <m/>
    <m/>
    <m/>
    <m/>
    <m/>
    <m/>
    <m/>
    <m/>
    <m/>
    <m/>
    <n v="0"/>
    <m/>
    <m/>
    <m/>
    <s v="49.41 Деятельность автомобильного грузового транспорта"/>
    <m/>
    <s v="Нет"/>
    <d v="2024-10-29T00:00:00"/>
    <d v="2024-10-29T00:00:00"/>
    <s v="ИП Иванус Иван Петрович"/>
    <s v="ГОРОД Хабаровск"/>
    <n v="272327227317"/>
    <m/>
    <m/>
    <m/>
    <m/>
    <m/>
    <m/>
    <m/>
    <s v="Свой контакт (Менеджер)"/>
    <m/>
    <s v="Коммерческие"/>
    <s v="ИП"/>
    <n v="109193"/>
    <s v="Хабаровский край +2 часа"/>
    <m/>
    <m/>
    <m/>
    <s v="Нет"/>
    <m/>
    <m/>
    <m/>
    <m/>
    <s v="Нет"/>
    <s v="Услуги. Перевозки, логистика, склад"/>
    <m/>
    <m/>
    <m/>
    <s v="de68888d-89c2-465d-8597-f580cb77943b"/>
  </r>
  <r>
    <n v="319130"/>
    <s v="ЦП. ИБ"/>
    <s v="Y"/>
    <s v="N"/>
    <x v="12"/>
    <m/>
    <m/>
    <m/>
    <m/>
    <m/>
    <s v="Соболев Максим"/>
    <s v="ONE_C"/>
    <s v="ООО&quot;БСК&quot; 3804111210# 1С Программы и лицензии"/>
    <s v="Регулярное продление"/>
    <s v="Регулярная сделка"/>
    <m/>
    <n v="59000"/>
    <s v="Российский рубль"/>
    <s v="ООО&quot;БСК&quot; 3804111210#"/>
    <s v="Лазуткина Ольга Александровна"/>
    <m/>
    <s v="нет"/>
    <d v="2026-08-21T00:04:32"/>
    <m/>
    <d v="2026-08-21T08:22:08"/>
    <s v="ROBOT_M"/>
    <d v="2026-08-21T00:00:00"/>
    <d v="2022-09-27T00:00:00"/>
    <s v="Kaspersky Endpoint Security для бизнеса – Стандартный Russian Edition. 20-24 Node 2 year Renewal License"/>
    <n v="2950"/>
    <n v="20"/>
    <m/>
    <m/>
    <m/>
    <m/>
    <m/>
    <n v="508"/>
    <d v="2026-08-21T08:22:07"/>
    <m/>
    <m/>
    <m/>
    <m/>
    <m/>
    <m/>
    <s v="Договор-оферта"/>
    <s v="Нет"/>
    <n v="1"/>
    <m/>
    <m/>
    <m/>
    <s v="Братск г, Центральный жилрайон"/>
    <s v="ЦП. 1С и ИТС. Коммерция"/>
    <m/>
    <m/>
    <m/>
    <m/>
    <m/>
    <m/>
    <n v="0"/>
    <m/>
    <m/>
    <m/>
    <m/>
    <n v="7"/>
    <m/>
    <s v="ФРДТ-018578"/>
    <m/>
    <s v="ЦП. 1С. Коммерция"/>
    <m/>
    <m/>
    <m/>
    <s v="Через ДиаДок"/>
    <d v="2026-08-21T00:00:00"/>
    <s v="Не нужно"/>
    <m/>
    <s v="[CO]ООО НПФ &quot;ФОРУС&quot; 3812023430#"/>
    <m/>
    <m/>
    <m/>
    <s v="Коммерческие"/>
    <m/>
    <m/>
    <s v="Обычный"/>
    <m/>
    <m/>
    <s v="#Загружено из Битрикс-Коробка#"/>
    <d v="2024-09-25T00:00:00"/>
    <m/>
    <m/>
    <s v="Лицензии Open Space Security+SOHO ЛК"/>
    <m/>
    <m/>
    <m/>
    <m/>
    <m/>
    <m/>
    <m/>
    <m/>
    <m/>
    <m/>
    <m/>
    <s v="Нет"/>
    <m/>
    <m/>
    <m/>
    <m/>
    <m/>
    <m/>
    <m/>
    <m/>
    <m/>
    <m/>
    <s v="1С Программы и лицензии"/>
    <m/>
    <m/>
    <s v="Не нужно"/>
    <m/>
    <m/>
    <m/>
    <s v="Отправить счет/договор"/>
    <m/>
    <m/>
    <m/>
    <m/>
    <m/>
    <m/>
    <m/>
    <m/>
    <m/>
    <m/>
    <m/>
    <m/>
    <m/>
    <m/>
    <m/>
    <m/>
    <m/>
    <m/>
    <m/>
    <n v="0"/>
    <m/>
    <m/>
    <s v="Антивирусы (эл.лицензии)"/>
    <s v="Обсуждение сделки"/>
    <m/>
    <m/>
    <m/>
    <m/>
    <m/>
    <m/>
    <m/>
    <m/>
    <m/>
    <m/>
    <m/>
    <m/>
    <m/>
    <s v="Нет"/>
    <s v="Нет"/>
    <m/>
    <m/>
    <m/>
    <m/>
    <s v="Нет"/>
    <m/>
    <m/>
    <m/>
    <m/>
    <m/>
    <m/>
    <m/>
    <m/>
    <m/>
    <m/>
    <s v="Да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Обсуждение сделки"/>
    <m/>
    <m/>
    <m/>
    <m/>
    <m/>
    <d v="2026-08-21T00:04:32"/>
    <d v="2026-08-25T10:29:35"/>
    <m/>
    <m/>
    <m/>
    <m/>
    <m/>
    <m/>
    <m/>
    <m/>
    <m/>
    <m/>
    <m/>
    <m/>
    <m/>
    <m/>
    <m/>
    <m/>
    <m/>
    <m/>
    <m/>
    <n v="319094"/>
    <m/>
    <m/>
    <s v="Ольга"/>
    <s v="Лазуткина"/>
    <s v="Александровна"/>
    <m/>
    <s v="Бухгалтер"/>
    <s v="Клиенты"/>
    <s v="ROBOT"/>
    <s v="[p] &amp;#91;Автор=WEBITIL&amp;#93; Лазуткина Ольга Александровна (гл.бух) Александровна&amp;#91;Редактор=БитриксКоробка&amp;#93; [/p]"/>
    <s v="Звонок"/>
    <s v="Звонок поступил на номер: РТ 305-305."/>
    <s v="Да"/>
    <s v="ROBOT"/>
    <d v="2023-11-20T16:22:48"/>
    <s v="ROBOT"/>
    <d v="2026-09-02T14:52:41"/>
    <m/>
    <m/>
    <n v="158176953043"/>
    <m/>
    <m/>
    <m/>
    <m/>
    <m/>
    <m/>
    <m/>
    <m/>
    <m/>
    <m/>
    <m/>
    <m/>
    <s v="stofsib@mail.ru"/>
    <m/>
    <m/>
    <m/>
    <m/>
    <m/>
    <m/>
    <m/>
    <m/>
    <m/>
    <m/>
    <m/>
    <m/>
    <m/>
    <m/>
    <m/>
    <s v="нас. пункт Братск г, Центральный ж/р"/>
    <d v="2023-11-20T00:00:00"/>
    <s v="Да"/>
    <m/>
    <s v="Иркутская область 0 часов"/>
    <s v="https://www.forus.ru/about/kontakty-bratsk/"/>
    <m/>
    <s v="Нет"/>
    <s v="07c6b324-8c5f-45de-a0b7-03ba05f07af4"/>
    <n v="140808"/>
    <m/>
    <s v="ООО&quot;БСК&quot; 3804111210#"/>
    <s v="Клиент"/>
    <m/>
    <s v="ROBOT"/>
    <m/>
    <m/>
    <m/>
    <s v="Российский рубль"/>
    <s v="."/>
    <s v="ROBOT_M"/>
    <d v="2021-07-23T11:48:44"/>
    <s v="ROBOT_M"/>
    <d v="2026-09-01T11:39:31"/>
    <m/>
    <n v="221860395336"/>
    <m/>
    <m/>
    <m/>
    <m/>
    <m/>
    <m/>
    <m/>
    <m/>
    <m/>
    <m/>
    <m/>
    <m/>
    <m/>
    <s v="bsk-bratsk@mail.ru"/>
    <m/>
    <s v="bsk-bratsk@mail.ru"/>
    <m/>
    <m/>
    <m/>
    <m/>
    <m/>
    <m/>
    <m/>
    <m/>
    <m/>
    <m/>
    <m/>
    <m/>
    <m/>
    <m/>
    <n v="0"/>
    <s v="bsk-bratsk@mail.ru"/>
    <d v="2017-08-08T00:00:00"/>
    <m/>
    <s v="42.11 Строительство автомобильных дорог и автомагистралей"/>
    <m/>
    <s v="Нет"/>
    <d v="2018-01-11T00:00:00"/>
    <d v="2025-02-28T00:00:00"/>
    <s v="БСК (Братск) ООО"/>
    <s v="Братск г, Центральный жилрайон"/>
    <n v="3804111210"/>
    <m/>
    <m/>
    <m/>
    <m/>
    <m/>
    <m/>
    <m/>
    <m/>
    <m/>
    <s v="Коммерческие"/>
    <s v="ООО"/>
    <n v="46168"/>
    <s v="Иркутская область 0 часов"/>
    <m/>
    <m/>
    <m/>
    <s v="Да, компания работает"/>
    <s v="[C]Мхитарян Роберт Владимирович"/>
    <m/>
    <m/>
    <m/>
    <s v="Нет"/>
    <s v="Строительство"/>
    <m/>
    <m/>
    <m/>
    <s v="6e312d7f-f675-11e7-8e42-0026554f9a58"/>
  </r>
  <r>
    <n v="319113"/>
    <s v="ЦП. УЦ. Продажи"/>
    <s v="N"/>
    <s v="N"/>
    <x v="13"/>
    <m/>
    <s v="Шкуренко Дарья"/>
    <m/>
    <m/>
    <m/>
    <s v="Россинский Вадим"/>
    <s v="ONE_C"/>
    <s v="[Связь] - ООО &quot;НК-ИМПОРТ&quot; 3849101572# - 1С Программы и лицензии"/>
    <s v="Продажа"/>
    <s v="Звонок"/>
    <m/>
    <n v="2100"/>
    <s v="Российский рубль"/>
    <s v="ИП Протасова Галина Владимировна 381913860818#"/>
    <s v="Толстова Татьяна Анатольевна"/>
    <m/>
    <s v="нет"/>
    <d v="2026-08-20T17:21:22"/>
    <s v="Россинский Вадим"/>
    <d v="2026-08-28T17:36:02"/>
    <s v="ROBOT_M"/>
    <d v="2026-08-20T00:00:00"/>
    <d v="2026-08-27T00:00:00"/>
    <s v="ПО &quot;Астрал-Отчетность&quot; (сроком на 1 год) для группы ИП от 3 до 5 (&lt;&gt;)"/>
    <n v="2100"/>
    <n v="1"/>
    <s v="##Родительская сделка 316107 ##"/>
    <m/>
    <m/>
    <m/>
    <m/>
    <n v="15488"/>
    <d v="2026-08-28T14:56:59"/>
    <m/>
    <m/>
    <m/>
    <m/>
    <m/>
    <m/>
    <s v="Договор-оферта"/>
    <s v="Нет"/>
    <n v="2"/>
    <m/>
    <m/>
    <m/>
    <m/>
    <s v="ЦП. 1С и ИТС. Коммерция"/>
    <d v="2026-10-01T00:00:00"/>
    <m/>
    <m/>
    <m/>
    <m/>
    <m/>
    <n v="0"/>
    <m/>
    <m/>
    <m/>
    <m/>
    <n v="1"/>
    <s v="/upload/crm/89a/fbsnox5pqahwke0yfdwmwj8jek8ob8yt/Договор-оферта.txt"/>
    <s v="ФРДТ-018569"/>
    <s v="[D]ООО &quot;НК-ИМПОРТ&quot; 3849101572# - 1С Программы и лицензии"/>
    <s v="ЦП. 1С. Коммерция"/>
    <m/>
    <m/>
    <m/>
    <m/>
    <d v="2026-08-20T00:00:00"/>
    <m/>
    <m/>
    <s v="[CO]ООО НПФ &quot;ФОРУС&quot; 3812023430#"/>
    <s v="Сервисы"/>
    <s v="Почта России"/>
    <s v="Доступ в сервисе"/>
    <m/>
    <m/>
    <m/>
    <s v="Обычный"/>
    <m/>
    <m/>
    <s v="#Загружено из Битрикс-Коробка#"/>
    <d v="2026-08-25T00:00:00"/>
    <m/>
    <m/>
    <s v="1С-Отч Конечным пользователям"/>
    <m/>
    <m/>
    <m/>
    <m/>
    <m/>
    <m/>
    <s v="Не было отгрузок"/>
    <m/>
    <m/>
    <m/>
    <m/>
    <s v="Нет"/>
    <m/>
    <m/>
    <m/>
    <m/>
    <m/>
    <m/>
    <m/>
    <m/>
    <m/>
    <m/>
    <s v="УЦ"/>
    <m/>
    <m/>
    <s v="Не нужно"/>
    <m/>
    <m/>
    <m/>
    <m/>
    <m/>
    <m/>
    <m/>
    <m/>
    <s v="1С-Отчётность"/>
    <s v="Не нужно УЛ"/>
    <s v="Отгрузка/Оформление в сервисе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Отгрузка/Оформление"/>
    <m/>
    <m/>
    <m/>
    <m/>
    <m/>
    <d v="2026-08-28T14:57:01"/>
    <d v="2026-08-20T17:24:41"/>
    <m/>
    <m/>
    <m/>
    <m/>
    <m/>
    <m/>
    <m/>
    <m/>
    <m/>
    <m/>
    <m/>
    <m/>
    <m/>
    <m/>
    <m/>
    <m/>
    <m/>
    <m/>
    <m/>
    <n v="295430"/>
    <m/>
    <m/>
    <s v="Татьяна"/>
    <s v="Толстова"/>
    <s v="Анатольевна"/>
    <m/>
    <m/>
    <s v="Клиенты"/>
    <s v="ROBOT"/>
    <s v="О КЛИЕНТЕ. Вид деятельности: оптовая торговля металлом . СНО: ОСНО. Кол-во сотрудников: 17. Как дела"/>
    <s v="Мероприятие Форус"/>
    <m/>
    <s v="Да"/>
    <s v="Зайцева Алина"/>
    <d v="2022-10-23T19:36:08"/>
    <s v="ROBOT_UT"/>
    <d v="2026-08-22T06:44:34"/>
    <m/>
    <m/>
    <n v="79501162106"/>
    <m/>
    <m/>
    <m/>
    <m/>
    <m/>
    <m/>
    <m/>
    <m/>
    <m/>
    <m/>
    <m/>
    <m/>
    <s v="sibmet_irk@mail.ru, ecoteh.irk@mail.ru, rvcm38@mail.ru"/>
    <m/>
    <m/>
    <m/>
    <m/>
    <m/>
    <m/>
    <m/>
    <m/>
    <m/>
    <m/>
    <m/>
    <m/>
    <m/>
    <m/>
    <m/>
    <s v="Иркутск г"/>
    <d v="2022-10-23T00:00:00"/>
    <s v="Да"/>
    <m/>
    <s v="Иркутская область 0 часов"/>
    <m/>
    <m/>
    <s v="Нет"/>
    <s v="0cc5ffd1-1f69-4202-a893-90751f1d96b7"/>
    <n v="258334"/>
    <m/>
    <s v="ИП Протасова Галина Владимировна 381913860818#"/>
    <s v="Клиент"/>
    <s v="менее 50"/>
    <s v="ROBOT"/>
    <m/>
    <s v="Информационные технологии"/>
    <s v="0.00"/>
    <s v="Российский рубль"/>
    <m/>
    <s v="Россинский Вадим"/>
    <d v="2026-08-20T16:48:04"/>
    <s v="ROBOT_UT"/>
    <d v="2026-08-28T17:36:08"/>
    <m/>
    <m/>
    <m/>
    <m/>
    <m/>
    <m/>
    <m/>
    <m/>
    <m/>
    <m/>
    <m/>
    <m/>
    <m/>
    <m/>
    <m/>
    <s v="buh@r8-parts.ru"/>
    <m/>
    <m/>
    <m/>
    <m/>
    <m/>
    <m/>
    <m/>
    <m/>
    <m/>
    <m/>
    <m/>
    <m/>
    <m/>
    <m/>
    <m/>
    <m/>
    <n v="0"/>
    <m/>
    <m/>
    <m/>
    <s v="45.32 Торговля розничная автомобильными деталями, узлами и принадлежностями"/>
    <s v="[CO]ООО &quot;НК-ИМПОРТ&quot; 3849101572#"/>
    <s v="Нет"/>
    <m/>
    <m/>
    <s v="Протасова Галина Владимировна, Инн 381913860818"/>
    <s v="г Иркутск"/>
    <n v="381913860818"/>
    <m/>
    <m/>
    <m/>
    <m/>
    <m/>
    <m/>
    <m/>
    <s v="Свой контакт (Менеджер)"/>
    <m/>
    <s v="Коммерческие"/>
    <s v="ИП"/>
    <n v="128951"/>
    <s v="Иркутская область 0 часов"/>
    <m/>
    <m/>
    <m/>
    <s v="Нет"/>
    <m/>
    <m/>
    <m/>
    <m/>
    <s v="Нет"/>
    <s v="Торговля. Автотранспорт и ГСМ"/>
    <m/>
    <m/>
    <m/>
    <s v="88051359-c813-4241-8972-c89cebb57770"/>
  </r>
  <r>
    <n v="319096"/>
    <s v="ЦП. УЦ. Продажи"/>
    <s v="N"/>
    <s v="N"/>
    <x v="13"/>
    <m/>
    <s v="Шкуренко Дарья"/>
    <m/>
    <m/>
    <m/>
    <s v="Россинский Вадим"/>
    <s v="ONE_C"/>
    <s v="[Связь] - ООО &quot;НК-ИМПОРТ&quot; 3849101572# - 1С Программы и лицензии"/>
    <s v="Продажа"/>
    <s v="Звонок"/>
    <m/>
    <n v="2630"/>
    <s v="Российский рубль"/>
    <s v="ИП ПЕТРЕНКО СЕРГЕЙ ЛЕОНИДОВИЧ 542764423970#"/>
    <s v="Толстова Татьяна Анатольевна"/>
    <m/>
    <s v="нет"/>
    <d v="2026-08-20T16:46:17"/>
    <s v="Россинский Вадим"/>
    <d v="2026-08-28T17:36:04"/>
    <s v="ROBOT"/>
    <d v="2026-08-20T00:00:00"/>
    <d v="2026-08-27T00:00:00"/>
    <s v="ПО &quot;Астрал-Отчетность&quot; (сроком на 1 год) для группы ИП от 3 до 5 (&lt;&gt;)"/>
    <n v="2630"/>
    <n v="1"/>
    <s v="##Родительская сделка 316107 ##"/>
    <m/>
    <m/>
    <m/>
    <m/>
    <n v="15488"/>
    <d v="2026-08-28T14:57:06"/>
    <m/>
    <m/>
    <m/>
    <m/>
    <m/>
    <m/>
    <s v="Договор-оферта"/>
    <s v="Нет"/>
    <n v="2"/>
    <m/>
    <m/>
    <m/>
    <m/>
    <s v="ЦП. 1С и ИТС. Коммерция"/>
    <d v="2026-10-01T00:00:00"/>
    <m/>
    <m/>
    <m/>
    <m/>
    <m/>
    <n v="0"/>
    <m/>
    <m/>
    <m/>
    <m/>
    <n v="1"/>
    <s v="/upload/crm/6e7/07nlv4v0960s45gat0xu31302grqr2ad/Договор-оферта.txt"/>
    <s v="ФРДТ-018566"/>
    <s v="[D]ООО &quot;НК-ИМПОРТ&quot; 3849101572# - 1С Программы и лицензии"/>
    <s v="ЦП. 1С. Коммерция"/>
    <m/>
    <m/>
    <m/>
    <m/>
    <d v="2026-08-20T00:00:00"/>
    <m/>
    <m/>
    <s v="[CO]ООО НПФ &quot;ФОРУС&quot; 3812023430#"/>
    <s v="Сервисы"/>
    <s v="Почта России"/>
    <s v="Доступ в сервисе"/>
    <m/>
    <m/>
    <m/>
    <s v="Обычный"/>
    <m/>
    <m/>
    <s v="#Загружено из Битрикс-Коробка#"/>
    <d v="2026-08-25T00:00:00"/>
    <m/>
    <m/>
    <s v="1С-Отч Конечным пользователям"/>
    <m/>
    <m/>
    <m/>
    <m/>
    <m/>
    <m/>
    <s v="Не было отгрузок"/>
    <m/>
    <m/>
    <m/>
    <m/>
    <s v="Нет"/>
    <m/>
    <m/>
    <m/>
    <m/>
    <m/>
    <m/>
    <m/>
    <m/>
    <m/>
    <m/>
    <s v="УЦ"/>
    <m/>
    <m/>
    <s v="Не нужно"/>
    <m/>
    <m/>
    <m/>
    <m/>
    <m/>
    <m/>
    <m/>
    <m/>
    <s v="1С-Отчётность"/>
    <s v="Не нужно УЛ"/>
    <s v="Отгрузка/Оформление в сервисе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Отгрузка/Оформление"/>
    <m/>
    <m/>
    <m/>
    <m/>
    <m/>
    <d v="2026-08-28T14:57:08"/>
    <d v="2026-08-26T12:14:30"/>
    <m/>
    <m/>
    <m/>
    <m/>
    <m/>
    <m/>
    <m/>
    <m/>
    <m/>
    <m/>
    <m/>
    <m/>
    <m/>
    <m/>
    <m/>
    <m/>
    <m/>
    <m/>
    <m/>
    <n v="295430"/>
    <m/>
    <m/>
    <s v="Татьяна"/>
    <s v="Толстова"/>
    <s v="Анатольевна"/>
    <m/>
    <m/>
    <s v="Клиенты"/>
    <s v="ROBOT"/>
    <s v="О КЛИЕНТЕ. Вид деятельности: оптовая торговля металлом . СНО: ОСНО. Кол-во сотрудников: 17. Как дела"/>
    <s v="Мероприятие Форус"/>
    <m/>
    <s v="Да"/>
    <s v="Зайцева Алина"/>
    <d v="2022-10-23T19:36:08"/>
    <s v="ROBOT_UT"/>
    <d v="2026-08-22T06:44:34"/>
    <m/>
    <m/>
    <n v="79501162106"/>
    <m/>
    <m/>
    <m/>
    <m/>
    <m/>
    <m/>
    <m/>
    <m/>
    <m/>
    <m/>
    <m/>
    <m/>
    <s v="sibmet_irk@mail.ru, ecoteh.irk@mail.ru, rvcm38@mail.ru"/>
    <m/>
    <m/>
    <m/>
    <m/>
    <m/>
    <m/>
    <m/>
    <m/>
    <m/>
    <m/>
    <m/>
    <m/>
    <m/>
    <m/>
    <m/>
    <s v="Иркутск г"/>
    <d v="2022-10-23T00:00:00"/>
    <s v="Да"/>
    <m/>
    <s v="Иркутская область 0 часов"/>
    <m/>
    <m/>
    <s v="Нет"/>
    <s v="0cc5ffd1-1f69-4202-a893-90751f1d96b7"/>
    <n v="205763"/>
    <m/>
    <s v="ИП ПЕТРЕНКО СЕРГЕЙ ЛЕОНИДОВИЧ 542764423970#"/>
    <s v="Клиент"/>
    <s v="менее 50"/>
    <s v="ROBOT"/>
    <m/>
    <s v="Информационные технологии"/>
    <m/>
    <s v="Российский рубль"/>
    <m/>
    <s v="Кизилова Елена"/>
    <d v="2023-04-28T11:56:26"/>
    <s v="ROBOT_UT"/>
    <d v="2026-08-28T17:36: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d v="2001-01-01T00:00:00"/>
    <m/>
    <s v="45.31 Торговля оптовая автомобильными деталями, узлами и принадлежностями"/>
    <s v="[CO]ООО &quot;НК-ИМПОРТ&quot; 3849101572#"/>
    <s v="Нет"/>
    <d v="2023-04-28T00:00:00"/>
    <d v="2023-04-28T00:00:00"/>
    <s v="ИП Петренко Сергей Леонидович"/>
    <s v="СЕЛО Половинное"/>
    <n v="542764423970"/>
    <m/>
    <m/>
    <m/>
    <m/>
    <m/>
    <m/>
    <m/>
    <s v="Свой контакт (Менеджер)"/>
    <m/>
    <s v="Коммерческие"/>
    <s v="ИП"/>
    <n v="95883"/>
    <s v="Новосибирская область -1 час"/>
    <m/>
    <m/>
    <m/>
    <m/>
    <m/>
    <m/>
    <m/>
    <m/>
    <s v="Нет"/>
    <s v="Торговля. Автотранспорт и ГСМ"/>
    <m/>
    <m/>
    <m/>
    <s v="7eb48a57-1323-4732-bb0e-f87bca87ad32"/>
  </r>
  <r>
    <n v="319095"/>
    <s v="ЦП. УЦ. Продажи"/>
    <s v="N"/>
    <s v="N"/>
    <x v="7"/>
    <m/>
    <s v="Шкуренко Дарья"/>
    <m/>
    <m/>
    <m/>
    <s v="Россинский Вадим"/>
    <s v="ONE_C"/>
    <s v="[Связь] - ООО &quot;НК-ИМПОРТ&quot; 3849101572# - 1С Программы и лицензии"/>
    <s v="Продажа"/>
    <s v="Звонок"/>
    <m/>
    <n v="5700"/>
    <s v="Российский рубль"/>
    <s v="ООО &quot;ТЕХИМПОРТ&quot; 3811136449#"/>
    <s v="Толстова Татьяна Анатольевна"/>
    <m/>
    <s v="нет"/>
    <d v="2026-08-20T16:46:06"/>
    <s v="Россинский Вадим"/>
    <d v="2026-08-31T00:07:53"/>
    <s v="ROBOT_M"/>
    <d v="2026-08-20T00:00:00"/>
    <d v="2026-08-27T00:00:00"/>
    <s v="ПО &quot;Астрал-Отчетность&quot; (сроком на 1 год) для группы юридических лиц от 3 до 5 организаций (&lt;&gt;)"/>
    <n v="5700"/>
    <n v="1"/>
    <s v="##Родительская сделка 316107 ##"/>
    <m/>
    <m/>
    <m/>
    <m/>
    <n v="6346"/>
    <d v="2026-08-27T09:11:01"/>
    <m/>
    <m/>
    <m/>
    <m/>
    <m/>
    <m/>
    <s v="Договор-оферта"/>
    <s v="Нет"/>
    <n v="2"/>
    <m/>
    <m/>
    <m/>
    <m/>
    <s v="ЦП. 1С и ИТС. Коммерция"/>
    <d v="2026-10-01T00:00:00"/>
    <m/>
    <m/>
    <m/>
    <m/>
    <m/>
    <n v="0"/>
    <m/>
    <m/>
    <m/>
    <m/>
    <n v="0"/>
    <s v="/upload/crm/6e5/4ev9ntc1wckzj0bxghweq511p9pu3e81/Договор-оферта.txt"/>
    <s v="ФРДТ-018564"/>
    <s v="[D]ООО &quot;НК-ИМПОРТ&quot; 3849101572# - 1С Программы и лицензии"/>
    <s v="ЦП. 1С. Коммерция"/>
    <m/>
    <m/>
    <m/>
    <m/>
    <d v="2026-08-20T00:00:00"/>
    <m/>
    <m/>
    <s v="[CO]ООО НПФ &quot;ФОРУС&quot; 3812023430#"/>
    <s v="Сервисы"/>
    <s v="Почта России"/>
    <s v="Доступ в сервисе"/>
    <m/>
    <m/>
    <m/>
    <s v="Обычный"/>
    <m/>
    <m/>
    <s v="#Загружено из Битрикс-Коробка#"/>
    <d v="2026-08-26T00:00:00"/>
    <m/>
    <m/>
    <s v="1С-Отч Конечным пользователям"/>
    <m/>
    <m/>
    <m/>
    <m/>
    <m/>
    <m/>
    <s v="Не было отгрузок"/>
    <m/>
    <m/>
    <m/>
    <m/>
    <s v="Нет"/>
    <m/>
    <m/>
    <m/>
    <m/>
    <m/>
    <m/>
    <m/>
    <m/>
    <m/>
    <m/>
    <s v="УЦ"/>
    <m/>
    <m/>
    <s v="Не нужно"/>
    <m/>
    <m/>
    <m/>
    <m/>
    <m/>
    <m/>
    <m/>
    <m/>
    <s v="1С-Отчётность"/>
    <s v="Не нужно УЛ"/>
    <s v="Оплаче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Оплачено"/>
    <m/>
    <m/>
    <m/>
    <m/>
    <m/>
    <d v="2026-08-31T00:07:10"/>
    <m/>
    <m/>
    <m/>
    <m/>
    <m/>
    <m/>
    <m/>
    <m/>
    <m/>
    <m/>
    <m/>
    <m/>
    <m/>
    <m/>
    <m/>
    <m/>
    <m/>
    <m/>
    <m/>
    <m/>
    <n v="295430"/>
    <m/>
    <m/>
    <s v="Татьяна"/>
    <s v="Толстова"/>
    <s v="Анатольевна"/>
    <m/>
    <m/>
    <s v="Клиенты"/>
    <s v="ROBOT"/>
    <s v="О КЛИЕНТЕ. Вид деятельности: оптовая торговля металлом . СНО: ОСНО. Кол-во сотрудников: 17. Как дела"/>
    <s v="Мероприятие Форус"/>
    <m/>
    <s v="Да"/>
    <s v="Зайцева Алина"/>
    <d v="2022-10-23T19:36:08"/>
    <s v="ROBOT_UT"/>
    <d v="2026-08-22T06:44:34"/>
    <m/>
    <m/>
    <n v="79501162106"/>
    <m/>
    <m/>
    <m/>
    <m/>
    <m/>
    <m/>
    <m/>
    <m/>
    <m/>
    <m/>
    <m/>
    <m/>
    <s v="sibmet_irk@mail.ru, ecoteh.irk@mail.ru, rvcm38@mail.ru"/>
    <m/>
    <m/>
    <m/>
    <m/>
    <m/>
    <m/>
    <m/>
    <m/>
    <m/>
    <m/>
    <m/>
    <m/>
    <m/>
    <m/>
    <m/>
    <s v="Иркутск г"/>
    <d v="2022-10-23T00:00:00"/>
    <s v="Да"/>
    <m/>
    <s v="Иркутская область 0 часов"/>
    <m/>
    <m/>
    <s v="Нет"/>
    <s v="0cc5ffd1-1f69-4202-a893-90751f1d96b7"/>
    <n v="258335"/>
    <m/>
    <s v="ООО &quot;ТЕХИМПОРТ&quot; 3811136449#"/>
    <s v="Клиент"/>
    <s v="менее 50"/>
    <s v="ROBOT"/>
    <m/>
    <s v="Информационные технологии"/>
    <s v="0.00"/>
    <s v="Российский рубль"/>
    <m/>
    <s v="Россинский Вадим"/>
    <d v="2026-08-20T16:48:27"/>
    <s v="ROBOT_UT"/>
    <d v="2026-08-28T17:33: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d v="2010-02-04T00:00:00"/>
    <m/>
    <s v="45.3 Торговля автомобильными деталями, узлами и принадлежностями"/>
    <s v="[CO]ООО &quot;НК-ИМПОРТ&quot; 3849101572#"/>
    <s v="Нет"/>
    <m/>
    <m/>
    <s v="ТЕХИМПОРТ, ИНН 3811136449 ООО"/>
    <s v="ИРКУТСК"/>
    <n v="3811136449"/>
    <m/>
    <m/>
    <m/>
    <m/>
    <m/>
    <m/>
    <m/>
    <s v="Свой контакт (Менеджер)"/>
    <m/>
    <s v="Коммерческие"/>
    <s v="ООО"/>
    <n v="128953"/>
    <s v="Иркутская область 0 часов"/>
    <m/>
    <m/>
    <m/>
    <s v="Нет"/>
    <m/>
    <m/>
    <m/>
    <m/>
    <s v="Нет"/>
    <s v="Торговля. Автотранспорт и ГСМ"/>
    <m/>
    <m/>
    <m/>
    <s v="300ac124-10a2-448d-b8da-5d61d90cbc4f"/>
  </r>
  <r>
    <n v="319094"/>
    <s v="ЦП. ФРЕШ. Продажи"/>
    <s v="Y"/>
    <s v="N"/>
    <x v="9"/>
    <m/>
    <m/>
    <m/>
    <m/>
    <m/>
    <s v="Соболев Максим"/>
    <s v="ONE_C"/>
    <s v="ООО &quot;АИ&quot; 7704483847# - ГРМ"/>
    <s v="Продажа"/>
    <s v="Свой контакт (Менеджер)"/>
    <m/>
    <n v="19344"/>
    <s v="Российский рубль"/>
    <s v="ООО &quot;АИ&quot; 7704483847#"/>
    <s v="Кунин Илья Андреевич"/>
    <m/>
    <s v="нет"/>
    <d v="2026-08-20T16:44:16"/>
    <s v="Соболев Максим"/>
    <d v="2026-08-26T00:02:43"/>
    <s v="ROBOT_M"/>
    <d v="2026-08-20T00:00:00"/>
    <d v="2026-08-27T00:00:00"/>
    <s v="Облачная инфраструктура. Рабочее место 1C:Бухгалтерия 8"/>
    <n v="19344"/>
    <n v="1"/>
    <m/>
    <m/>
    <m/>
    <m/>
    <m/>
    <n v="508"/>
    <d v="2026-08-21T08:54:30"/>
    <m/>
    <m/>
    <m/>
    <m/>
    <m/>
    <m/>
    <s v="Договор-оферта"/>
    <s v="Нет"/>
    <n v="2"/>
    <s v="ilya.kunin@r44.email"/>
    <n v="79647808999"/>
    <m/>
    <s v="Г.Москва"/>
    <s v="ЦП. 1С и ИТС. Коммерция"/>
    <d v="2026-09-20T00:00:00"/>
    <m/>
    <m/>
    <m/>
    <d v="2026-09-20T00:00:00"/>
    <m/>
    <n v="0"/>
    <s v="Кунин Илья Андреевич"/>
    <m/>
    <m/>
    <m/>
    <n v="0"/>
    <m/>
    <s v="ФРДТ-018582"/>
    <m/>
    <s v="ЦП. 1С. Коммерция"/>
    <m/>
    <s v="001 - 004"/>
    <m/>
    <m/>
    <d v="2026-08-21T00:00:00"/>
    <m/>
    <m/>
    <s v="[CO]ООО НПФ &quot;ФОРУС&quot; 3812023430#"/>
    <s v="Сервисы"/>
    <m/>
    <m/>
    <s v="Коммерческие"/>
    <m/>
    <m/>
    <s v="Обычный"/>
    <m/>
    <m/>
    <s v="#Загружено из Битрикс-Коробка#"/>
    <m/>
    <m/>
    <m/>
    <s v="ГРМ ОИ Типовые решения"/>
    <m/>
    <m/>
    <m/>
    <m/>
    <m/>
    <m/>
    <s v="Не было отгрузок"/>
    <m/>
    <m/>
    <m/>
    <m/>
    <s v="Нет"/>
    <m/>
    <m/>
    <m/>
    <s v="ГРМ"/>
    <s v="1С:Бух +ЭТК"/>
    <s v="-"/>
    <s v="Основная"/>
    <m/>
    <m/>
    <s v="Отправить счет / договор"/>
    <m/>
    <m/>
    <m/>
    <s v="Не нужно"/>
    <m/>
    <m/>
    <m/>
    <s v="Уточнить потребност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Уточнить потребности"/>
    <m/>
    <m/>
    <m/>
    <m/>
    <m/>
    <d v="2026-08-21T08:54:08"/>
    <m/>
    <s v="Завершен"/>
    <m/>
    <m/>
    <m/>
    <m/>
    <m/>
    <m/>
    <m/>
    <m/>
    <m/>
    <m/>
    <m/>
    <m/>
    <m/>
    <m/>
    <m/>
    <m/>
    <m/>
    <m/>
    <n v="289989"/>
    <m/>
    <m/>
    <s v="Илья"/>
    <s v="Кунин"/>
    <s v="Андреевич"/>
    <m/>
    <m/>
    <m/>
    <s v="ROBOT"/>
    <s v="[Редактор=БитриксКоробка]"/>
    <s v="Звонок"/>
    <m/>
    <s v="Да"/>
    <s v="Коптева Елена"/>
    <d v="2022-07-08T15:24:42"/>
    <s v="ROBOT"/>
    <d v="2026-08-21T09:42:51"/>
    <m/>
    <m/>
    <n v="79647808999"/>
    <m/>
    <m/>
    <m/>
    <m/>
    <m/>
    <m/>
    <m/>
    <m/>
    <m/>
    <m/>
    <m/>
    <m/>
    <s v="ilya.kunin@dktd.ru, aicorp2k19@gmail.com"/>
    <m/>
    <m/>
    <m/>
    <m/>
    <m/>
    <m/>
    <m/>
    <m/>
    <m/>
    <m/>
    <s v="imol|livechat|18|6117|587"/>
    <s v="imol|ank_chats_app24_telegram|47|private-1804568h214027373970443650|13990"/>
    <m/>
    <m/>
    <n v="13990"/>
    <s v="Г.Москва"/>
    <d v="2022-07-08T00:00:00"/>
    <s v="Да"/>
    <m/>
    <s v="Москва и Московская область - 5 час"/>
    <m/>
    <m/>
    <s v="Нет"/>
    <s v="0c61f35c-fdef-4025-b41f-5212f9c62f8a"/>
    <n v="200018"/>
    <m/>
    <s v="ООО &quot;АИ&quot; 7704483847#"/>
    <s v="Клиент"/>
    <m/>
    <s v="ROBOT"/>
    <m/>
    <m/>
    <m/>
    <s v="Российский рубль"/>
    <s v="."/>
    <s v="Коптева Елена"/>
    <d v="2022-07-11T15:54:35"/>
    <s v="ROBOT_M"/>
    <d v="2026-08-21T09:42:51"/>
    <m/>
    <n v="74994442298"/>
    <n v="79647808999"/>
    <m/>
    <m/>
    <m/>
    <m/>
    <m/>
    <m/>
    <m/>
    <m/>
    <m/>
    <m/>
    <m/>
    <m/>
    <s v="aicorp2k19@gmail.com, koloebok@telegram.chatapp.online"/>
    <m/>
    <m/>
    <m/>
    <m/>
    <m/>
    <m/>
    <m/>
    <m/>
    <m/>
    <m/>
    <m/>
    <s v="imol|ank_chats_app24_telegram|47|private-1804568h214027373970443650|13990"/>
    <m/>
    <m/>
    <n v="13990"/>
    <m/>
    <n v="0"/>
    <m/>
    <d v="2019-03-25T00:00:00"/>
    <m/>
    <s v="47.91 Торговля розничная по почте или по информационно-коммуникационной сети Интернет"/>
    <m/>
    <s v="Нет"/>
    <d v="2022-08-31T00:00:00"/>
    <d v="2023-10-31T00:00:00"/>
    <s v="АИ ООО"/>
    <s v="Г.Москва"/>
    <n v="7704483847"/>
    <s v="7. ОСН (общая)"/>
    <m/>
    <s v="Клиент-группа: 3 ООО: 1. АИ- УСН 15%. 2.ООО ДК Трейд и 3. Флитвикс. По ДК -Трейд и Флитвикс деятельности нет -нулевая отчётность. Основной Контакт- Кунин Илья Торговля на маркетплейсах продуктами и бытовой химией"/>
    <m/>
    <s v="ilya.kunin@r44.email"/>
    <m/>
    <s v="001 - 004"/>
    <s v="Свой контакт (Менеджер)"/>
    <m/>
    <s v="Коммерческие"/>
    <s v="ООО"/>
    <n v="92711"/>
    <s v="Москва и Московская область - 5 час"/>
    <m/>
    <s v="Москва"/>
    <s v="БО. Комплексный сервис"/>
    <m/>
    <m/>
    <m/>
    <m/>
    <s v="Рабочая группа № 1"/>
    <s v="Нет"/>
    <s v="Торговля. Прочая"/>
    <m/>
    <m/>
    <m/>
    <s v="79692da7-536f-4886-9ffb-b747b7a3be9a"/>
  </r>
  <r>
    <n v="319063"/>
    <s v="ЦП. 1С. Продажи"/>
    <s v="Y"/>
    <s v="N"/>
    <x v="0"/>
    <m/>
    <m/>
    <m/>
    <m/>
    <m/>
    <s v="Россинский Вадим"/>
    <s v="ONE_C"/>
    <s v="ООО &quot;СИБСТРОЙТЕХМОНТАЖ&quot; 3810021477# - 1С-ЭПД"/>
    <s v="Продажа"/>
    <s v="Свой контакт (Менеджер)"/>
    <m/>
    <n v="1400"/>
    <s v="Российский рубль"/>
    <s v="ООО &quot;СИБСТРОЙТЕХМОНТАЖ&quot; 3810021477#"/>
    <s v="Шарыпова Ирина Олеговна"/>
    <m/>
    <s v="нет"/>
    <d v="2026-08-20T14:59:34"/>
    <s v="Россинский Вадим"/>
    <d v="2026-09-01T16:35:56"/>
    <s v="ROBOT"/>
    <d v="2026-08-20T00:00:00"/>
    <d v="2026-08-27T00:00:00"/>
    <s v="1С-ЭДО. ЭПД-200 на 12 месяцев"/>
    <n v="1400"/>
    <n v="1"/>
    <m/>
    <m/>
    <m/>
    <m/>
    <m/>
    <n v="5"/>
    <d v="2026-08-27T08:59:51"/>
    <m/>
    <m/>
    <m/>
    <m/>
    <m/>
    <m/>
    <s v="Договор-оферта"/>
    <s v="Нет"/>
    <n v="1"/>
    <m/>
    <m/>
    <s v="[CO]ООО &quot;СИБСТРОЙТЕХМОНТАЖ&quot; 3810021477#"/>
    <s v="Шелехов г"/>
    <s v="ЦП. 1С и ИТС. Коммерция"/>
    <m/>
    <m/>
    <m/>
    <d v="2026-08-27T00:00:00"/>
    <d v="2027-08-26T00:00:00"/>
    <m/>
    <m/>
    <m/>
    <m/>
    <m/>
    <m/>
    <n v="4"/>
    <s v="/upload/crm/ce4/eyh7p7bueww8mx3gxgbtff312rf81ps1/Договор-оферта.txt"/>
    <s v="ФРДТ-018551"/>
    <m/>
    <s v="ЦП. 1С. Коммерция"/>
    <m/>
    <m/>
    <m/>
    <m/>
    <d v="2026-08-20T00:00:00"/>
    <m/>
    <m/>
    <s v="[CO]ООО НПФ &quot;ФОРУС&quot; 3812023430#"/>
    <s v="Сервисы"/>
    <m/>
    <m/>
    <s v="Коммерческие"/>
    <m/>
    <m/>
    <s v="Обычный"/>
    <m/>
    <s v="Нет"/>
    <s v="#Загружено из Битрикс-Коробка#"/>
    <d v="2026-08-26T00:00:00"/>
    <m/>
    <m/>
    <s v="1С-ЭДО ЭПД"/>
    <m/>
    <m/>
    <n v="12"/>
    <m/>
    <n v="1400"/>
    <d v="2026-09-01T00:00:00"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-ЭПД"/>
    <s v="Контроль сделк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n v="1400"/>
    <d v="2026-09-01T00:00:00"/>
    <s v="Не было отгрузок"/>
    <m/>
    <s v="Оформлена подписка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сделки"/>
    <m/>
    <m/>
    <m/>
    <m/>
    <m/>
    <d v="2026-08-27T11:18:01"/>
    <d v="2026-09-02T16:07:26"/>
    <m/>
    <m/>
    <m/>
    <m/>
    <m/>
    <m/>
    <m/>
    <m/>
    <m/>
    <m/>
    <m/>
    <m/>
    <m/>
    <m/>
    <m/>
    <m/>
    <m/>
    <m/>
    <m/>
    <n v="208464"/>
    <m/>
    <m/>
    <s v="Ирина"/>
    <s v="Шарыпова"/>
    <s v="Олеговна"/>
    <m/>
    <m/>
    <m/>
    <s v="ROBOT"/>
    <s v="[Автор=RobotIntegro][Редактор=БитриксКоробка]"/>
    <s v="1С Сайт its.1c.ru"/>
    <m/>
    <s v="Да"/>
    <s v="ROBOT_M"/>
    <d v="2021-07-10T00:48:54"/>
    <s v="ROBOT_UT"/>
    <d v="2026-08-28T06:44:34"/>
    <m/>
    <n v="73952727522"/>
    <n v="79086640771"/>
    <m/>
    <m/>
    <m/>
    <m/>
    <m/>
    <m/>
    <m/>
    <m/>
    <m/>
    <m/>
    <m/>
    <m/>
    <s v="sibstroj@mail.ru"/>
    <m/>
    <m/>
    <m/>
    <m/>
    <m/>
    <m/>
    <m/>
    <m/>
    <m/>
    <m/>
    <m/>
    <m/>
    <m/>
    <m/>
    <m/>
    <s v="нас. пункт Маркова рп."/>
    <d v="2018-07-14T00:00:00"/>
    <s v="Да"/>
    <m/>
    <s v="Иркутская область 0 часов"/>
    <m/>
    <m/>
    <s v="Нет"/>
    <s v="10e2ef41-aee3-4b12-a0c9-d994d53d9b60"/>
    <n v="129874"/>
    <m/>
    <s v="ООО &quot;СИБСТРОЙТЕХМОНТАЖ&quot; 3810021477#"/>
    <s v="Клиент. Группа компаний"/>
    <m/>
    <s v="ROBOT"/>
    <m/>
    <m/>
    <m/>
    <s v="Российский рубль"/>
    <s v="7 395 272-75-22 дежурный бухгалтер, остальные болеют удаленно, Диадок попросит подписать / ЮляФ 25.12.20"/>
    <s v="ROBOT_M"/>
    <d v="2021-07-07T14:01:28"/>
    <s v="ROBOT_UT"/>
    <d v="2026-09-01T16:35:56"/>
    <m/>
    <n v="221860195386"/>
    <n v="79086640771"/>
    <m/>
    <m/>
    <m/>
    <m/>
    <m/>
    <m/>
    <m/>
    <m/>
    <m/>
    <m/>
    <m/>
    <m/>
    <s v="sibstroj@mail.ru, zaic3078@gmail.com"/>
    <m/>
    <s v="sibstroj@mail.ru"/>
    <m/>
    <m/>
    <m/>
    <m/>
    <m/>
    <m/>
    <m/>
    <m/>
    <m/>
    <m/>
    <m/>
    <m/>
    <m/>
    <m/>
    <n v="0"/>
    <s v="sibstroj@mail.ru"/>
    <d v="2015-01-29T00:00:00"/>
    <m/>
    <s v="25.11 Производство строительных металлических конструкций, изделий и их частей"/>
    <s v="[CO]ООО &quot;СИБСТРОЙТЕХМОНТАЖ&quot; 3810021477#"/>
    <s v="Нет"/>
    <d v="2015-03-26T00:00:00"/>
    <d v="2025-04-25T00:00:00"/>
    <s v="СИБСТРОЙТЕХМОНТАЖ, ООО"/>
    <s v="Шелехов г"/>
    <n v="3810021477"/>
    <m/>
    <m/>
    <m/>
    <m/>
    <m/>
    <m/>
    <m/>
    <m/>
    <m/>
    <s v="Коммерческие"/>
    <s v="ООО"/>
    <n v="36624"/>
    <s v="Иркутская область 0 часов"/>
    <m/>
    <m/>
    <m/>
    <s v="Да, компания работает"/>
    <s v="[C]Владимиров Олег Владимирович"/>
    <m/>
    <m/>
    <m/>
    <s v="Нет"/>
    <s v="Производство. Металлургия"/>
    <m/>
    <m/>
    <m/>
    <s v="85ce9f67-d354-11e4-bfb9-0026554f9a58"/>
  </r>
  <r>
    <n v="319031"/>
    <s v="ЦП. 1С. Продажи"/>
    <s v="N"/>
    <s v="N"/>
    <x v="8"/>
    <m/>
    <m/>
    <m/>
    <m/>
    <m/>
    <s v="Соболев Максим"/>
    <m/>
    <s v="ООО &quot;ИКК&quot; 3811454265#"/>
    <s v="Продажа"/>
    <s v="Свой контакт (Менеджер)"/>
    <m/>
    <s v="0.00"/>
    <s v="Российский рубль"/>
    <s v="ООО &quot;ИКК&quot; 3811454265#"/>
    <s v="Боярченко Андрей Васильевич"/>
    <m/>
    <s v="нет"/>
    <d v="2026-08-20T12:06:57"/>
    <s v="Соболев Максим"/>
    <d v="2026-08-20T12:08:04"/>
    <s v="ROBOT"/>
    <d v="2026-08-20T00:00:00"/>
    <d v="2026-08-27T00:00:00"/>
    <m/>
    <m/>
    <m/>
    <m/>
    <m/>
    <m/>
    <m/>
    <m/>
    <n v="508"/>
    <d v="2026-08-20T12:07:11"/>
    <m/>
    <m/>
    <m/>
    <m/>
    <m/>
    <m/>
    <m/>
    <s v="Нет"/>
    <n v="1"/>
    <m/>
    <m/>
    <m/>
    <s v="ИРКУТСКАЯ ОБЛАСТЬ"/>
    <s v="ЦП. 1С и ИТС. Коммерция"/>
    <m/>
    <m/>
    <m/>
    <m/>
    <m/>
    <m/>
    <n v="0"/>
    <m/>
    <m/>
    <m/>
    <m/>
    <n v="0"/>
    <m/>
    <m/>
    <m/>
    <s v="ЦП. 1С. Коммерция"/>
    <m/>
    <m/>
    <m/>
    <m/>
    <m/>
    <m/>
    <m/>
    <m/>
    <m/>
    <m/>
    <m/>
    <s v="Коммерческие"/>
    <m/>
    <m/>
    <s v="Обычный"/>
    <m/>
    <m/>
    <m/>
    <m/>
    <m/>
    <m/>
    <m/>
    <m/>
    <m/>
    <m/>
    <m/>
    <m/>
    <m/>
    <s v="Не было отгрузок"/>
    <m/>
    <m/>
    <m/>
    <m/>
    <s v="Нет"/>
    <m/>
    <m/>
    <m/>
    <s v="ФРЕШ. ПРОФ"/>
    <s v="1С:УНФ, 1С:Бух +ЭТК, 1С:ЗУП"/>
    <m/>
    <m/>
    <m/>
    <m/>
    <m/>
    <s v="ФРЕШ и ГРМ"/>
    <m/>
    <m/>
    <s v="Не нужно"/>
    <m/>
    <m/>
    <m/>
    <s v="Уточнить потребност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Уточнить потребности"/>
    <m/>
    <m/>
    <m/>
    <m/>
    <m/>
    <d v="2026-08-20T12:07:13"/>
    <m/>
    <m/>
    <m/>
    <m/>
    <m/>
    <m/>
    <m/>
    <m/>
    <m/>
    <m/>
    <m/>
    <m/>
    <m/>
    <m/>
    <m/>
    <m/>
    <m/>
    <m/>
    <m/>
    <m/>
    <n v="331877"/>
    <m/>
    <m/>
    <s v="Андрей"/>
    <s v="Боярченко"/>
    <s v="Васильевич"/>
    <m/>
    <s v="ДИРЕКТОР"/>
    <s v="Клиенты"/>
    <s v="ROBOT"/>
    <s v="[p] Заказ на сайте [url=https://its.1c.ru]its.1c.ru[/url] ORD260819-1787150834 [/p] [p] a:hover, a:active{color:#16489b;text-decoration:underline} #mail-message-wrapper a:hover, #mail-message-wrapper a:active{color:#16489b;text-decoration:underline} [b]Новый заказ на сайте [/b][url=https://its.1c.ru][b]its.1c.ru[/b][/url] [/p] [p] Уважаемый партнер! [/p] [p] [/p] [p] Вы получили новый заказ на сайте [url=https://its.1c.ru]its.1c.ru[/url]: [/p] [p] Номер заказа: ORD260819-1787150834 Источник: [url=https://its.1c.ru]its.1c.ru[/url], ЭПД Время отправки: 2026-08-19 22:47:14 Контактное лицо: Боярченко Андрей Васильевич Телефон: &amp;amp;#43;79501077323 E-mail: [url=mailto:andreybav@yandex.ru]andreybav@yandex.ru[/url] ИНН/ЕДРПОУ: Регион (город): Иркутская область, Иркутск Комментарий: Заказ сервиса 1С-ЭПД [/p] [p] Внимательно ознакомьтесь с правилами обработки заказа в [url=https://its.1c.ru/db/partnerits#content:1636:hdoc]справочнике партнера[/url]. [/p] [p] 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[*]В течение 1 рабочего часа с момента получения заказа свяжитесь с клиентом, уточните заказ и поставьте отметку о том, что вы приняли заказ в работу.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 [/p] [p] Вопросы по обработке заказа присылайте на электронную почту [url=mailto:web-its@1c.ru]web-its@1c.ru[/url]. [/p] [p] [/p] [p][/p] [p] С уважением, администрация сайта [url=https://its.1c.ru/]its.1c.ru[/url]. [/p]"/>
    <s v="Свой контакт (Менеджер)"/>
    <m/>
    <s v="Да"/>
    <s v="ROBOT_M"/>
    <d v="2024-04-19T10:46:09"/>
    <s v="ROBOT"/>
    <d v="2026-08-22T10:35:23"/>
    <m/>
    <m/>
    <n v="79501077323"/>
    <m/>
    <m/>
    <m/>
    <m/>
    <m/>
    <m/>
    <m/>
    <m/>
    <m/>
    <m/>
    <m/>
    <m/>
    <s v="andreybav@yandex.ru"/>
    <m/>
    <m/>
    <m/>
    <m/>
    <m/>
    <m/>
    <m/>
    <m/>
    <m/>
    <m/>
    <m/>
    <m/>
    <m/>
    <m/>
    <m/>
    <s v="Ясное тер. СНТ"/>
    <d v="2024-04-19T00:00:00"/>
    <s v="Да"/>
    <m/>
    <s v="Иркутская область 0 часов"/>
    <m/>
    <m/>
    <s v="Нет"/>
    <s v="44db0121-51e9-4b10-a2bc-c9691c02432b"/>
    <n v="219769"/>
    <m/>
    <s v="ООО &quot;ИКК&quot; 3811454265#"/>
    <s v="Клиент"/>
    <m/>
    <s v="ROBOT"/>
    <m/>
    <m/>
    <m/>
    <s v="Российский рубль"/>
    <m/>
    <s v="ROBOT_M"/>
    <d v="2024-04-19T10:46:09"/>
    <s v="ROBOT_M"/>
    <d v="2026-08-22T10:35:23"/>
    <m/>
    <n v="73952448109"/>
    <m/>
    <m/>
    <m/>
    <m/>
    <m/>
    <m/>
    <m/>
    <m/>
    <m/>
    <m/>
    <m/>
    <m/>
    <m/>
    <s v="artem@translegion.com"/>
    <m/>
    <m/>
    <m/>
    <m/>
    <m/>
    <m/>
    <m/>
    <m/>
    <m/>
    <m/>
    <m/>
    <m/>
    <m/>
    <m/>
    <m/>
    <m/>
    <n v="0"/>
    <s v="artem@translegion.com"/>
    <d v="2018-04-23T00:00:00"/>
    <m/>
    <s v="45.19 Торговля прочими автотранспортными средствами"/>
    <m/>
    <s v="Нет"/>
    <m/>
    <m/>
    <s v="ИКК ООО"/>
    <s v="ИРКУТСКАЯ ОБЛАСТЬ"/>
    <n v="3811454265"/>
    <m/>
    <m/>
    <m/>
    <m/>
    <s v="artem@translegion.com"/>
    <m/>
    <m/>
    <s v="Контур.Биллинг"/>
    <m/>
    <s v="Коммерческие"/>
    <s v="ООО"/>
    <n v="102869"/>
    <s v="Иркутская область 0 часов"/>
    <m/>
    <m/>
    <m/>
    <s v="Нет"/>
    <m/>
    <m/>
    <m/>
    <m/>
    <s v="Нет"/>
    <s v="Торговля. Автотранспорт и ГСМ"/>
    <m/>
    <m/>
    <m/>
    <s v="3aa655f2-ab88-4281-8ff7-7d349b436089"/>
  </r>
  <r>
    <n v="319001"/>
    <s v="ЦП. УЦ. Продажи"/>
    <s v="Y"/>
    <s v="N"/>
    <x v="7"/>
    <m/>
    <s v="Шкуренко Дарья Федорова Анастасия"/>
    <m/>
    <m/>
    <m/>
    <s v="Федорова Анастасия"/>
    <s v="ONE_C"/>
    <s v="1С:Подпись. ООО &quot;ЭЦ&quot;ИРКУТ 3810035857#"/>
    <s v="Продажа"/>
    <s v="Свой контакт (Менеджер)"/>
    <m/>
    <n v="1500"/>
    <s v="Российский рубль"/>
    <s v="ООО &quot;ЭЦ&quot;ИРКУТ 3810035857#"/>
    <m/>
    <m/>
    <s v="нет"/>
    <d v="2026-08-20T09:35:24"/>
    <s v="Федорова Анастасия"/>
    <d v="2026-09-02T09:05:44"/>
    <s v="Манушкина Дарья"/>
    <d v="2026-08-20T00:00:00"/>
    <d v="2026-08-27T00:00:00"/>
    <s v="1С:Подпись.ЭПД"/>
    <n v="1500"/>
    <n v="1"/>
    <m/>
    <m/>
    <m/>
    <m/>
    <m/>
    <n v="6346"/>
    <d v="2026-08-21T08:58:10"/>
    <m/>
    <m/>
    <m/>
    <m/>
    <m/>
    <m/>
    <s v="Договор-оферта"/>
    <s v="Нет"/>
    <n v="1"/>
    <m/>
    <m/>
    <m/>
    <s v="Иркутск г"/>
    <s v="ЦП. 1С и ИТС. Коммерция"/>
    <d v="2026-10-01T00:00:00"/>
    <m/>
    <m/>
    <d v="2026-08-21T00:00:00"/>
    <d v="2027-08-21T00:00:00"/>
    <m/>
    <n v="0"/>
    <m/>
    <m/>
    <m/>
    <m/>
    <n v="2"/>
    <s v="/upload/crm/017/6tlb5fodfcgjgo6zkocnsdwhstj5x5gk/Договор-оферта.txt"/>
    <s v="ФРДТ-018515"/>
    <m/>
    <s v="ЦП. 1С. Коммерция"/>
    <m/>
    <m/>
    <m/>
    <m/>
    <d v="2026-08-20T00:00:00"/>
    <m/>
    <m/>
    <s v="[CO]ООО НПФ &quot;ФОРУС&quot; 3812023430#"/>
    <s v="Сервисы"/>
    <s v="Почта России"/>
    <s v="Доступ в сервисе"/>
    <s v="Коммерческие"/>
    <m/>
    <m/>
    <s v="Обычный"/>
    <m/>
    <s v="Да"/>
    <s v="ФЛ Новак Оксана Викторовна"/>
    <d v="2026-08-20T00:00:00"/>
    <m/>
    <m/>
    <s v="1С:Подпись"/>
    <m/>
    <m/>
    <n v="12"/>
    <m/>
    <n v="1500"/>
    <d v="2026-08-27T00:00:00"/>
    <s v="Не было отгрузок"/>
    <m/>
    <m/>
    <m/>
    <m/>
    <s v="Нет"/>
    <m/>
    <m/>
    <m/>
    <m/>
    <m/>
    <m/>
    <m/>
    <m/>
    <m/>
    <m/>
    <s v="УЦ"/>
    <m/>
    <m/>
    <s v="Не нужно"/>
    <m/>
    <m/>
    <m/>
    <m/>
    <m/>
    <m/>
    <m/>
    <m/>
    <s v="1С:Подпись"/>
    <m/>
    <s v="Оплаче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n v="1500"/>
    <d v="2026-08-27T00:00:00"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Оплачено"/>
    <m/>
    <m/>
    <m/>
    <m/>
    <m/>
    <d v="2026-09-02T09:00:19"/>
    <d v="2026-09-02T09:56: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7366"/>
    <m/>
    <s v="ООО &quot;ЭЦ&quot;ИРКУТ 3810035857#"/>
    <s v="Клиент"/>
    <m/>
    <s v="ROBOT"/>
    <m/>
    <m/>
    <m/>
    <s v="Российский рубль"/>
    <m/>
    <s v="ROBOT_M"/>
    <d v="2021-07-06T17:51:20"/>
    <s v="ROBOT_M"/>
    <d v="2026-09-02T14:03:01"/>
    <m/>
    <n v="74957772101"/>
    <n v="237950246687"/>
    <m/>
    <m/>
    <m/>
    <m/>
    <m/>
    <m/>
    <m/>
    <m/>
    <m/>
    <m/>
    <m/>
    <m/>
    <s v="mail@energoirkut.ru"/>
    <m/>
    <s v="mail@energoirkut.ru"/>
    <m/>
    <m/>
    <m/>
    <m/>
    <m/>
    <m/>
    <m/>
    <m/>
    <m/>
    <m/>
    <m/>
    <m/>
    <m/>
    <m/>
    <n v="0"/>
    <s v="mail@energoirkut.ru"/>
    <d v="2004-07-15T00:00:00"/>
    <m/>
    <s v="33.12 Ремонт машин и оборудования"/>
    <m/>
    <s v="Нет"/>
    <d v="2010-02-10T00:00:00"/>
    <d v="2023-08-31T00:00:00"/>
    <s v="Энергоцентр Иркут"/>
    <s v="Иркутск г"/>
    <n v="3810035857"/>
    <m/>
    <m/>
    <m/>
    <m/>
    <s v="energo_irkut@rambler.ru"/>
    <m/>
    <m/>
    <m/>
    <m/>
    <s v="Коммерческие"/>
    <s v="ООО"/>
    <n v="7347"/>
    <s v="Иркутская область 0 часов"/>
    <m/>
    <m/>
    <m/>
    <m/>
    <m/>
    <m/>
    <m/>
    <m/>
    <s v="Нет"/>
    <s v="Услуги.Бытовые"/>
    <m/>
    <m/>
    <m/>
    <s v="74b8c3bd-58eb-43a4-8a2a-01258e1ce1b1"/>
  </r>
  <r>
    <n v="318948"/>
    <s v="ЦП. 1С. Продажи"/>
    <s v="N"/>
    <s v="Y"/>
    <x v="3"/>
    <m/>
    <s v="Савинская Евгения Соболев Максим"/>
    <m/>
    <m/>
    <m/>
    <s v="Соболев Максим"/>
    <s v="ONE_C"/>
    <s v="ООО &quot;ТРИ-С ДОН&quot; 6167203111# - 1С-ЭПД"/>
    <s v="Продажа"/>
    <s v="Квиз"/>
    <s v="marquiz.ru ЦП.Фреш: ЭПД Квиз сайт Форус"/>
    <n v="3600"/>
    <s v="Российский рубль"/>
    <s v="ООО &quot;ТРИ-С ДОН&quot; 6167203111#"/>
    <s v="Беляев Олег"/>
    <m/>
    <s v="нет"/>
    <d v="2026-08-19T18:04:04"/>
    <s v="Соболев Максим"/>
    <d v="2026-08-26T14:00:03"/>
    <s v="Соболев Максим"/>
    <d v="2026-08-19T00:00:00"/>
    <d v="2026-08-26T00:00:00"/>
    <s v="1С-ЭДО. ЭПД-600 на 12 месяцев"/>
    <n v="3600"/>
    <n v="1"/>
    <s v="[p] [b]Выберете свой сценарий перевозки[/b] Самовывоз (Перевозка до своего склада своими силами), Доставка (Перевозка со своих складов своим транспортом), Грузоперевозка транспортной компанией по договору перевозки [/p] [p][/p] [p] [b]Форма[/b]: [b]ID формы[/b]: 6ECm0N6SNd Ваша компания не попадает под изменения, связанные со 140-ФЗ [/p] [p] [b]Местоположение[/b]: IE, Kilcock [b]Страница[/b]: [url]https://mrqz.me/6a4766700c053200196405e8[/url] [/p] [p] [b]Согласия[/b]: Я согласен на обработку персональных данных: Да [/p]"/>
    <m/>
    <m/>
    <m/>
    <m/>
    <n v="508"/>
    <d v="2026-08-20T10:52:51"/>
    <m/>
    <m/>
    <m/>
    <m/>
    <m/>
    <m/>
    <s v="Договор-оферта"/>
    <s v="Нет"/>
    <n v="1"/>
    <s v="olegbelyaevtrisdon@gmail.com"/>
    <m/>
    <m/>
    <s v="РОСТОВ-НА-ДОНУ"/>
    <s v="ЦП. 1С и ИТС. Коммерция"/>
    <m/>
    <m/>
    <m/>
    <m/>
    <m/>
    <m/>
    <n v="0"/>
    <m/>
    <s v="[b]Выберете свой сценарий перевозки[/b] Самовывоз (Перевозка до своего склада своими силами), Доставка (Перевозка со своих складов своим транспортом), Грузоперевозка транспортной компанией по договору перевозки [b]Форма[/b]: [b]ID формы[/b]: 6ECm0N6SNd Ваша компания не попадает под изменения, связанные со 140-ФЗ [b]Местоположение[/b]: IE, Kilcock [b]Страница[/b]: [url=https://mrqz.me/6a4766700c053200196405e8]https://mrqz.me/6a4766700c053200196405e8[/url] [b]Согласия[/b]: Я согласен на обработку персональных данных: Да"/>
    <m/>
    <m/>
    <n v="3"/>
    <m/>
    <s v="ФРДТ-018525"/>
    <m/>
    <s v="ЦП. 1С. Коммерция"/>
    <m/>
    <m/>
    <m/>
    <m/>
    <d v="2026-08-20T00:00:00"/>
    <m/>
    <m/>
    <s v="[CO]ООО НПФ &quot;ФОРУС&quot; 3812023430#"/>
    <s v="Сервисы"/>
    <m/>
    <m/>
    <s v="Коммерческие"/>
    <m/>
    <m/>
    <s v="Обычный"/>
    <m/>
    <m/>
    <s v="#Загружено из Битрикс-Коробка#"/>
    <m/>
    <m/>
    <n v="265572"/>
    <s v="1С-ЭДО ЭПД"/>
    <m/>
    <m/>
    <m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-ЭПД"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8-26T14:00:00"/>
    <d v="2026-08-26T13:53:51"/>
    <s v="Завершен"/>
    <m/>
    <m/>
    <m/>
    <m/>
    <m/>
    <m/>
    <m/>
    <m/>
    <m/>
    <m/>
    <m/>
    <m/>
    <m/>
    <m/>
    <m/>
    <m/>
    <m/>
    <m/>
    <n v="398168"/>
    <m/>
    <m/>
    <s v="Олег"/>
    <s v="Беляев"/>
    <m/>
    <m/>
    <m/>
    <s v="Клиенты"/>
    <s v="ROBOT"/>
    <s v="[b]Выберете свой сценарий перевозки[/b] Самовывоз (Перевозка до своего склада своими силами), Доставка (Перевозка со своих складов своим транспортом), Грузоперевозка транспортной компанией по договору перевозки [b]Форма[/b]: [b]ID формы[/b]: 6ECm0N6SNd Ваша компания не попадает под изменения, связанные со 140-ФЗ [b]Местоположение[/b]: IE, Kilcock [b]Страница[/b]: [url=https://mrqz.me/6a4766700c053200196405e8]https://mrqz.me/6a4766700c053200196405e8[/url] [b]Согласия[/b]: Я согласен на обработку персональных данных: Да"/>
    <s v="Свой контакт (Менеджер)"/>
    <s v="marquiz.ru ЦП.Фреш: ЭПД Квиз сайт Форус"/>
    <s v="Да"/>
    <s v="Соболев Максим"/>
    <d v="2026-08-19T17:53:16"/>
    <s v="ROBOT_UT"/>
    <d v="2026-08-22T06:44:19"/>
    <m/>
    <m/>
    <n v="79281975547"/>
    <m/>
    <m/>
    <m/>
    <m/>
    <m/>
    <m/>
    <m/>
    <m/>
    <m/>
    <m/>
    <m/>
    <m/>
    <s v="89282275547@yandex.ru"/>
    <m/>
    <m/>
    <m/>
    <m/>
    <m/>
    <m/>
    <m/>
    <m/>
    <m/>
    <m/>
    <m/>
    <m/>
    <m/>
    <m/>
    <m/>
    <s v="Ростов-на-Дону г"/>
    <d v="2026-08-19T00:00:00"/>
    <s v="Да"/>
    <m/>
    <s v="Ростовская область - 5 час"/>
    <m/>
    <m/>
    <s v="Нет"/>
    <s v="784e801b-2fbc-4141-89d4-bc9ee87194aa"/>
    <n v="258301"/>
    <m/>
    <s v="ООО &quot;ТРИ-С ДОН&quot; 6167203111#"/>
    <s v="Клиент"/>
    <s v="менее 50"/>
    <s v="ROBOT"/>
    <m/>
    <s v="Информационные технологии"/>
    <s v="0.00"/>
    <s v="Российский рубль"/>
    <m/>
    <s v="Соболев Максим"/>
    <d v="2026-08-19T18:02:55"/>
    <s v="ROBOT_M"/>
    <d v="2026-08-20T11:02:23"/>
    <m/>
    <m/>
    <m/>
    <m/>
    <m/>
    <m/>
    <m/>
    <m/>
    <m/>
    <m/>
    <m/>
    <m/>
    <m/>
    <m/>
    <m/>
    <s v="3s-don@mail.ru"/>
    <m/>
    <m/>
    <m/>
    <m/>
    <m/>
    <m/>
    <m/>
    <m/>
    <m/>
    <m/>
    <m/>
    <m/>
    <m/>
    <m/>
    <m/>
    <m/>
    <n v="0"/>
    <m/>
    <d v="2022-04-22T00:00:00"/>
    <m/>
    <s v="41.20 Строительство жилых и нежилых зданий"/>
    <m/>
    <s v="Нет"/>
    <m/>
    <m/>
    <s v="ТРИ-С ДОН ООО"/>
    <s v="РОСТОВ-НА-ДОНУ"/>
    <n v="6167203111"/>
    <m/>
    <m/>
    <m/>
    <m/>
    <m/>
    <m/>
    <m/>
    <s v="Свой контакт (Менеджер)"/>
    <m/>
    <s v="Коммерческие"/>
    <s v="ООО"/>
    <n v="128915"/>
    <s v="Ростовская область - 5 час"/>
    <m/>
    <m/>
    <m/>
    <s v="Нет"/>
    <m/>
    <m/>
    <m/>
    <m/>
    <s v="Нет"/>
    <s v="Строительство"/>
    <m/>
    <m/>
    <m/>
    <s v="15cd6c88-2f7a-4169-971a-56bf87a2a028"/>
  </r>
  <r>
    <n v="318941"/>
    <s v="ЦП. 1С. Продажи"/>
    <s v="N"/>
    <s v="N"/>
    <x v="3"/>
    <m/>
    <m/>
    <m/>
    <m/>
    <m/>
    <s v="Багланова Антонина"/>
    <s v="ONE_C"/>
    <s v="ИП МОГИЛЕВСКИЙ МИХАИЛ ПЕТРОВИЧ 253305282634# - Другие сервисы"/>
    <s v="Продажа"/>
    <s v="CRM-форма"/>
    <s v="Форма контактных данных для открытых линий"/>
    <n v="1800"/>
    <s v="Российский рубль"/>
    <s v="ИП МОГИЛЕВСКИЙ МИХАИЛ ПЕТРОВИЧ 253305282634#"/>
    <s v="Инесса"/>
    <m/>
    <s v="нет"/>
    <d v="2026-08-19T17:40:54"/>
    <s v="Багланова Антонина"/>
    <d v="2026-08-25T00:04:14"/>
    <s v="ROBOT_M"/>
    <d v="2026-08-19T00:00:00"/>
    <d v="2026-08-26T00:00:00"/>
    <s v="Лицензия Доки-200 на 12 месяцев"/>
    <n v="1800"/>
    <n v="1"/>
    <m/>
    <m/>
    <m/>
    <m/>
    <m/>
    <n v="27"/>
    <d v="2026-08-20T17:28:29"/>
    <m/>
    <s v="yandex"/>
    <s v="cpc"/>
    <s v="epk_regions_1cfresh_1c_epd_h_1c_20_1Cepd_712237399"/>
    <n v="1.9150061843406999E+18"/>
    <s v="гис эпд"/>
    <s v="Договор-оферта"/>
    <s v="Нет"/>
    <n v="1"/>
    <s v="kmin-mp@mail.ru"/>
    <n v="79212636098"/>
    <m/>
    <m/>
    <s v="ЦП. 1С и ИТС. Коммерция"/>
    <m/>
    <m/>
    <m/>
    <m/>
    <m/>
    <m/>
    <n v="1"/>
    <s v="Инесса"/>
    <m/>
    <m/>
    <m/>
    <n v="2"/>
    <m/>
    <s v="ФРДТ-018476"/>
    <m/>
    <s v="ЦП. 1С. Коммерция"/>
    <m/>
    <m/>
    <m/>
    <m/>
    <d v="2026-08-19T00:00:00"/>
    <m/>
    <m/>
    <s v="[CO]ООО НПФ &quot;ФОРУС&quot; 3812023430#"/>
    <s v="Сервисы"/>
    <m/>
    <m/>
    <m/>
    <m/>
    <m/>
    <s v="Обычный"/>
    <m/>
    <m/>
    <s v="#Загружено из Битрикс-Коробка#"/>
    <m/>
    <m/>
    <n v="265582"/>
    <s v="1С-Доки"/>
    <m/>
    <m/>
    <m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Другие сервисы"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s v="Логистика и транспорт"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8-25T00:03:35"/>
    <d v="2026-08-24T17:23:48"/>
    <m/>
    <m/>
    <m/>
    <m/>
    <m/>
    <m/>
    <m/>
    <m/>
    <m/>
    <m/>
    <m/>
    <m/>
    <m/>
    <m/>
    <m/>
    <m/>
    <m/>
    <m/>
    <m/>
    <n v="398164"/>
    <m/>
    <m/>
    <s v="Инесса"/>
    <m/>
    <m/>
    <m/>
    <m/>
    <s v="Клиенты"/>
    <s v="ROBOT"/>
    <m/>
    <s v="CRM-форма"/>
    <s v="Форма контактных данных для открытых линий"/>
    <s v="Да"/>
    <s v="Багланова Антонина"/>
    <d v="2026-08-19T17:39:20"/>
    <s v="Дунаевская Светлана"/>
    <d v="2026-08-21T06:44:36"/>
    <m/>
    <m/>
    <m/>
    <m/>
    <m/>
    <m/>
    <m/>
    <n v="79212636098"/>
    <m/>
    <m/>
    <m/>
    <m/>
    <m/>
    <m/>
    <m/>
    <m/>
    <m/>
    <m/>
    <s v="kmin-mp@mail.ru"/>
    <m/>
    <m/>
    <m/>
    <m/>
    <m/>
    <m/>
    <m/>
    <s v="imol|livechat|18|290902|25493"/>
    <m/>
    <m/>
    <m/>
    <m/>
    <s v="Ладушкин г, Маяковского кв-л"/>
    <d v="2026-08-19T00:00:00"/>
    <s v="Да"/>
    <m/>
    <s v="Калининградская область -6 часов"/>
    <m/>
    <m/>
    <s v="Нет"/>
    <s v="0fb918be-5a86-49eb-b2eb-4439f24f571b"/>
    <n v="258300"/>
    <m/>
    <s v="ИП МОГИЛЕВСКИЙ МИХАИЛ ПЕТРОВИЧ 253305282634#"/>
    <s v="Клиент"/>
    <s v="менее 50"/>
    <s v="ROBOT"/>
    <m/>
    <s v="Информационные технологии"/>
    <s v="0.00"/>
    <s v="Российский рубль"/>
    <m/>
    <s v="Багланова Антонина"/>
    <d v="2026-08-19T17:43:00"/>
    <s v="ROBOT_M"/>
    <d v="2026-08-20T17:35:49"/>
    <m/>
    <m/>
    <n v="79212636098"/>
    <m/>
    <m/>
    <m/>
    <m/>
    <m/>
    <m/>
    <m/>
    <m/>
    <m/>
    <m/>
    <m/>
    <m/>
    <s v="kmin-mp@mail.ru"/>
    <m/>
    <m/>
    <m/>
    <m/>
    <m/>
    <m/>
    <m/>
    <m/>
    <m/>
    <m/>
    <m/>
    <m/>
    <m/>
    <m/>
    <m/>
    <m/>
    <n v="0"/>
    <s v="kmin-mp@mail.ru"/>
    <m/>
    <m/>
    <s v="49.42 Предоставление услуг по перевозкам"/>
    <m/>
    <s v="Нет"/>
    <m/>
    <m/>
    <s v="ИП Могилевский Михаил Петрович 253305282634"/>
    <s v="г Ладушкин"/>
    <n v="253305282634"/>
    <m/>
    <m/>
    <m/>
    <m/>
    <s v="kmin-mp@mail.ru"/>
    <m/>
    <m/>
    <s v="Свой контакт (Менеджер)"/>
    <m/>
    <s v="Коммерческие"/>
    <s v="ИП"/>
    <n v="128914"/>
    <s v="Калининградская область -6 часов"/>
    <m/>
    <m/>
    <m/>
    <s v="Нет"/>
    <m/>
    <m/>
    <m/>
    <m/>
    <s v="Нет"/>
    <s v="Услуги. Перевозки, логистика, склад"/>
    <m/>
    <m/>
    <m/>
    <s v="808f7e40-53d6-4823-9b63-b39d215487ce"/>
  </r>
  <r>
    <n v="318914"/>
    <s v="ЦП. 1С. Продажи"/>
    <s v="Y"/>
    <s v="N"/>
    <x v="3"/>
    <m/>
    <m/>
    <m/>
    <m/>
    <m/>
    <s v="Соболев Максим"/>
    <s v="ONE_C"/>
    <s v="ООО &quot;АФИНА&quot; 3804054393# - 1С-ЭПД"/>
    <s v="Продажа"/>
    <s v="Свой контакт (Менеджер)"/>
    <m/>
    <n v="11400"/>
    <s v="Российский рубль"/>
    <s v="ООО &quot;АФИНА&quot; 3804054393#"/>
    <s v="Грищенко Светлана Юрьевна"/>
    <m/>
    <s v="нет"/>
    <d v="2026-08-19T16:33:26"/>
    <s v="Соболев Максим"/>
    <d v="2026-09-02T10:00:48"/>
    <s v="Соболев Максим"/>
    <d v="2026-08-19T00:00:00"/>
    <d v="2026-08-26T00:00:00"/>
    <s v="Лицензия Доки-1500 на 12 месяцев"/>
    <n v="11400"/>
    <n v="1"/>
    <m/>
    <m/>
    <m/>
    <m/>
    <m/>
    <n v="508"/>
    <d v="2026-08-20T11:12:25"/>
    <m/>
    <m/>
    <m/>
    <m/>
    <m/>
    <m/>
    <s v="Договор-оферта"/>
    <s v="Нет"/>
    <n v="1"/>
    <m/>
    <m/>
    <m/>
    <s v="Братск г, Центральный жилрайон"/>
    <s v="ЦП. 1С и ИТС. Коммерция"/>
    <m/>
    <m/>
    <m/>
    <m/>
    <m/>
    <m/>
    <n v="0"/>
    <m/>
    <m/>
    <m/>
    <m/>
    <n v="8"/>
    <m/>
    <s v="ФРДТ-018529"/>
    <m/>
    <s v="ЦП. 1С. Коммерция"/>
    <m/>
    <m/>
    <m/>
    <m/>
    <d v="2026-09-01T00:00:00"/>
    <m/>
    <m/>
    <s v="[CO]ООО НПФ &quot;ФОРУС&quot; 3812023430#"/>
    <s v="Сервисы"/>
    <m/>
    <m/>
    <s v="Коммерческие"/>
    <m/>
    <m/>
    <s v="Обычный"/>
    <m/>
    <m/>
    <s v="#Загружено из Битрикс-Коробка#"/>
    <m/>
    <m/>
    <m/>
    <s v="1С-Доки"/>
    <m/>
    <m/>
    <m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-ЭПД"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9-02T10:00:00"/>
    <d v="2026-09-01T12:19:13"/>
    <s v="Завершен"/>
    <m/>
    <m/>
    <m/>
    <m/>
    <m/>
    <m/>
    <m/>
    <m/>
    <m/>
    <m/>
    <m/>
    <m/>
    <m/>
    <m/>
    <m/>
    <m/>
    <m/>
    <m/>
    <n v="291708"/>
    <m/>
    <m/>
    <s v="Светлана"/>
    <s v="Грищенко"/>
    <s v="Юрьевна"/>
    <d v="1981-01-26T00:00:00"/>
    <s v="Бухгалтер"/>
    <s v="Клиенты"/>
    <s v="ROBOT"/>
    <s v="[p] . [/p]"/>
    <s v="Звонок"/>
    <s v="Звонок поступил на номер: РТ 305-305."/>
    <s v="Да"/>
    <s v="Зайцева Алина"/>
    <d v="2022-08-17T15:39:40"/>
    <s v="Радкова Ангелина"/>
    <d v="2026-06-05T09:58:44"/>
    <m/>
    <n v="73953447545"/>
    <n v="79086437237"/>
    <m/>
    <m/>
    <m/>
    <m/>
    <m/>
    <m/>
    <m/>
    <m/>
    <m/>
    <m/>
    <m/>
    <m/>
    <s v="grishenko.81@mail.ru"/>
    <m/>
    <m/>
    <m/>
    <m/>
    <m/>
    <m/>
    <m/>
    <m/>
    <m/>
    <m/>
    <m/>
    <s v="imol|ank_chats_app24_whatsapp|32|79086437237|10864"/>
    <m/>
    <m/>
    <n v="10864"/>
    <s v="Братск Г."/>
    <d v="2022-08-17T00:00:00"/>
    <s v="Да"/>
    <m/>
    <s v="Иркутская область 0 часов"/>
    <m/>
    <m/>
    <s v="Нет"/>
    <s v="50bf193e-43e2-11e6-9036-0026554f9a58"/>
    <n v="112546"/>
    <m/>
    <s v="ООО &quot;АФИНА&quot; 3804054393#"/>
    <s v="Клиент. Группа компаний"/>
    <m/>
    <s v="ROBOT"/>
    <m/>
    <m/>
    <m/>
    <s v="Российский рубль"/>
    <m/>
    <s v="ROBOT_M"/>
    <d v="2021-07-07T00:52:08"/>
    <s v="ROBOT_UT"/>
    <d v="2026-09-01T11:44:19"/>
    <m/>
    <m/>
    <n v="79642282841"/>
    <m/>
    <m/>
    <m/>
    <m/>
    <m/>
    <m/>
    <m/>
    <m/>
    <m/>
    <m/>
    <m/>
    <m/>
    <s v="ryyduu@yandex.ru"/>
    <m/>
    <m/>
    <m/>
    <m/>
    <m/>
    <m/>
    <m/>
    <m/>
    <m/>
    <m/>
    <m/>
    <s v="imol|ank_chats_app24_whatsapp|32|79642282841|21011"/>
    <m/>
    <m/>
    <n v="21011"/>
    <m/>
    <n v="0"/>
    <s v="ryyduu@yandex.ru"/>
    <d v="2015-12-09T00:00:00"/>
    <m/>
    <s v="02.20 Лесозаготовки"/>
    <m/>
    <s v="Нет"/>
    <d v="2016-07-19T00:00:00"/>
    <d v="2025-04-10T00:00:00"/>
    <s v="АФИНА ООО"/>
    <s v="Братск г, Центральный жилрайон"/>
    <n v="3804054393"/>
    <m/>
    <m/>
    <m/>
    <m/>
    <s v="afina.v04@mail.ru"/>
    <m/>
    <m/>
    <m/>
    <m/>
    <s v="Коммерческие"/>
    <s v="ООО"/>
    <n v="41182"/>
    <s v="Иркутская область 0 часов"/>
    <m/>
    <m/>
    <m/>
    <s v="Да, компания работает"/>
    <s v="[C]Грищенко Светлана Юрьевна"/>
    <m/>
    <m/>
    <m/>
    <s v="Нет"/>
    <s v="Производство. Лесхоз и деревообработка"/>
    <m/>
    <m/>
    <m/>
    <s v="323100da-4c8e-11e6-958c-0026554f9a58"/>
  </r>
  <r>
    <n v="318901"/>
    <s v="ЦП. 1С. Продажи"/>
    <s v="N"/>
    <s v="N"/>
    <x v="8"/>
    <m/>
    <m/>
    <m/>
    <m/>
    <m/>
    <s v="Федорова Анастасия"/>
    <m/>
    <s v="Ильшат ЭПД"/>
    <s v="Продажа"/>
    <s v="Звонок"/>
    <s v="Список от Клуги Астрал по эпд"/>
    <s v="0.00"/>
    <s v="Российский рубль"/>
    <m/>
    <s v="Ильшат"/>
    <m/>
    <s v="нет"/>
    <d v="2026-08-19T15:52:42"/>
    <s v="Шкаруба Кристина"/>
    <d v="2026-08-25T15:24:40"/>
    <s v="ROBOT"/>
    <d v="2026-08-19T00:00:00"/>
    <d v="2026-08-26T00:00:00"/>
    <m/>
    <m/>
    <m/>
    <m/>
    <m/>
    <m/>
    <m/>
    <m/>
    <n v="23689"/>
    <d v="2026-08-21T16:14:20"/>
    <m/>
    <m/>
    <m/>
    <m/>
    <m/>
    <m/>
    <m/>
    <s v="Нет"/>
    <n v="1"/>
    <s v="ufastoune@yandex.ru"/>
    <n v="79093535353"/>
    <m/>
    <m/>
    <s v="ЦП. 1С и ИТС. Коммерция"/>
    <m/>
    <m/>
    <m/>
    <m/>
    <m/>
    <m/>
    <n v="0"/>
    <s v="Ильшат"/>
    <m/>
    <m/>
    <m/>
    <n v="3"/>
    <m/>
    <m/>
    <m/>
    <s v="ЦП. 1С. Коммерция"/>
    <m/>
    <m/>
    <m/>
    <m/>
    <m/>
    <m/>
    <m/>
    <m/>
    <m/>
    <m/>
    <m/>
    <m/>
    <m/>
    <m/>
    <s v="Обычный"/>
    <m/>
    <m/>
    <m/>
    <m/>
    <m/>
    <n v="265297"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s v="Уточнить потребност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Уточнить потребности"/>
    <m/>
    <m/>
    <m/>
    <m/>
    <m/>
    <d v="2026-08-21T16:14:21"/>
    <d v="2026-08-26T14:13:46"/>
    <m/>
    <m/>
    <m/>
    <m/>
    <m/>
    <m/>
    <m/>
    <m/>
    <m/>
    <m/>
    <m/>
    <m/>
    <m/>
    <m/>
    <m/>
    <m/>
    <m/>
    <m/>
    <m/>
    <n v="398149"/>
    <m/>
    <m/>
    <s v="Ильшат"/>
    <m/>
    <m/>
    <m/>
    <m/>
    <s v="Клиенты"/>
    <s v="ROBOT"/>
    <m/>
    <s v="Звонок"/>
    <s v="Список от Клуги Астрал по эпд"/>
    <s v="Да"/>
    <s v="Шкаруба Кристина"/>
    <d v="2026-08-19T15:52:37"/>
    <s v="ROBOT"/>
    <d v="2026-08-19T15:52:37"/>
    <m/>
    <m/>
    <n v="79093535353"/>
    <m/>
    <m/>
    <m/>
    <m/>
    <m/>
    <m/>
    <m/>
    <m/>
    <m/>
    <m/>
    <m/>
    <m/>
    <s v="ufastoune@yandex.ru"/>
    <m/>
    <m/>
    <m/>
    <m/>
    <m/>
    <m/>
    <m/>
    <m/>
    <m/>
    <m/>
    <m/>
    <m/>
    <m/>
    <m/>
    <m/>
    <s v="Башкортостан"/>
    <d v="2026-08-19T00:00:00"/>
    <s v="Да"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8887"/>
    <s v="ЦП. 1С. Продажи"/>
    <s v="Y"/>
    <s v="N"/>
    <x v="1"/>
    <m/>
    <m/>
    <m/>
    <m/>
    <m/>
    <s v="Соболев Максим"/>
    <m/>
    <s v="КБ &quot;БАЙКАЛКРЕДОБАНК&quot; (АО) 3807002717# 1С Программы и лицензии"/>
    <s v="Продажа"/>
    <s v="Звонок"/>
    <s v="Звонок поступил на номер: ЦП 78-00-00 (62)."/>
    <s v="0.00"/>
    <s v="Российский рубль"/>
    <s v="КБ &quot;БАЙКАЛКРЕДОБАНК&quot; (АО) 3807002717#"/>
    <s v="Кондакова Елена Владимировна"/>
    <m/>
    <s v="нет"/>
    <d v="2026-08-19T15:04:27"/>
    <s v="Соболев Максим"/>
    <d v="2026-08-25T09:20:10"/>
    <s v="Соболев Максим"/>
    <d v="2026-08-19T00:00:00"/>
    <d v="2026-08-26T00:00:00"/>
    <m/>
    <m/>
    <m/>
    <m/>
    <m/>
    <m/>
    <m/>
    <m/>
    <n v="508"/>
    <d v="2026-08-19T16:03:28"/>
    <m/>
    <m/>
    <m/>
    <m/>
    <m/>
    <m/>
    <m/>
    <s v="Нет"/>
    <n v="1"/>
    <m/>
    <n v="73952330299"/>
    <m/>
    <s v="Иркутск г"/>
    <s v="ЦП. 1С и ИТС. Коммерция"/>
    <m/>
    <m/>
    <m/>
    <m/>
    <m/>
    <m/>
    <n v="0"/>
    <m/>
    <m/>
    <m/>
    <m/>
    <n v="1"/>
    <m/>
    <m/>
    <m/>
    <s v="ЦП. 1С. Коммерция"/>
    <m/>
    <m/>
    <m/>
    <m/>
    <m/>
    <m/>
    <m/>
    <m/>
    <m/>
    <m/>
    <m/>
    <s v="Коммерческие"/>
    <m/>
    <m/>
    <s v="Обычный"/>
    <m/>
    <m/>
    <m/>
    <m/>
    <m/>
    <n v="265644"/>
    <m/>
    <m/>
    <m/>
    <m/>
    <m/>
    <m/>
    <m/>
    <s v="Не было отгрузок"/>
    <m/>
    <m/>
    <m/>
    <m/>
    <s v="Нет"/>
    <m/>
    <m/>
    <m/>
    <m/>
    <m/>
    <m/>
    <m/>
    <m/>
    <m/>
    <m/>
    <s v="1С Программы и лицензии"/>
    <s v="1С Бухгалтерия"/>
    <m/>
    <s v="Не нужно"/>
    <m/>
    <m/>
    <m/>
    <s v="Отправить счет/договор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НА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Отправить счет"/>
    <m/>
    <m/>
    <m/>
    <m/>
    <m/>
    <d v="2026-08-25T09:20:00"/>
    <d v="2026-08-28T16:27:19"/>
    <m/>
    <m/>
    <m/>
    <m/>
    <m/>
    <m/>
    <m/>
    <m/>
    <m/>
    <m/>
    <m/>
    <m/>
    <m/>
    <m/>
    <m/>
    <m/>
    <m/>
    <m/>
    <m/>
    <n v="145961"/>
    <m/>
    <m/>
    <s v="Елена"/>
    <s v="Кондакова"/>
    <s v="Владимировна"/>
    <d v="2001-01-01T00:00:00"/>
    <m/>
    <m/>
    <s v="ROBOT"/>
    <m/>
    <m/>
    <m/>
    <s v="Да"/>
    <s v="ROBOT_M"/>
    <d v="2021-07-08T20:51:54"/>
    <s v="ROBOT"/>
    <d v="2026-08-28T12:13:43"/>
    <m/>
    <s v="+73952241602#139"/>
    <n v="79646559179"/>
    <m/>
    <m/>
    <m/>
    <m/>
    <m/>
    <m/>
    <m/>
    <m/>
    <m/>
    <m/>
    <m/>
    <m/>
    <s v="kondakova@baikalcredobank.ru"/>
    <m/>
    <m/>
    <m/>
    <m/>
    <m/>
    <m/>
    <m/>
    <m/>
    <m/>
    <m/>
    <m/>
    <m/>
    <m/>
    <m/>
    <m/>
    <s v="Иркутск г"/>
    <d v="2020-12-28T00:00:00"/>
    <s v="Да"/>
    <m/>
    <s v="Иркутская область 0 часов"/>
    <m/>
    <m/>
    <s v="Нет"/>
    <s v="48e23861-8479-49ed-86f3-c596600bf68f"/>
    <n v="118795"/>
    <m/>
    <s v="КБ &quot;БАЙКАЛКРЕДОБАНК&quot; (АО) 3807002717#"/>
    <s v="Клиент"/>
    <m/>
    <s v="ROBOT"/>
    <m/>
    <m/>
    <m/>
    <s v="Российский рубль"/>
    <s v="Михаил Анапольский работают до 17. обед с 13 до 14"/>
    <s v="ROBOT_M"/>
    <d v="2021-07-07T05:31:12"/>
    <s v="ROBOT_UT"/>
    <d v="2026-09-02T10:16:08"/>
    <m/>
    <n v="221856817350"/>
    <n v="79148992715"/>
    <m/>
    <m/>
    <m/>
    <m/>
    <m/>
    <m/>
    <m/>
    <m/>
    <m/>
    <m/>
    <m/>
    <m/>
    <s v="classik@irk.ru"/>
    <m/>
    <m/>
    <m/>
    <m/>
    <m/>
    <m/>
    <m/>
    <m/>
    <m/>
    <m/>
    <m/>
    <m/>
    <m/>
    <m/>
    <m/>
    <m/>
    <n v="0"/>
    <s v="panova@baikalcredobank.ru"/>
    <d v="1994-07-20T00:00:00"/>
    <m/>
    <s v="64.19 Денежное посредничество прочее"/>
    <m/>
    <s v="Нет"/>
    <d v="2010-07-29T00:00:00"/>
    <d v="2025-02-20T00:00:00"/>
    <s v="БАЙКАЛКРЕДОБАНК (АО) КБ"/>
    <s v="Иркутск г"/>
    <n v="3807002717"/>
    <m/>
    <m/>
    <m/>
    <m/>
    <s v="kondakova@baikalcredobank.ru"/>
    <m/>
    <m/>
    <m/>
    <m/>
    <s v="Коммерческие"/>
    <s v="НАО"/>
    <n v="5660"/>
    <s v="Иркутская область 0 часов"/>
    <m/>
    <m/>
    <m/>
    <m/>
    <m/>
    <m/>
    <m/>
    <m/>
    <s v="Нет"/>
    <s v="Услуги. Финансовые и банковские"/>
    <m/>
    <m/>
    <m/>
    <s v="5b7b0f05-591f-11dd-a0d4-0019d104ffac"/>
  </r>
  <r>
    <n v="318872"/>
    <s v="ЦП. 1С. Продажи"/>
    <s v="N"/>
    <s v="Y"/>
    <x v="3"/>
    <m/>
    <s v="Савинская Евгения Федорова Анастасия"/>
    <m/>
    <m/>
    <m/>
    <s v="Федорова Анастасия"/>
    <s v="ONE_C"/>
    <s v="ООО &quot;ЭКОГАЗ 38&quot; 3849112373# - 1С: Розница, 1С Лицензии"/>
    <s v="Продажа"/>
    <s v="Звонок"/>
    <s v="Звонок поступил на номер: +7 395 219-91-00."/>
    <n v="9400"/>
    <s v="Российский рубль"/>
    <s v="ООО &quot;ЭКОГАЗ 38&quot; 3849112373#"/>
    <s v="Александр"/>
    <m/>
    <s v="нет"/>
    <d v="2026-08-19T13:53:33"/>
    <s v="Федорова Анастасия"/>
    <d v="2026-08-25T00:04:14"/>
    <s v="ROBOT_M"/>
    <d v="2026-08-19T00:00:00"/>
    <d v="2026-08-26T00:00:00"/>
    <s v="1С:Предприятие 8 ПРОФ. Клиентская лицензия на 1 рабочее место. Электронная поставка"/>
    <n v="9400"/>
    <n v="1"/>
    <s v="[p] небольшая организация, у которой есть определенный склад. необходимы функции: приходование товара, расход товара, реализация счета. нужна локальная программа [/p]"/>
    <m/>
    <m/>
    <m/>
    <m/>
    <n v="23689"/>
    <d v="2026-08-20T14:33:49"/>
    <m/>
    <m/>
    <m/>
    <m/>
    <m/>
    <m/>
    <s v="Договор-оферта"/>
    <s v="Нет"/>
    <n v="1"/>
    <m/>
    <n v="79086610788"/>
    <m/>
    <m/>
    <s v="ЦП. 1С и ИТС. Коммерция"/>
    <m/>
    <m/>
    <m/>
    <m/>
    <m/>
    <m/>
    <n v="0"/>
    <m/>
    <s v="[p] небольшая организация, у которой есть определенный склад. необходимы функции: приходование товара, расход товара, реализация счета. нужна локальная программа [/p]"/>
    <m/>
    <s v="Без опыта"/>
    <n v="10"/>
    <m/>
    <s v="ФРДТ-018455"/>
    <m/>
    <s v="ЦП. 1С. Коммерция"/>
    <m/>
    <m/>
    <m/>
    <m/>
    <d v="2026-08-19T00:00:00"/>
    <m/>
    <m/>
    <s v="[CO]ООО НПФ &quot;ФОРУС&quot; 3812023430#"/>
    <s v="Сублицензионный"/>
    <m/>
    <m/>
    <m/>
    <m/>
    <m/>
    <s v="Обычный"/>
    <m/>
    <m/>
    <s v="#Загружено из Битрикс-Коробка#"/>
    <m/>
    <m/>
    <n v="265657"/>
    <s v="1С 8 Розница;1С КлЛиц ПРОФ"/>
    <m/>
    <m/>
    <m/>
    <m/>
    <m/>
    <m/>
    <s v="Не было отгрузок"/>
    <m/>
    <m/>
    <m/>
    <m/>
    <s v="Нет"/>
    <m/>
    <m/>
    <m/>
    <m/>
    <m/>
    <m/>
    <m/>
    <m/>
    <m/>
    <m/>
    <s v="1С Программы и лицензии"/>
    <s v="1С: Розница, 1С Лицензии"/>
    <s v="Эл. Поставка"/>
    <s v="Не нужно"/>
    <m/>
    <m/>
    <m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8-25T00:03:34"/>
    <d v="2026-08-27T10:44:43"/>
    <m/>
    <m/>
    <m/>
    <m/>
    <m/>
    <m/>
    <m/>
    <m/>
    <m/>
    <m/>
    <m/>
    <m/>
    <m/>
    <m/>
    <m/>
    <m/>
    <m/>
    <m/>
    <m/>
    <n v="398100"/>
    <m/>
    <m/>
    <s v="Александр"/>
    <m/>
    <m/>
    <m/>
    <m/>
    <s v="Клиенты"/>
    <s v="ROBOT"/>
    <m/>
    <s v="Свой контакт (Менеджер)"/>
    <s v="Звонок поступил на номер: +7 395 219-91-00."/>
    <s v="Да"/>
    <s v="Кузьмина Елена"/>
    <d v="2026-08-19T11:45:32"/>
    <s v="Федорова Анастасия"/>
    <d v="2026-08-19T15:07:33"/>
    <m/>
    <m/>
    <n v="79086610788"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8-19T00:00:00"/>
    <s v="Да"/>
    <m/>
    <m/>
    <m/>
    <m/>
    <s v="Нет"/>
    <m/>
    <n v="258277"/>
    <m/>
    <s v="ООО &quot;ЭКОГАЗ 38&quot; 3849112373#"/>
    <s v="Клиент"/>
    <s v="менее 50"/>
    <s v="ROBOT"/>
    <m/>
    <s v="Информационные технологии"/>
    <s v="0.00"/>
    <s v="Российский рубль"/>
    <m/>
    <s v="Федорова Анастасия"/>
    <d v="2026-08-19T13:54:13"/>
    <s v="Дунаевская Светлана"/>
    <d v="2026-08-20T14:44:03"/>
    <m/>
    <m/>
    <m/>
    <m/>
    <m/>
    <m/>
    <m/>
    <m/>
    <m/>
    <m/>
    <m/>
    <m/>
    <m/>
    <m/>
    <m/>
    <s v="ekogaz38@yandex.ru"/>
    <m/>
    <m/>
    <m/>
    <m/>
    <m/>
    <m/>
    <m/>
    <m/>
    <m/>
    <m/>
    <m/>
    <m/>
    <m/>
    <m/>
    <m/>
    <m/>
    <n v="0"/>
    <m/>
    <d v="2026-02-24T00:00:00"/>
    <m/>
    <s v="43.22 Производство санитарно-технических работ, монтаж отопительных систем и систем кондиционирования воздуха"/>
    <m/>
    <s v="Нет"/>
    <m/>
    <m/>
    <s v="ЭКОГАЗ 38 ООО"/>
    <s v="ИРКУТСК"/>
    <n v="3849112373"/>
    <m/>
    <m/>
    <m/>
    <m/>
    <m/>
    <m/>
    <m/>
    <s v="Свой контакт (Менеджер)"/>
    <m/>
    <s v="Коммерческие"/>
    <s v="ООО"/>
    <n v="128898"/>
    <s v="Иркутская область 0 часов"/>
    <m/>
    <m/>
    <m/>
    <s v="Нет"/>
    <m/>
    <m/>
    <m/>
    <m/>
    <s v="Нет"/>
    <s v="Строительство"/>
    <m/>
    <m/>
    <m/>
    <s v="ba2ce27d-b3de-41e1-8e26-f6dcaaa485b8"/>
  </r>
  <r>
    <n v="318872"/>
    <s v="ЦП. 1С. Продажи"/>
    <s v="N"/>
    <s v="Y"/>
    <x v="3"/>
    <m/>
    <s v="Савинская Евгения Федорова Анастасия"/>
    <m/>
    <m/>
    <m/>
    <s v="Федорова Анастасия"/>
    <s v="ONE_C"/>
    <s v="ООО &quot;ЭКОГАЗ 38&quot; 3849112373# - 1С: Розница, 1С Лицензии"/>
    <s v="Продажа"/>
    <s v="Звонок"/>
    <s v="Звонок поступил на номер: +7 395 219-91-00."/>
    <n v="23000"/>
    <s v="Российский рубль"/>
    <s v="ООО &quot;ЭКОГАЗ 38&quot; 3849112373#"/>
    <s v="Александр"/>
    <m/>
    <s v="нет"/>
    <d v="2026-08-19T13:53:33"/>
    <s v="Федорова Анастасия"/>
    <d v="2026-08-25T00:04:14"/>
    <s v="ROBOT_M"/>
    <d v="2026-08-19T00:00:00"/>
    <d v="2026-08-26T00:00:00"/>
    <s v="1С:Розница 8 ПРОФ. Электронная поставка (&lt;&gt;)"/>
    <n v="23000"/>
    <n v="1"/>
    <s v="[p] небольшая организация, у которой есть определенный склад. необходимы функции: приходование товара, расход товара, реализация счета. нужна локальная программа [/p]"/>
    <m/>
    <m/>
    <m/>
    <m/>
    <n v="23689"/>
    <d v="2026-08-20T14:33:49"/>
    <m/>
    <m/>
    <m/>
    <m/>
    <m/>
    <m/>
    <s v="Договор-оферта"/>
    <s v="Нет"/>
    <n v="1"/>
    <m/>
    <n v="79086610788"/>
    <m/>
    <m/>
    <s v="ЦП. 1С и ИТС. Коммерция"/>
    <m/>
    <m/>
    <m/>
    <m/>
    <m/>
    <m/>
    <n v="0"/>
    <m/>
    <s v="[p] небольшая организация, у которой есть определенный склад. необходимы функции: приходование товара, расход товара, реализация счета. нужна локальная программа [/p]"/>
    <m/>
    <s v="Без опыта"/>
    <n v="10"/>
    <m/>
    <s v="ФРДТ-018455"/>
    <m/>
    <s v="ЦП. 1С. Коммерция"/>
    <m/>
    <m/>
    <m/>
    <m/>
    <d v="2026-08-19T00:00:00"/>
    <m/>
    <m/>
    <s v="[CO]ООО НПФ &quot;ФОРУС&quot; 3812023430#"/>
    <s v="Сублицензионный"/>
    <m/>
    <m/>
    <m/>
    <m/>
    <m/>
    <s v="Обычный"/>
    <m/>
    <m/>
    <s v="#Загружено из Битрикс-Коробка#"/>
    <m/>
    <m/>
    <n v="265657"/>
    <s v="1С 8 Розница;1С КлЛиц ПРОФ"/>
    <m/>
    <m/>
    <m/>
    <m/>
    <m/>
    <m/>
    <s v="Не было отгрузок"/>
    <m/>
    <m/>
    <m/>
    <m/>
    <s v="Нет"/>
    <m/>
    <m/>
    <m/>
    <m/>
    <m/>
    <m/>
    <m/>
    <m/>
    <m/>
    <m/>
    <s v="1С Программы и лицензии"/>
    <s v="1С: Розница, 1С Лицензии"/>
    <s v="Эл. Поставка"/>
    <s v="Не нужно"/>
    <m/>
    <m/>
    <m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8-25T00:03:34"/>
    <d v="2026-08-27T10:44:43"/>
    <m/>
    <m/>
    <m/>
    <m/>
    <m/>
    <m/>
    <m/>
    <m/>
    <m/>
    <m/>
    <m/>
    <m/>
    <m/>
    <m/>
    <m/>
    <m/>
    <m/>
    <m/>
    <m/>
    <n v="398100"/>
    <m/>
    <m/>
    <s v="Александр"/>
    <m/>
    <m/>
    <m/>
    <m/>
    <s v="Клиенты"/>
    <s v="ROBOT"/>
    <m/>
    <s v="Свой контакт (Менеджер)"/>
    <s v="Звонок поступил на номер: +7 395 219-91-00."/>
    <s v="Да"/>
    <s v="Кузьмина Елена"/>
    <d v="2026-08-19T11:45:32"/>
    <s v="Федорова Анастасия"/>
    <d v="2026-08-19T15:07:33"/>
    <m/>
    <m/>
    <n v="79086610788"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8-19T00:00:00"/>
    <s v="Да"/>
    <m/>
    <m/>
    <m/>
    <m/>
    <s v="Нет"/>
    <m/>
    <n v="258277"/>
    <m/>
    <s v="ООО &quot;ЭКОГАЗ 38&quot; 3849112373#"/>
    <s v="Клиент"/>
    <s v="менее 50"/>
    <s v="ROBOT"/>
    <m/>
    <s v="Информационные технологии"/>
    <s v="0.00"/>
    <s v="Российский рубль"/>
    <m/>
    <s v="Федорова Анастасия"/>
    <d v="2026-08-19T13:54:13"/>
    <s v="Дунаевская Светлана"/>
    <d v="2026-08-20T14:44:03"/>
    <m/>
    <m/>
    <m/>
    <m/>
    <m/>
    <m/>
    <m/>
    <m/>
    <m/>
    <m/>
    <m/>
    <m/>
    <m/>
    <m/>
    <m/>
    <s v="ekogaz38@yandex.ru"/>
    <m/>
    <m/>
    <m/>
    <m/>
    <m/>
    <m/>
    <m/>
    <m/>
    <m/>
    <m/>
    <m/>
    <m/>
    <m/>
    <m/>
    <m/>
    <m/>
    <n v="0"/>
    <m/>
    <d v="2026-02-24T00:00:00"/>
    <m/>
    <s v="43.22 Производство санитарно-технических работ, монтаж отопительных систем и систем кондиционирования воздуха"/>
    <m/>
    <s v="Нет"/>
    <m/>
    <m/>
    <s v="ЭКОГАЗ 38 ООО"/>
    <s v="ИРКУТСК"/>
    <n v="3849112373"/>
    <m/>
    <m/>
    <m/>
    <m/>
    <m/>
    <m/>
    <m/>
    <s v="Свой контакт (Менеджер)"/>
    <m/>
    <s v="Коммерческие"/>
    <s v="ООО"/>
    <n v="128898"/>
    <s v="Иркутская область 0 часов"/>
    <m/>
    <m/>
    <m/>
    <s v="Нет"/>
    <m/>
    <m/>
    <m/>
    <m/>
    <s v="Нет"/>
    <s v="Строительство"/>
    <m/>
    <m/>
    <m/>
    <s v="ba2ce27d-b3de-41e1-8e26-f6dcaaa485b8"/>
  </r>
  <r>
    <n v="318807"/>
    <s v="ЦП. 1С. Продажи"/>
    <s v="Y"/>
    <s v="N"/>
    <x v="3"/>
    <m/>
    <m/>
    <m/>
    <m/>
    <m/>
    <s v="Федорова Анастасия"/>
    <s v="ONE_C"/>
    <s v="ООО &quot;Байкал-Техника&quot; 3808060711# - 1С-ЭДО"/>
    <s v="Продажа"/>
    <s v="Свой контакт (Менеджер)"/>
    <m/>
    <n v="42000"/>
    <s v="Российский рубль"/>
    <s v="ООО &quot;БАЙКАЛ-ТЕХНИКА&quot; 3808060711#"/>
    <s v="Ольга Ольга"/>
    <m/>
    <s v="нет"/>
    <d v="2026-08-19T10:01:59"/>
    <s v="Федорова Анастасия"/>
    <d v="2026-09-02T10:00:48"/>
    <s v="Федорова Анастасия"/>
    <d v="2026-08-19T00:00:00"/>
    <d v="2026-08-26T00:00:00"/>
    <s v="1С-ЭДО годовой. 6000"/>
    <n v="42000"/>
    <n v="1"/>
    <m/>
    <m/>
    <m/>
    <m/>
    <m/>
    <n v="23689"/>
    <d v="2026-08-19T10:08:21"/>
    <m/>
    <m/>
    <m/>
    <m/>
    <m/>
    <m/>
    <s v="Договор-оферта"/>
    <s v="Нет"/>
    <n v="1"/>
    <m/>
    <m/>
    <m/>
    <s v="Иркутск"/>
    <s v="ЦП. 1С и ИТС. Коммерция"/>
    <m/>
    <m/>
    <m/>
    <m/>
    <m/>
    <m/>
    <m/>
    <m/>
    <m/>
    <m/>
    <m/>
    <n v="4"/>
    <m/>
    <s v="ФРДТ-018403"/>
    <m/>
    <s v="ЦП. 1С. Коммерция"/>
    <m/>
    <m/>
    <m/>
    <m/>
    <d v="2026-08-19T00:00:00"/>
    <m/>
    <m/>
    <s v="[CO]ООО НПФ &quot;ФОРУС&quot; 3812023430#"/>
    <s v="Сервисы"/>
    <m/>
    <m/>
    <m/>
    <m/>
    <m/>
    <s v="Обычный"/>
    <m/>
    <m/>
    <s v="#Загружено из Битрикс-Коробка#"/>
    <m/>
    <m/>
    <m/>
    <s v="1С-ЭДО Предоплаченные ТП"/>
    <m/>
    <m/>
    <m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-ЭДО"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9-02T10:00:00"/>
    <d v="2026-08-27T10:10:25"/>
    <m/>
    <m/>
    <m/>
    <m/>
    <m/>
    <m/>
    <m/>
    <m/>
    <m/>
    <m/>
    <m/>
    <m/>
    <m/>
    <m/>
    <m/>
    <m/>
    <m/>
    <m/>
    <m/>
    <n v="397929"/>
    <m/>
    <m/>
    <s v="Ольга"/>
    <s v="Ольга"/>
    <m/>
    <m/>
    <m/>
    <s v="Клиенты"/>
    <s v="ROBOT"/>
    <m/>
    <s v="Свой контакт (Менеджер)"/>
    <m/>
    <s v="Да"/>
    <s v="Федорова Анастасия"/>
    <d v="2026-08-17T13:37:39"/>
    <s v="ROBOT"/>
    <d v="2026-08-21T15:00:29"/>
    <m/>
    <m/>
    <n v="79025778565"/>
    <m/>
    <m/>
    <m/>
    <m/>
    <m/>
    <m/>
    <m/>
    <m/>
    <m/>
    <m/>
    <m/>
    <m/>
    <s v="bulkatex@mail.ru"/>
    <m/>
    <m/>
    <m/>
    <m/>
    <m/>
    <m/>
    <m/>
    <m/>
    <m/>
    <m/>
    <m/>
    <m/>
    <m/>
    <m/>
    <m/>
    <s v="Иркутск г, Иркутск г"/>
    <d v="2026-08-17T00:00:00"/>
    <s v="Да"/>
    <m/>
    <s v="Иркутская область 0 часов"/>
    <m/>
    <m/>
    <s v="Нет"/>
    <s v="8c2ec6f6-62af-41d5-9987-06384640b6d7"/>
    <n v="127574"/>
    <m/>
    <s v="ООО &quot;БАЙКАЛ-ТЕХНИКА&quot; 3808060711#"/>
    <s v="Клиент"/>
    <m/>
    <s v="ROBOT"/>
    <m/>
    <m/>
    <m/>
    <s v="Российский рубль"/>
    <m/>
    <s v="ROBOT_M"/>
    <d v="2021-07-07T12:12:28"/>
    <s v="ROBOT_UT"/>
    <d v="2026-08-24T00:06:59"/>
    <m/>
    <n v="739524866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d v="2000-03-14T00:00:00"/>
    <m/>
    <s v="68.20.2 Аренда и управление собственным или арендованным нежилым недвижимым имуществом"/>
    <m/>
    <s v="Нет"/>
    <m/>
    <d v="2015-11-11T00:00:00"/>
    <s v="БАЙКАЛ-ТЕХНИКА ООО"/>
    <s v="Иркутск"/>
    <n v="3808060711"/>
    <m/>
    <m/>
    <m/>
    <m/>
    <s v="bulkatex@mail.ru"/>
    <m/>
    <m/>
    <m/>
    <m/>
    <s v="Коммерческие"/>
    <s v="ООО"/>
    <n v="38449"/>
    <s v="Иркутская область 0 часов"/>
    <m/>
    <m/>
    <m/>
    <m/>
    <m/>
    <m/>
    <m/>
    <m/>
    <s v="Нет"/>
    <s v="Услуги. Недвижимость"/>
    <m/>
    <m/>
    <m/>
    <s v="5ffbb26e-869e-11e5-b944-0026554f9a58"/>
  </r>
  <r>
    <n v="318684"/>
    <s v="ЦП. 1С. Продажи"/>
    <s v="Y"/>
    <s v="N"/>
    <x v="3"/>
    <m/>
    <m/>
    <m/>
    <m/>
    <m/>
    <s v="Соболев Максим"/>
    <s v="ONE_C"/>
    <s v="31.12.26 ООО &quot;АВТОДОР&quot; 0300002418# - 1С КП Базовый"/>
    <s v="Продажа"/>
    <s v="Свой контакт (Менеджер)"/>
    <m/>
    <n v="24168"/>
    <s v="Российский рубль"/>
    <s v="ООО &quot;АВТОДОР&quot; 0300002418#"/>
    <s v="Зубкова Анна Александровна"/>
    <m/>
    <s v="нет"/>
    <d v="2026-08-18T12:21:07"/>
    <s v="Соболев Максим"/>
    <d v="2026-08-21T00:03:49"/>
    <s v="ROBOT_M"/>
    <d v="2026-08-18T00:00:00"/>
    <d v="2026-08-25T00:00:00"/>
    <s v="1С:КП Базовый на 12 месяцев. Льготная цена"/>
    <n v="24168"/>
    <n v="1"/>
    <m/>
    <m/>
    <m/>
    <m/>
    <m/>
    <n v="508"/>
    <d v="2026-08-18T12:25:03"/>
    <m/>
    <m/>
    <m/>
    <m/>
    <m/>
    <m/>
    <s v="Договор-оферта"/>
    <s v="Нет"/>
    <n v="1"/>
    <m/>
    <m/>
    <m/>
    <s v="УЛАН-УДЭ"/>
    <s v="ЦП. 1С и ИТС. Коммерция"/>
    <m/>
    <m/>
    <m/>
    <m/>
    <m/>
    <m/>
    <n v="0"/>
    <m/>
    <m/>
    <m/>
    <m/>
    <n v="4"/>
    <m/>
    <s v="ФРДТ-018328"/>
    <m/>
    <s v="ЦП. 1С. Коммерция"/>
    <m/>
    <m/>
    <m/>
    <m/>
    <d v="2026-08-18T00:00:00"/>
    <m/>
    <m/>
    <s v="[CO]ООО НПФ &quot;ФОРУС&quot; 3812023430#"/>
    <s v="Сервисы"/>
    <m/>
    <m/>
    <s v="Коммерческие"/>
    <m/>
    <m/>
    <s v="Обычный"/>
    <m/>
    <m/>
    <s v="#Загружено из Битрикс-Коробка#"/>
    <m/>
    <m/>
    <m/>
    <s v="ИТС КП Базовый"/>
    <m/>
    <m/>
    <m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 КП Базовый"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8-21T00:03:03"/>
    <d v="2026-09-02T16:38:04"/>
    <m/>
    <m/>
    <m/>
    <m/>
    <m/>
    <m/>
    <m/>
    <m/>
    <m/>
    <m/>
    <m/>
    <m/>
    <m/>
    <m/>
    <m/>
    <m/>
    <m/>
    <m/>
    <m/>
    <n v="299798"/>
    <m/>
    <m/>
    <s v="Анна"/>
    <s v="Зубкова"/>
    <s v="Александровна"/>
    <m/>
    <m/>
    <s v="Клиенты"/>
    <s v="ROBOT"/>
    <s v="Заказ на сайте its.1c.ru ORD230112-1673486070 a:link, a:visited {color:#16489b;text-decoration:"/>
    <s v="1С Сайт its.1c.ru"/>
    <m/>
    <s v="Да"/>
    <s v="Шелемина Кристина"/>
    <d v="2023-01-12T13:25:58"/>
    <s v="Дунаевская Светлана"/>
    <d v="2026-08-19T06:44:39"/>
    <m/>
    <m/>
    <n v="79027640987"/>
    <m/>
    <m/>
    <m/>
    <m/>
    <m/>
    <m/>
    <m/>
    <m/>
    <m/>
    <m/>
    <m/>
    <m/>
    <s v="baikalstroy@mail.ru, zubkova@filit-ang.ru"/>
    <m/>
    <m/>
    <m/>
    <m/>
    <m/>
    <m/>
    <m/>
    <m/>
    <m/>
    <m/>
    <s v="imol|livechat|18|290093|25461"/>
    <m/>
    <m/>
    <m/>
    <n v="25461"/>
    <s v="Ангарск г"/>
    <d v="2023-01-12T00:00:00"/>
    <s v="Да"/>
    <m/>
    <s v="Республика Бурятия 0 часов"/>
    <m/>
    <m/>
    <s v="Нет"/>
    <s v="bfc62c33-7c00-4bbd-8473-30a8b7784540"/>
    <n v="258182"/>
    <m/>
    <s v="ООО &quot;АВТОДОР&quot; 0300002418#"/>
    <s v="Клиент"/>
    <s v="менее 50"/>
    <s v="ROBOT"/>
    <m/>
    <s v="Информационные технологии"/>
    <s v="0.00"/>
    <s v="Российский рубль"/>
    <m/>
    <s v="Соболев Максим"/>
    <d v="2026-08-17T14:30:19"/>
    <s v="ROBOT_UT"/>
    <d v="2026-08-26T13:05:06"/>
    <m/>
    <n v="73012378477"/>
    <m/>
    <m/>
    <m/>
    <m/>
    <m/>
    <m/>
    <m/>
    <m/>
    <m/>
    <m/>
    <m/>
    <m/>
    <m/>
    <s v="avtodor03@list.ru"/>
    <m/>
    <m/>
    <m/>
    <m/>
    <m/>
    <m/>
    <m/>
    <m/>
    <m/>
    <m/>
    <m/>
    <m/>
    <m/>
    <m/>
    <m/>
    <m/>
    <n v="0"/>
    <s v="avtodor03@list.ru"/>
    <d v="2022-01-28T00:00:00"/>
    <m/>
    <s v="42.11 Строительство автомобильных дорог и автомагистралей"/>
    <m/>
    <s v="Нет"/>
    <m/>
    <m/>
    <s v="АВТОДОР ООО"/>
    <s v="УЛАН-УДЭ"/>
    <n v="300002418"/>
    <m/>
    <m/>
    <m/>
    <m/>
    <s v="avtodor03@list.ru"/>
    <m/>
    <m/>
    <s v="Свой контакт (Менеджер)"/>
    <m/>
    <s v="Коммерческие"/>
    <s v="ООО"/>
    <n v="128813"/>
    <s v="Республика Бурятия 0 часов"/>
    <m/>
    <m/>
    <m/>
    <s v="Нет"/>
    <m/>
    <m/>
    <m/>
    <m/>
    <s v="Нет"/>
    <s v="Строительство"/>
    <m/>
    <m/>
    <m/>
    <s v="287ea6ad-0262-4555-9693-68c3dfc56f35"/>
  </r>
  <r>
    <n v="318658"/>
    <s v="ЦП. ФРЕШ. Продажи"/>
    <s v="N"/>
    <s v="N"/>
    <x v="6"/>
    <m/>
    <m/>
    <m/>
    <m/>
    <m/>
    <s v="Соболев Максим"/>
    <s v="ONE_C"/>
    <s v="ООО &quot;ИНТЕРСТРОЙАЛЬЯНС&quot; 3808296770# - ФРЕШ. Базовый"/>
    <s v="Продажа"/>
    <s v="Звонок"/>
    <m/>
    <n v="18100"/>
    <s v="Российский рубль"/>
    <s v="ООО &quot;ИНТЕРСТРОЙАЛЬЯНС&quot; 3808296770#"/>
    <s v="Чепкасова Марина"/>
    <m/>
    <s v="нет"/>
    <d v="2026-08-18T11:02:21"/>
    <s v="Соболев Максим"/>
    <d v="2026-09-02T08:59:45"/>
    <s v="Соболев Максим"/>
    <d v="2026-08-18T00:00:00"/>
    <d v="2026-08-25T00:00:00"/>
    <s v="1С:Фреш - 1C:Предприятие 8 через Интернет. Базовый на 12 мес. (&lt;&gt;)"/>
    <n v="18100"/>
    <n v="1"/>
    <m/>
    <m/>
    <m/>
    <m/>
    <m/>
    <n v="5"/>
    <d v="2026-08-18T11:37:50"/>
    <m/>
    <m/>
    <m/>
    <m/>
    <m/>
    <m/>
    <s v="Договор-оферта"/>
    <s v="Нет"/>
    <n v="1"/>
    <s v="aig0000038@gmail.com"/>
    <s v="+7 964 353-48-99"/>
    <m/>
    <s v="г Иркутск"/>
    <s v="ЦП. 1С и ИТС. Коммерция"/>
    <d v="2026-09-17T00:00:00"/>
    <m/>
    <m/>
    <m/>
    <m/>
    <m/>
    <n v="0"/>
    <s v="Чепкасова Марина"/>
    <m/>
    <m/>
    <m/>
    <n v="7"/>
    <m/>
    <s v="ФРДТ-018320"/>
    <m/>
    <s v="ЦП. 1С. Коммерция"/>
    <m/>
    <m/>
    <m/>
    <m/>
    <d v="2026-08-18T00:00:00"/>
    <m/>
    <m/>
    <s v="[CO]ООО НПФ &quot;ФОРУС&quot; 3812023430#"/>
    <s v="Сервисы"/>
    <m/>
    <m/>
    <s v="Коммерческие"/>
    <m/>
    <m/>
    <s v="Обычный"/>
    <m/>
    <m/>
    <s v="#Загружено из Битрикс-Коробка#"/>
    <d v="2026-08-24T00:00:00"/>
    <m/>
    <m/>
    <s v="Фреш Коммерс Базовый"/>
    <m/>
    <m/>
    <m/>
    <m/>
    <m/>
    <m/>
    <s v="Не было отгрузок"/>
    <m/>
    <m/>
    <m/>
    <m/>
    <s v="Нет"/>
    <m/>
    <m/>
    <m/>
    <s v="ФРЕШ. Базовый"/>
    <s v="1С:Бух +ЭТК"/>
    <m/>
    <m/>
    <m/>
    <m/>
    <s v="Уточнить потребности / Дать тест. доступ"/>
    <m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9-02T09:00:00"/>
    <d v="2026-09-01T15:58:23"/>
    <s v="Завершен"/>
    <m/>
    <m/>
    <m/>
    <m/>
    <m/>
    <m/>
    <m/>
    <m/>
    <m/>
    <m/>
    <m/>
    <m/>
    <m/>
    <m/>
    <m/>
    <m/>
    <m/>
    <m/>
    <n v="388366"/>
    <m/>
    <m/>
    <s v="Марина"/>
    <s v="Чепкасова"/>
    <m/>
    <m/>
    <s v="Бухгалтер"/>
    <s v="Клиенты"/>
    <s v="ROBOT"/>
    <s v="[p] [u][b]1. Какой инструмент вы используете для организации удобного доступа сотрудников к кадровым документам (справки, отпуска, расчетные листки)? - Пока не используем, но интересно[/b][/u] 2. Бесплатная демонстрация программ и сервисов 1С - Кадровый ЭДО, мобильные расчетные листки, Работа с личным кабинетом ЕНС прямо из 1С, Удобное взаимодействие с банками из программ 1С 3. Есть (1С:ИТС)? - Да 4. Каким оператором ЭДО вы сейчас пользуетесь? - 1С-ЭДО / Доки 5. С 1 сентября 2026 года все участники автомобильных грузоперевозок обязаны оформлять транспортные документы в электронном виде. Вы уже определили, распространяется ли это требование на вашу организацию? - Да, в мы в процессе подключения ЭПД [u][b]6. Какие задачи вы хотели бы решать в 1С за 1–3 минуты? - Уведомлять сотрудника об отпуске по графику прямо из 1С[/b][/u] [u][b]7. Как вы относитесь к идее вводить первичные документы (счета, накладные, чеки) в 1С просто по фото — без ручного набора данных? - Да, это значительно ускорит работу[/b][/u] [/p]"/>
    <s v="Мероприятие Форус"/>
    <s v="ЕС 1C 8.04.2026 Анкета"/>
    <s v="Да"/>
    <s v="Киселева Екатерина"/>
    <d v="2026-04-15T12:47:18"/>
    <s v="Смирнова София"/>
    <d v="2026-09-01T16:00:35"/>
    <m/>
    <m/>
    <n v="79643534899"/>
    <m/>
    <m/>
    <m/>
    <m/>
    <m/>
    <m/>
    <m/>
    <m/>
    <m/>
    <m/>
    <m/>
    <m/>
    <s v="urchic@yandex.ru"/>
    <m/>
    <m/>
    <m/>
    <m/>
    <m/>
    <m/>
    <m/>
    <m/>
    <m/>
    <m/>
    <m/>
    <m/>
    <m/>
    <m/>
    <m/>
    <s v="Ангарск г"/>
    <d v="2026-04-15T00:00:00"/>
    <s v="Да"/>
    <m/>
    <s v="Иркутская область 0 часов"/>
    <m/>
    <m/>
    <s v="Нет"/>
    <s v="67d20bf1-6862-4fde-afbc-adba4b7b5e64"/>
    <n v="258222"/>
    <m/>
    <s v="ООО &quot;ИНТЕРСТРОЙАЛЬЯНС&quot; 3808296770#"/>
    <s v="Клиент"/>
    <s v="менее 50"/>
    <s v="ROBOT"/>
    <m/>
    <s v="Информационные технологии"/>
    <s v="0.00"/>
    <s v="Российский рубль"/>
    <m/>
    <s v="Соболев Максим"/>
    <d v="2026-08-18T11:01:39"/>
    <s v="ROBOT_M"/>
    <d v="2026-09-01T14:57:37"/>
    <m/>
    <m/>
    <m/>
    <m/>
    <m/>
    <m/>
    <m/>
    <m/>
    <m/>
    <m/>
    <m/>
    <m/>
    <m/>
    <m/>
    <m/>
    <s v="aig0000038@gmail.com"/>
    <m/>
    <m/>
    <m/>
    <m/>
    <m/>
    <m/>
    <m/>
    <m/>
    <m/>
    <m/>
    <m/>
    <m/>
    <m/>
    <m/>
    <m/>
    <m/>
    <n v="0"/>
    <s v="aig0000038@gmail.com"/>
    <d v="2026-04-15T00:00:00"/>
    <m/>
    <s v="41.20 Строительство жилых и нежилых зданий"/>
    <m/>
    <s v="Нет"/>
    <m/>
    <m/>
    <s v="ИНТЕРСТРОЙАЛЬЯНС ООО"/>
    <s v="г Иркутск"/>
    <n v="3808296770"/>
    <m/>
    <m/>
    <m/>
    <m/>
    <s v="aig0000038@gmail.com"/>
    <m/>
    <m/>
    <s v="Свой контакт (Менеджер)"/>
    <m/>
    <s v="Коммерческие"/>
    <s v="ООО"/>
    <n v="128859"/>
    <s v="Иркутская область 0 часов"/>
    <m/>
    <m/>
    <m/>
    <s v="Нет"/>
    <m/>
    <m/>
    <m/>
    <m/>
    <s v="Нет"/>
    <s v="Строительство"/>
    <m/>
    <m/>
    <m/>
    <s v="e5c47d9f-0a27-4f02-acc6-6bbffa4985d4"/>
  </r>
  <r>
    <n v="318639"/>
    <s v="ЦП. 1С. Продажи"/>
    <s v="Y"/>
    <s v="N"/>
    <x v="3"/>
    <m/>
    <m/>
    <m/>
    <m/>
    <m/>
    <s v="Федосеев Максим"/>
    <s v="ONE_C"/>
    <s v="ОАО ГОСТИНИЧНЫЙ КОМПЛЕКС &quot;АНГАРА&quot; 3800000277# - 1С Лицензии"/>
    <s v="Продажа"/>
    <s v="По рекомендации/ Почкование"/>
    <m/>
    <n v="105650"/>
    <s v="Российский рубль"/>
    <s v="ОАО ГОСТИНИЧНЫЙ КОМПЛЕКС &quot;АНГАРА&quot; 3800000277#"/>
    <s v="Александр"/>
    <m/>
    <s v="нет"/>
    <d v="2026-08-18T09:18:20"/>
    <s v="Федосеев Максим"/>
    <d v="2026-08-26T09:48:06"/>
    <s v="Шумилова Ольга"/>
    <d v="2026-08-18T00:00:00"/>
    <d v="2026-08-25T00:00:00"/>
    <s v="1С:Предприятие 8.3 ПРОФ. Лицензия на сервер (x86-64). Электронная поставка (Апгрейд с 1С:Предприятие 8.3. Сервер МИНИ на 5 подключений. Электронная поставка)"/>
    <n v="105650"/>
    <n v="1"/>
    <m/>
    <m/>
    <m/>
    <m/>
    <m/>
    <n v="14748"/>
    <d v="2026-08-18T09:51:11"/>
    <m/>
    <m/>
    <m/>
    <m/>
    <m/>
    <m/>
    <s v="Договор-оферта"/>
    <s v="Нет"/>
    <n v="1"/>
    <m/>
    <m/>
    <m/>
    <s v="Иркутск г"/>
    <s v="ЦП. 1С и ИТС. Коммерция"/>
    <m/>
    <m/>
    <m/>
    <m/>
    <m/>
    <m/>
    <n v="0"/>
    <m/>
    <m/>
    <m/>
    <s v="Небольшой опыт"/>
    <n v="7"/>
    <m/>
    <s v="ФРДТ-018294"/>
    <m/>
    <s v="ЦП. 1С. Коммерция"/>
    <m/>
    <m/>
    <m/>
    <m/>
    <d v="2026-08-18T00:00:00"/>
    <m/>
    <m/>
    <s v="[CO]ООО НПФ &quot;ФОРУС&quot; 3812023430#"/>
    <s v="Сублицензионный"/>
    <m/>
    <m/>
    <s v="Коммерческие"/>
    <m/>
    <m/>
    <s v="Обычный"/>
    <m/>
    <m/>
    <s v="#Загружено из Битрикс-Коробка#"/>
    <m/>
    <m/>
    <m/>
    <s v="1С СервЛиц ПРОФ"/>
    <m/>
    <m/>
    <m/>
    <m/>
    <m/>
    <m/>
    <s v="Не было отгрузок"/>
    <m/>
    <m/>
    <m/>
    <m/>
    <s v="Нет"/>
    <m/>
    <m/>
    <m/>
    <m/>
    <m/>
    <m/>
    <m/>
    <m/>
    <m/>
    <m/>
    <s v="1С Программы и лицензии"/>
    <s v="1С Лицензии"/>
    <s v="Эл. Поставка"/>
    <s v="Не нужно"/>
    <m/>
    <m/>
    <m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ПА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8-26T09:35:18"/>
    <d v="2026-08-28T17:36:38"/>
    <m/>
    <m/>
    <m/>
    <m/>
    <m/>
    <m/>
    <m/>
    <m/>
    <m/>
    <m/>
    <m/>
    <m/>
    <m/>
    <m/>
    <m/>
    <m/>
    <m/>
    <m/>
    <m/>
    <n v="397943"/>
    <m/>
    <m/>
    <s v="Александр"/>
    <m/>
    <m/>
    <m/>
    <m/>
    <s v="Клиенты"/>
    <s v="ROBOT"/>
    <m/>
    <s v="Свой контакт (Менеджер)"/>
    <m/>
    <s v="Да"/>
    <s v="Федосеев Максим"/>
    <d v="2026-08-17T14:46:05"/>
    <s v="ROBOT_UT"/>
    <d v="2026-08-30T06:44:38"/>
    <m/>
    <m/>
    <n v="158271189227"/>
    <m/>
    <m/>
    <m/>
    <m/>
    <m/>
    <m/>
    <m/>
    <m/>
    <m/>
    <m/>
    <m/>
    <m/>
    <s v="aknic@yandex.ru"/>
    <m/>
    <m/>
    <m/>
    <m/>
    <m/>
    <m/>
    <m/>
    <m/>
    <m/>
    <m/>
    <m/>
    <m/>
    <m/>
    <m/>
    <m/>
    <s v="Иркутск г"/>
    <d v="2026-08-17T00:00:00"/>
    <s v="Да"/>
    <m/>
    <s v="Иркутская область 0 часов"/>
    <m/>
    <m/>
    <s v="Нет"/>
    <s v="14deda8a-d061-404b-9dcc-a310e095d49b"/>
    <n v="105382"/>
    <m/>
    <s v="ОАО ГОСТИНИЧНЫЙ КОМПЛЕКС &quot;АНГАРА&quot; 3800000277#"/>
    <s v="Клиент"/>
    <m/>
    <s v="ROBOT"/>
    <m/>
    <m/>
    <m/>
    <s v="Российский рубль"/>
    <s v="."/>
    <s v="ROBOT_M"/>
    <d v="2021-07-06T16:10:20"/>
    <s v="ROBOT_UT"/>
    <d v="2026-09-01T00:15:20"/>
    <m/>
    <n v="369761090527"/>
    <m/>
    <m/>
    <m/>
    <m/>
    <m/>
    <m/>
    <m/>
    <m/>
    <m/>
    <m/>
    <m/>
    <m/>
    <m/>
    <s v="irina-vologzhina@yandex.ru"/>
    <m/>
    <s v="cosova-mv@yandex.ru"/>
    <m/>
    <m/>
    <m/>
    <m/>
    <m/>
    <m/>
    <m/>
    <m/>
    <m/>
    <m/>
    <m/>
    <m/>
    <m/>
    <m/>
    <n v="0"/>
    <s v="cosova-mv@yandex.ru"/>
    <d v="1992-10-14T00:00:00"/>
    <m/>
    <s v="55.10 Деятельность гостиниц и прочих мест для временного проживания"/>
    <m/>
    <s v="Нет"/>
    <d v="2010-01-05T00:00:00"/>
    <d v="2025-07-25T00:00:00"/>
    <s v="АНГАРА ОАО ГОСТИНИЧНЫЙ КОМПЛЕКС"/>
    <s v="Иркутск г"/>
    <n v="3800000277"/>
    <m/>
    <m/>
    <m/>
    <m/>
    <s v="irina-vologzhina@yandex.ru"/>
    <m/>
    <m/>
    <m/>
    <m/>
    <s v="Коммерческие"/>
    <s v="ПАО"/>
    <n v="2298"/>
    <s v="Иркутская область 0 часов"/>
    <m/>
    <m/>
    <m/>
    <s v="Да, компания работает"/>
    <s v="[C]Островский Валерий Викторович"/>
    <m/>
    <m/>
    <m/>
    <s v="Нет"/>
    <s v="Услуги. Гостиницы"/>
    <m/>
    <m/>
    <m/>
    <s v="83600dea-591e-11dd-a0d4-0019d104ffac"/>
  </r>
  <r>
    <n v="318570"/>
    <s v="ЦП. 1С. Продажи"/>
    <s v="N"/>
    <s v="Y"/>
    <x v="3"/>
    <m/>
    <s v="Савинская Евгения Соболев Максим"/>
    <m/>
    <m/>
    <m/>
    <s v="Соболев Максим"/>
    <s v="ONE_C"/>
    <s v="ООО &quot;СТЕЛЛАР МОТОР РУС&quot; 7725668479# - 1С-ЭПД"/>
    <s v="Продажа"/>
    <s v="CRM-форма"/>
    <s v="ОСТАЛЬНЫЕ СЕРВИСЫ 1С - (ФОРУС)"/>
    <n v="9500"/>
    <s v="Российский рубль"/>
    <s v="ООО &quot;СТЕЛЛАР МОТОР РУС&quot; 7725668479#"/>
    <s v="Пруткова Оксана"/>
    <m/>
    <s v="нет"/>
    <d v="2026-08-17T17:46:12"/>
    <s v="Соболев Максим"/>
    <d v="2026-09-02T13:19:51"/>
    <s v="Соболев Максим"/>
    <d v="2026-08-17T00:00:00"/>
    <d v="2026-08-24T00:00:00"/>
    <s v="1С-ЭДО. ЭПД-2000 на 12 месяцев"/>
    <n v="9500"/>
    <n v="1"/>
    <m/>
    <m/>
    <m/>
    <m/>
    <m/>
    <n v="508"/>
    <d v="2026-08-17T18:39:24"/>
    <m/>
    <m/>
    <m/>
    <m/>
    <m/>
    <m/>
    <s v="Договор-оферта"/>
    <s v="Нет"/>
    <n v="1"/>
    <s v="ov.prytkova@t-motor.su"/>
    <n v="79802001062"/>
    <m/>
    <s v="Г.МОСКВА"/>
    <s v="ЦП. 1С и ИТС. Коммерция"/>
    <m/>
    <m/>
    <m/>
    <m/>
    <m/>
    <m/>
    <n v="0"/>
    <m/>
    <m/>
    <m/>
    <m/>
    <n v="2"/>
    <m/>
    <s v="ФРДТ-018265"/>
    <m/>
    <s v="ЦП. 1С. Коммерция"/>
    <m/>
    <m/>
    <m/>
    <m/>
    <d v="2026-08-17T00:00:00"/>
    <m/>
    <m/>
    <s v="[CO]ООО НПФ &quot;ФОРУС&quot; 3812023430#"/>
    <s v="Сервисы"/>
    <m/>
    <m/>
    <s v="Коммерческие"/>
    <m/>
    <m/>
    <s v="Обычный"/>
    <m/>
    <m/>
    <s v="#Загружено из Битрикс-Коробка#"/>
    <m/>
    <m/>
    <n v="265208"/>
    <s v="1С-ЭДО ЭПД"/>
    <m/>
    <m/>
    <m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-ЭПД"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9-02T13:20:00"/>
    <d v="2026-08-25T15:11:10"/>
    <s v="Завершен"/>
    <m/>
    <m/>
    <m/>
    <m/>
    <m/>
    <m/>
    <m/>
    <m/>
    <m/>
    <m/>
    <m/>
    <m/>
    <m/>
    <m/>
    <m/>
    <m/>
    <m/>
    <m/>
    <n v="397945"/>
    <m/>
    <m/>
    <s v="Оксана"/>
    <s v="Пруткова"/>
    <m/>
    <m/>
    <m/>
    <s v="Клиенты"/>
    <s v="ROBOT"/>
    <m/>
    <s v="Свой контакт (Менеджер)"/>
    <s v="ОСТАЛЬНЫЕ СЕРВИСЫ 1С - (ФОРУС)"/>
    <s v="Да"/>
    <s v="Соболев Максим"/>
    <d v="2026-08-17T14:56:33"/>
    <s v="Дунаевская Светлана"/>
    <d v="2026-08-19T06:44:36"/>
    <m/>
    <m/>
    <n v="79802001062"/>
    <m/>
    <m/>
    <m/>
    <m/>
    <m/>
    <m/>
    <m/>
    <m/>
    <m/>
    <m/>
    <m/>
    <m/>
    <s v="ov.prytkova@t-motor.su"/>
    <m/>
    <m/>
    <m/>
    <m/>
    <m/>
    <m/>
    <m/>
    <m/>
    <m/>
    <m/>
    <m/>
    <m/>
    <m/>
    <m/>
    <m/>
    <s v="Г.МОСКВА"/>
    <d v="2026-08-17T00:00:00"/>
    <s v="Да"/>
    <m/>
    <s v="Москва и Московская область - 5 час"/>
    <m/>
    <m/>
    <s v="Нет"/>
    <s v="c9fe3452-6abe-48b9-8317-2fb53d230c25"/>
    <n v="236366"/>
    <m/>
    <s v="ООО &quot;СТЕЛЛАР МОТОР РУС&quot; 7725668479#"/>
    <s v="Клиент"/>
    <m/>
    <s v="ROBOT"/>
    <m/>
    <m/>
    <m/>
    <s v="Российский рубль"/>
    <m/>
    <s v="Белов Андрей"/>
    <d v="2025-03-25T08:58:35"/>
    <s v="ROBOT_UT"/>
    <d v="2026-08-27T17:11:32"/>
    <m/>
    <n v="152961953453"/>
    <m/>
    <m/>
    <m/>
    <m/>
    <m/>
    <m/>
    <m/>
    <m/>
    <m/>
    <m/>
    <m/>
    <m/>
    <m/>
    <s v="pr@t-motor.su"/>
    <m/>
    <m/>
    <m/>
    <m/>
    <m/>
    <m/>
    <m/>
    <m/>
    <m/>
    <m/>
    <m/>
    <m/>
    <m/>
    <m/>
    <m/>
    <m/>
    <n v="0"/>
    <s v="pr@t-motor.su"/>
    <d v="2009-04-27T00:00:00"/>
    <m/>
    <s v="45.11 Торговля легковыми автомобилями и грузовыми автомобилями малой грузоподъемности"/>
    <m/>
    <s v="Нет"/>
    <m/>
    <m/>
    <s v="СТЕЛЛАР МОТОР РУС ООО"/>
    <s v="Г.МОСКВА"/>
    <n v="7725668479"/>
    <m/>
    <m/>
    <m/>
    <m/>
    <s v="pr@t-motor.su"/>
    <m/>
    <m/>
    <s v="Свой контакт (Менеджер)"/>
    <m/>
    <s v="Коммерческие"/>
    <s v="ООО"/>
    <n v="112956"/>
    <s v="Москва и Московская область - 5 час"/>
    <m/>
    <m/>
    <m/>
    <s v="Нет"/>
    <m/>
    <m/>
    <m/>
    <m/>
    <s v="Нет"/>
    <s v="Торговля. Автотранспорт и ГСМ"/>
    <m/>
    <m/>
    <m/>
    <s v="91dc14c0-234e-4ffb-870c-46286391885f"/>
  </r>
  <r>
    <n v="318557"/>
    <s v="ЦП. 1С. Продажи"/>
    <s v="N"/>
    <s v="N"/>
    <x v="4"/>
    <m/>
    <s v="Савинская Евгения Россинский Вадим"/>
    <m/>
    <m/>
    <m/>
    <s v="Россинский Вадим"/>
    <m/>
    <s v="7 927 184-63-40 - Входящий звонок"/>
    <s v="Продажа"/>
    <s v="Звонок"/>
    <s v="Звонок поступил на номер: ЦП 78-00-00 (62)."/>
    <s v="0.00"/>
    <s v="Российский рубль"/>
    <s v="ООО &quot;РОСТБИФ&quot; 1328008330#"/>
    <s v="Татьяна"/>
    <m/>
    <s v="нет"/>
    <d v="2026-08-17T17:01:59"/>
    <s v="Россинский Вадим"/>
    <d v="2026-08-25T14:41:54"/>
    <s v="Савинская Евгения"/>
    <d v="2026-08-17T00:00:00"/>
    <d v="2026-08-24T00:00:00"/>
    <m/>
    <m/>
    <m/>
    <m/>
    <m/>
    <m/>
    <m/>
    <m/>
    <n v="15488"/>
    <d v="2026-08-17T17:01:59"/>
    <m/>
    <m/>
    <m/>
    <m/>
    <m/>
    <m/>
    <m/>
    <s v="Нет"/>
    <n v="1"/>
    <m/>
    <n v="79271846340"/>
    <m/>
    <s v="САРАНСК"/>
    <s v="ЦП. 1С и ИТС. Коммерция"/>
    <m/>
    <m/>
    <m/>
    <m/>
    <m/>
    <m/>
    <m/>
    <s v="Татьяна"/>
    <m/>
    <m/>
    <m/>
    <n v="0"/>
    <m/>
    <m/>
    <m/>
    <s v="ЦП. 1С. Коммерция"/>
    <m/>
    <m/>
    <m/>
    <m/>
    <m/>
    <m/>
    <m/>
    <m/>
    <m/>
    <m/>
    <m/>
    <s v="Коммерческие"/>
    <m/>
    <m/>
    <s v="Обычный"/>
    <m/>
    <m/>
    <m/>
    <m/>
    <m/>
    <n v="265296"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s v="Необработанные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Необработанные"/>
    <m/>
    <m/>
    <m/>
    <m/>
    <m/>
    <d v="2026-08-17T17:01:59"/>
    <d v="2026-08-17T16:45:54"/>
    <m/>
    <m/>
    <m/>
    <m/>
    <m/>
    <m/>
    <m/>
    <m/>
    <m/>
    <m/>
    <m/>
    <m/>
    <m/>
    <m/>
    <m/>
    <m/>
    <m/>
    <m/>
    <m/>
    <n v="397990"/>
    <m/>
    <m/>
    <s v="Татьяна"/>
    <m/>
    <m/>
    <m/>
    <m/>
    <s v="Клиенты"/>
    <s v="ROBOT"/>
    <m/>
    <s v="Свой контакт (Менеджер)"/>
    <m/>
    <s v="Да"/>
    <s v="Россинский Вадим"/>
    <d v="2026-08-17T17:02:37"/>
    <s v="Дунаевская Светлана"/>
    <d v="2026-08-19T06:44:40"/>
    <m/>
    <m/>
    <n v="79271846340"/>
    <m/>
    <m/>
    <m/>
    <m/>
    <m/>
    <m/>
    <m/>
    <m/>
    <m/>
    <m/>
    <m/>
    <m/>
    <m/>
    <m/>
    <m/>
    <m/>
    <m/>
    <m/>
    <m/>
    <m/>
    <m/>
    <m/>
    <m/>
    <m/>
    <m/>
    <m/>
    <m/>
    <m/>
    <s v="САРАНСК"/>
    <d v="2026-08-17T00:00:00"/>
    <s v="Да"/>
    <m/>
    <s v="Республика Мордовия - 5 час"/>
    <m/>
    <m/>
    <s v="Нет"/>
    <s v="e43c4e62-49a3-4a1f-99f8-8ae6fb54b411"/>
    <n v="258211"/>
    <m/>
    <s v="ООО &quot;РОСТБИФ&quot; 1328008330#"/>
    <s v="Клиент"/>
    <s v="менее 50"/>
    <s v="ROBOT"/>
    <m/>
    <s v="Информационные технологии"/>
    <s v="0.00"/>
    <s v="Российский рубль"/>
    <m/>
    <s v="Россинский Вадим"/>
    <d v="2026-08-17T17:01:55"/>
    <s v="ROBOT_M"/>
    <d v="2026-08-17T19:01: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d v="2013-12-05T00:00:00"/>
    <m/>
    <s v="46.32 Торговля оптовая мясом и мясными продуктами"/>
    <m/>
    <s v="Нет"/>
    <m/>
    <m/>
    <s v="РОСТБИФ ООО"/>
    <s v="САРАНСК"/>
    <n v="1328008330"/>
    <m/>
    <m/>
    <m/>
    <m/>
    <m/>
    <m/>
    <m/>
    <s v="Свой контакт (Менеджер)"/>
    <m/>
    <s v="Коммерческие"/>
    <s v="ООО"/>
    <n v="128840"/>
    <s v="Республика Мордовия - 5 час"/>
    <m/>
    <m/>
    <m/>
    <s v="Нет"/>
    <m/>
    <m/>
    <m/>
    <m/>
    <s v="Нет"/>
    <s v="Торговля. Продукты питания"/>
    <m/>
    <m/>
    <m/>
    <m/>
  </r>
  <r>
    <n v="318540"/>
    <s v="ЦП. УЦ. Продажи"/>
    <s v="N"/>
    <s v="Y"/>
    <x v="7"/>
    <m/>
    <s v="Шкуренко Дарья Соболев Максим"/>
    <m/>
    <m/>
    <m/>
    <s v="Соболев Максим"/>
    <s v="ONE_C"/>
    <s v="1С-Отчётность. ООО &quot;АГЕНТСТВО ПРОФЕССИОНАЛ&quot; 3851017705#"/>
    <s v="Продажа"/>
    <s v="1С Сайт its.1c.ru"/>
    <m/>
    <n v="2100"/>
    <s v="Российский рубль"/>
    <s v="ООО &quot;АГЕНТСТВО ПРОФЕССИОНАЛ&quot; 3851017705#"/>
    <s v="Булгару Марина Геннадьевна"/>
    <m/>
    <s v="нет"/>
    <d v="2026-08-17T16:26:05"/>
    <s v="Соболев Максим"/>
    <d v="2026-08-20T14:35:34"/>
    <s v="ROBOT_M"/>
    <d v="2026-08-17T00:00:00"/>
    <d v="2026-08-24T00:00:00"/>
    <s v="ПО &quot;Астрал-Отчетность&quot; (сроком на 1 год) для группы ИП от 3 до 5 (&lt;&gt;)"/>
    <n v="2100"/>
    <n v="1"/>
    <s v="[p] Заказ на сайте [url=https://its.1c.ru]its.1c.ru[/url] ORD260817-1786952192 [/p] [p] a:hover, a:active{color:#16489b;text-decoration:underline} #mail-message-wrapper a:hover, #mail-message-wrapper a:active{color:#16489b;text-decoration:underline} [b]Новый заказ на сайте [/b][url=https://its.1c.ru][b]its.1c.ru[/b][/url] [/p] [p] Уважаемый партнер! [/p] [p] [/p] [p] Вы получили новый заказ на сайте [url=https://its.1c.ru]its.1c.ru[/url]: [/p] [p] Номер заказа: ORD260817-1786952192 Источник: [url=https://its.1c.ru]its.1c.ru[/url] Время отправки: 2026-08-17 15:36:32 Контактное лицо: Булгару Марина Геннадьевна Телефон: 79526118272 E-mail: [url=mailto:shel.lzo@mail.ru]shel.lzo@mail.ru[/url] ИНН/ЕДРПОУ: Регион (город): Иркутская область, Иркутск Комментарий: Подключение официальной поддержки [/p] [p] Внимательно ознакомьтесь с правилами обработки заказа в [url=https://its.1c.ru/db/partnerits#content:1636:hdoc]справочнике партнера[/url]. [/p] [p] 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[*]В течение 1 рабочего часа с момента получения заказа свяжитесь с клиентом, уточните заказ и поставьте отметку о том, что вы приняли заказ в работу.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 [/p] [p] Вопросы по обработке заказа присылайте на электронную почту [url=mailto:web-its@1c.ru]web-its@1c.ru[/url]. [/p] [p] [/p] [p][/p] [p] С уважением, администрация сайта [url=https://its.1c.ru/]its.1c.ru[/url]. [/p]"/>
    <m/>
    <m/>
    <m/>
    <m/>
    <n v="6346"/>
    <d v="2026-08-18T09:32:44"/>
    <m/>
    <m/>
    <m/>
    <m/>
    <m/>
    <m/>
    <s v="Договор-оферта"/>
    <s v="Нет"/>
    <n v="2"/>
    <m/>
    <m/>
    <m/>
    <s v="Черемхово г"/>
    <s v="ЦП. 1С и ИТС. Коммерция"/>
    <d v="2026-09-28T00:00:00"/>
    <m/>
    <m/>
    <m/>
    <m/>
    <m/>
    <n v="1"/>
    <m/>
    <s v="Заказ на сайте its.1c.ru ORD260817-1786952192 a:hover, a:active {color:#16489b;text-decoration:underline} #mail-message-wrapper a:hover, #mail-message-wrapper a:active {color:#16489b;text-decoration:underline} [b]Новый заказ на сайте its.1c.ru[/b] [p]Уважаемый партнер![/p] [p]Вы получили новый заказ на сайте its.1c.ru:[/p] Номер заказа: ORD260817-1786952192 Источник: its.1c.ru Время отправки: 2026-08-17 15:36:32 Контактное лицо: Булгару Марина Геннадьевна Телефон: 79526118272 E-mail: [url=mailto:shel.lzo@mail.ru]shel.lzo@mail.ru[/url] ИНН/ЕДРПОУ: Регион (город): Иркутская область, Иркутск Комментарий: Подключение официальной поддержки [p]Внимательно ознакомьтесь с правилами обработки заказа в [url=https://its.1c.ru/db/partnerits#content:1636:hdoc]справочнике партнера[/url].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 [*]В течение 1 рабочего часа с момента получения заказа свяжитесь с клиентом, уточните заказ и поставьте отметку о том, что вы приняли заказ в работу. 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Вопросы по обработке заказа присылайте на электронную почту [url=mailto:web-its@1c.ru]web-its@1c.ru[/url].[/p] [p]С уважением, администрация сайта [url=https://its.1c.ru/]its.1c.ru[/url].[p] [/p][/p]"/>
    <m/>
    <m/>
    <n v="6"/>
    <s v="/upload/crm/ba1/7m20dsvdz0o7ssc8j1usso7af4am7tvn/Договор-оферта.txt"/>
    <s v="ФРДТ-018255"/>
    <m/>
    <s v="ЦП. 1С. Коммерция"/>
    <m/>
    <m/>
    <m/>
    <m/>
    <d v="2026-08-17T00:00:00"/>
    <m/>
    <m/>
    <s v="[CO]ООО НПФ &quot;ФОРУС&quot; 3812023430#"/>
    <s v="Сервисы"/>
    <s v="Почта России"/>
    <s v="Доступ в сервисе"/>
    <s v="Коммерческие"/>
    <m/>
    <m/>
    <s v="Обычный"/>
    <m/>
    <m/>
    <s v="#Загружено из Битрикс-Коробка#"/>
    <d v="2026-08-17T00:00:00"/>
    <m/>
    <n v="265261"/>
    <s v="1С-Отч Конечным пользователям"/>
    <m/>
    <m/>
    <m/>
    <m/>
    <m/>
    <m/>
    <s v="Не было отгрузок"/>
    <m/>
    <m/>
    <m/>
    <m/>
    <s v="Нет"/>
    <m/>
    <m/>
    <m/>
    <m/>
    <m/>
    <m/>
    <m/>
    <m/>
    <m/>
    <m/>
    <s v="УЦ"/>
    <m/>
    <m/>
    <s v="Не нужно"/>
    <m/>
    <m/>
    <m/>
    <s v="Уточнить потребности"/>
    <m/>
    <m/>
    <m/>
    <m/>
    <s v="1С-Отчётность"/>
    <s v="Не нужно УЛ"/>
    <s v="Оплаче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Оплачено"/>
    <m/>
    <m/>
    <m/>
    <m/>
    <m/>
    <d v="2026-08-20T14:35:34"/>
    <d v="2026-08-21T13:02:38"/>
    <s v="Завершен"/>
    <m/>
    <m/>
    <m/>
    <m/>
    <m/>
    <m/>
    <m/>
    <m/>
    <m/>
    <m/>
    <m/>
    <m/>
    <m/>
    <m/>
    <m/>
    <m/>
    <m/>
    <m/>
    <n v="324316"/>
    <m/>
    <m/>
    <s v="Марина"/>
    <s v="Булгару"/>
    <s v="Геннадьевна"/>
    <m/>
    <m/>
    <s v="Клиенты"/>
    <s v="ROBOT"/>
    <s v="[p] Заказ на сайте [url=https://its.1c.ru]its.1c.ru[/url] ORD240111-1704939393 [/p] [p][/p] [p] a:link, a:visited{color:#16489b;text-decoration:none} a:hover, a:active{color:#16489b;text-decoration:underline} #mail-message-wrapper a:link, a:visited{color:#16489b;text-decoration:none} #mail-message-wrapper a:hover, a:active{color:#16489b;text-decoration:underline} [b]Новый заказ на сайте [/b][url=https://its.1c.ru][b]its.1c.ru[/b][/url] Уважаемый партнер! Вы получили новый заказ на сайте [url=https://its.1c.ru]its.1c.ru[/url]: Номер заказа: ORD240111-1704939393 Источник: [url=https://v8.1c.ru]v8.1c.ru[/url] Время отправки: 2024-01-11 10:16:33 Контактное лицо: Марина Телефон: &amp;amp;#43;7 (952) 611-82-72 E-mail: [url=mailto:shel.lzo@mail.ru]shel.lzo@mail.ru[/url] ИНН/ЕДРПОУ: Регион (город): Иркутск Комментарий: Хотим приобрести программу 1С Упрощенка. Внимательно ознакомьтесь с правилами обработки заказа в [url=https://its.1c.ru/db/partnerits#content:1636:hdoc]справочнике партнера[/url]. 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[*]В течение 1 рабочего часа с момента получения заказа свяжитесь с клиентом, уточните заказ и поставьте отметку о том, что вы приняли заказ в работу.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 Вопросы по обработке заказа присылайте на электронную почту [url=mailto:web-its@1c.ru]web-its@1c.ru[/url]. С уважением, [/p] [p] администрация сайта [url=https://its.1c.ru/]its.1c.ru[/url]. [/p]"/>
    <s v="1С Сайт its.1c.ru"/>
    <m/>
    <s v="Да"/>
    <s v="Шелемина Кристина"/>
    <d v="2024-01-11T11:00:14"/>
    <s v="Дунаевская Светлана"/>
    <d v="2026-08-19T06:44:31"/>
    <m/>
    <m/>
    <n v="79526118272"/>
    <m/>
    <m/>
    <m/>
    <m/>
    <m/>
    <m/>
    <m/>
    <m/>
    <m/>
    <m/>
    <m/>
    <m/>
    <s v="shel.lzo@mail.ru"/>
    <m/>
    <m/>
    <m/>
    <m/>
    <m/>
    <m/>
    <m/>
    <m/>
    <m/>
    <m/>
    <m/>
    <m/>
    <m/>
    <m/>
    <m/>
    <s v="нас. пункт Мамоны с"/>
    <d v="2024-01-11T00:00:00"/>
    <s v="Да"/>
    <m/>
    <s v="Иркутская область 0 часов"/>
    <m/>
    <m/>
    <s v="Нет"/>
    <s v="73ad5024-f4bb-4a77-aaa7-ab80ac00e65a"/>
    <n v="210126"/>
    <m/>
    <s v="ООО &quot;АГЕНТСТВО ПРОФЕССИОНАЛ&quot; 3851017705#"/>
    <s v="Клиент"/>
    <m/>
    <s v="ROBOT"/>
    <m/>
    <m/>
    <m/>
    <s v="Российский рубль"/>
    <m/>
    <s v="ROBOT_M"/>
    <d v="2023-09-19T15:19:43"/>
    <s v="Дунаевская Светлана"/>
    <d v="2026-08-18T09:34:08"/>
    <m/>
    <m/>
    <n v="158528678174"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d v="2016-06-20T00:00:00"/>
    <m/>
    <s v="49.41 Деятельность автомобильного грузового транспорта"/>
    <m/>
    <s v="Нет"/>
    <m/>
    <m/>
    <s v="АГЕНТСТВО ПРОФЕССИОНАЛ ООО"/>
    <s v="Черемхово г"/>
    <n v="3851017705"/>
    <m/>
    <m/>
    <m/>
    <m/>
    <m/>
    <m/>
    <m/>
    <m/>
    <m/>
    <s v="Коммерческие"/>
    <s v="ООО"/>
    <n v="128844"/>
    <s v="Иркутская область 0 часов"/>
    <m/>
    <m/>
    <m/>
    <m/>
    <m/>
    <m/>
    <m/>
    <m/>
    <s v="Нет"/>
    <s v="Услуги. Перевозки, логистика, склад"/>
    <m/>
    <m/>
    <m/>
    <s v="a84bfce8-3290-48ad-b276-68a01a0ea96a"/>
  </r>
  <r>
    <n v="318536"/>
    <s v="ЦП. ФРЕШ. Продажи"/>
    <s v="N"/>
    <s v="N"/>
    <x v="6"/>
    <m/>
    <m/>
    <m/>
    <m/>
    <m/>
    <s v="Россинский Вадим"/>
    <m/>
    <s v="Свой контакт (Менеджер). 17.08.2026"/>
    <s v="Продажа"/>
    <s v="Звонок"/>
    <s v="От БО"/>
    <s v="0.00"/>
    <s v="Российский рубль"/>
    <m/>
    <s v="Анна"/>
    <m/>
    <s v="нет"/>
    <d v="2026-08-17T16:11:05"/>
    <s v="Россинский Вадим"/>
    <d v="2026-08-17T16:15:59"/>
    <s v="Россинский Вадим"/>
    <d v="2026-08-17T00:00:00"/>
    <d v="2026-08-24T00:00:00"/>
    <m/>
    <m/>
    <m/>
    <m/>
    <m/>
    <m/>
    <m/>
    <m/>
    <n v="5"/>
    <d v="2026-08-17T16:11:40"/>
    <m/>
    <m/>
    <m/>
    <m/>
    <m/>
    <m/>
    <m/>
    <s v="Нет"/>
    <n v="1"/>
    <m/>
    <m/>
    <m/>
    <m/>
    <s v="ЦП. 1С и ИТС. Коммерция"/>
    <d v="2026-09-16T00:00:00"/>
    <m/>
    <m/>
    <m/>
    <m/>
    <m/>
    <n v="0"/>
    <m/>
    <m/>
    <m/>
    <m/>
    <n v="5"/>
    <m/>
    <m/>
    <m/>
    <s v="ЦП. 1С. Коммерция"/>
    <m/>
    <m/>
    <m/>
    <m/>
    <m/>
    <m/>
    <m/>
    <m/>
    <m/>
    <m/>
    <m/>
    <m/>
    <m/>
    <m/>
    <s v="Обычный"/>
    <m/>
    <m/>
    <m/>
    <m/>
    <m/>
    <m/>
    <m/>
    <m/>
    <m/>
    <m/>
    <m/>
    <m/>
    <m/>
    <s v="Не было отгрузок"/>
    <m/>
    <m/>
    <m/>
    <m/>
    <s v="Нет"/>
    <m/>
    <m/>
    <m/>
    <m/>
    <m/>
    <m/>
    <m/>
    <m/>
    <m/>
    <s v="Необработанные"/>
    <m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17T16:11:40"/>
    <d v="2026-08-31T10:23:29"/>
    <m/>
    <m/>
    <m/>
    <m/>
    <m/>
    <m/>
    <m/>
    <m/>
    <m/>
    <m/>
    <m/>
    <m/>
    <m/>
    <m/>
    <m/>
    <m/>
    <m/>
    <m/>
    <m/>
    <n v="396716"/>
    <m/>
    <m/>
    <s v="Анна"/>
    <m/>
    <m/>
    <m/>
    <m/>
    <s v="Клиенты"/>
    <s v="ROBOT"/>
    <m/>
    <s v="Свой контакт (Менеджер)"/>
    <m/>
    <s v="Да"/>
    <s v="Лескова Ксения"/>
    <d v="2026-07-28T13:39:15"/>
    <s v="Россинский Вадим"/>
    <d v="2026-08-31T10:21:03"/>
    <m/>
    <m/>
    <s v="79149276767, +79500893891"/>
    <m/>
    <m/>
    <m/>
    <m/>
    <m/>
    <m/>
    <m/>
    <m/>
    <m/>
    <m/>
    <m/>
    <m/>
    <s v="anna2279@mail.ru"/>
    <m/>
    <m/>
    <m/>
    <m/>
    <m/>
    <m/>
    <m/>
    <m/>
    <m/>
    <m/>
    <m/>
    <m/>
    <m/>
    <m/>
    <m/>
    <m/>
    <d v="2026-07-28T00:00:00"/>
    <s v="Да"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8534"/>
    <s v="ЦП. 1С. Продажи"/>
    <s v="N"/>
    <s v="N"/>
    <x v="8"/>
    <m/>
    <m/>
    <m/>
    <m/>
    <m/>
    <s v="Федорова Анастасия"/>
    <m/>
    <s v="Список ЭПД от Калуги"/>
    <s v="Продажа"/>
    <s v="Звонок"/>
    <s v="Список ЭПД от Калуги"/>
    <s v="0.00"/>
    <s v="Российский рубль"/>
    <m/>
    <s v="Глушкова Евгения"/>
    <m/>
    <s v="нет"/>
    <d v="2026-08-17T15:54:50"/>
    <s v="Шкаруба Кристина"/>
    <d v="2026-08-21T16:14:43"/>
    <s v="ROBOT_M"/>
    <d v="2026-08-17T00:00:00"/>
    <d v="2026-08-24T00:00:00"/>
    <m/>
    <m/>
    <m/>
    <m/>
    <m/>
    <m/>
    <m/>
    <m/>
    <n v="23689"/>
    <d v="2026-08-21T16:14:41"/>
    <m/>
    <m/>
    <m/>
    <m/>
    <m/>
    <m/>
    <m/>
    <s v="Нет"/>
    <n v="1"/>
    <s v="iris-glushkovaev@mail.ru"/>
    <n v="79607959760"/>
    <m/>
    <m/>
    <s v="ЦП. 1С и ИТС. Коммерция"/>
    <m/>
    <m/>
    <m/>
    <m/>
    <m/>
    <m/>
    <n v="1"/>
    <s v="Евгения"/>
    <m/>
    <m/>
    <m/>
    <n v="3"/>
    <m/>
    <m/>
    <m/>
    <s v="ЦП. 1С. Коммерция"/>
    <m/>
    <m/>
    <m/>
    <m/>
    <m/>
    <m/>
    <m/>
    <m/>
    <m/>
    <m/>
    <m/>
    <m/>
    <m/>
    <m/>
    <s v="Обычный"/>
    <m/>
    <m/>
    <m/>
    <m/>
    <m/>
    <n v="265266"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s v="Уточнить потребност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Уточнить потребности"/>
    <m/>
    <m/>
    <m/>
    <m/>
    <m/>
    <d v="2026-08-21T16:14:42"/>
    <d v="2026-08-27T11:17:52"/>
    <m/>
    <m/>
    <m/>
    <m/>
    <m/>
    <m/>
    <m/>
    <m/>
    <m/>
    <m/>
    <m/>
    <m/>
    <m/>
    <m/>
    <m/>
    <m/>
    <m/>
    <m/>
    <m/>
    <n v="398020"/>
    <m/>
    <m/>
    <s v="Евгения"/>
    <s v="Глушкова"/>
    <m/>
    <m/>
    <m/>
    <s v="Клиенты"/>
    <s v="ROBOT"/>
    <m/>
    <s v="Свой контакт (Менеджер)"/>
    <m/>
    <s v="Да"/>
    <s v="Федорова Анастасия"/>
    <d v="2026-08-18T11:40:25"/>
    <s v="ROBOT"/>
    <d v="2026-08-18T11:40:25"/>
    <m/>
    <m/>
    <n v="79607959760"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8-18T00:00:00"/>
    <s v="Да"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8530"/>
    <s v="ЦП. 1С. Продажи"/>
    <s v="N"/>
    <s v="N"/>
    <x v="1"/>
    <m/>
    <m/>
    <m/>
    <m/>
    <m/>
    <s v="Соболев Максим"/>
    <m/>
    <s v="ООО &quot;ТИМБЭ ПРОДАКШЕН&quot; 2224038340# 1С КП и Сервисы"/>
    <s v="Продажа"/>
    <s v="Холодный обзвон"/>
    <s v="ЛИК:Эксперт. Апрель 26. Производственники"/>
    <s v="0.00"/>
    <s v="Российский рубль"/>
    <s v="ООО &quot;ТИМБЭ ПРОДАКШЕН&quot; 2224038340#"/>
    <s v="Людмила"/>
    <m/>
    <s v="нет"/>
    <d v="2026-08-17T15:53:25"/>
    <s v="Лысенко Анастасия"/>
    <d v="2026-08-18T12:13:57"/>
    <s v="ROBOT_M"/>
    <d v="2026-08-17T00:00:00"/>
    <d v="2026-08-24T00:00:00"/>
    <m/>
    <m/>
    <m/>
    <s v="[p] Производство деревянных рам для картин, фотографий, зеркал или аналогичных предметов и прочих изделий из дерева [/p]"/>
    <m/>
    <m/>
    <m/>
    <m/>
    <n v="508"/>
    <d v="2026-08-18T12:13:56"/>
    <m/>
    <m/>
    <m/>
    <m/>
    <m/>
    <m/>
    <m/>
    <s v="Нет"/>
    <n v="1"/>
    <m/>
    <n v="73852671789"/>
    <m/>
    <m/>
    <s v="ЦП. 1С и ИТС. Коммерция"/>
    <m/>
    <m/>
    <m/>
    <m/>
    <m/>
    <m/>
    <n v="0"/>
    <s v="Александр"/>
    <s v="Производство деревянных рам для картин, фотографий, зеркал или аналогичных предметов и прочих изделий из дерева"/>
    <m/>
    <m/>
    <n v="0"/>
    <m/>
    <m/>
    <m/>
    <s v="ЦП. 1С. Коммерция"/>
    <m/>
    <m/>
    <m/>
    <m/>
    <m/>
    <m/>
    <m/>
    <m/>
    <m/>
    <m/>
    <m/>
    <m/>
    <m/>
    <m/>
    <s v="Обычный"/>
    <m/>
    <m/>
    <m/>
    <m/>
    <m/>
    <n v="235309"/>
    <m/>
    <m/>
    <m/>
    <m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m/>
    <s v="Отправить счет/договор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Отправить счет"/>
    <m/>
    <m/>
    <m/>
    <m/>
    <m/>
    <d v="2026-08-18T12:13:45"/>
    <d v="2026-08-17T15:46:12"/>
    <m/>
    <m/>
    <m/>
    <m/>
    <m/>
    <m/>
    <m/>
    <m/>
    <m/>
    <m/>
    <m/>
    <m/>
    <m/>
    <m/>
    <m/>
    <m/>
    <m/>
    <m/>
    <m/>
    <n v="398023"/>
    <m/>
    <m/>
    <s v="Людмила"/>
    <m/>
    <m/>
    <m/>
    <m/>
    <s v="Клиенты"/>
    <s v="ROBOT"/>
    <m/>
    <s v="Свой контакт (Менеджер)"/>
    <m/>
    <s v="Да"/>
    <s v="Соболев Максим"/>
    <d v="2026-08-18T12:12:49"/>
    <s v="Дунаевская Светлана"/>
    <d v="2026-08-20T06:44:23"/>
    <m/>
    <n v="738526744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8-18T00:00:00"/>
    <s v="Да"/>
    <m/>
    <s v="Алтайский край (республика Алтай) -1 час"/>
    <m/>
    <m/>
    <s v="Нет"/>
    <s v="b285e1b7-7a91-46b3-867c-12cb9b53bdf7"/>
    <n v="258226"/>
    <m/>
    <s v="ООО &quot;ТИМБЭ ПРОДАКШЕН&quot; 2224038340#"/>
    <s v="Клиент"/>
    <s v="менее 50"/>
    <s v="ROBOT"/>
    <m/>
    <s v="Информационные технологии"/>
    <s v="0.00"/>
    <s v="Российский рубль"/>
    <m/>
    <s v="Соболев Максим"/>
    <d v="2026-08-18T12:12:48"/>
    <s v="ROBOT_M"/>
    <d v="2026-08-18T12:43: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d v="1992-05-26T00:00:00"/>
    <m/>
    <s v="16.29.14 Производство деревянных рам для картин, фотографий, зеркал или аналогичных предметов и прочих изделий из дерева"/>
    <m/>
    <s v="Нет"/>
    <m/>
    <m/>
    <s v="ТИМБЭ ПРОДАКШЕН ООО"/>
    <s v="РП. ЮЖНЫЙ, Г. БАРНАУЛ"/>
    <n v="2224038340"/>
    <m/>
    <m/>
    <m/>
    <m/>
    <m/>
    <m/>
    <m/>
    <s v="Свой контакт (Менеджер)"/>
    <m/>
    <s v="Коммерческие"/>
    <s v="ООО"/>
    <n v="128863"/>
    <s v="Алтайский край (республика Алтай) -1 час"/>
    <m/>
    <m/>
    <m/>
    <s v="Нет"/>
    <m/>
    <m/>
    <m/>
    <m/>
    <s v="Нет"/>
    <s v="Производство. Лесхоз и деревообработка"/>
    <m/>
    <m/>
    <m/>
    <m/>
  </r>
  <r>
    <n v="318529"/>
    <s v="ЦП. 1С. Продажи"/>
    <s v="Y"/>
    <s v="N"/>
    <x v="3"/>
    <m/>
    <m/>
    <m/>
    <m/>
    <m/>
    <s v="Федосеев Максим"/>
    <s v="ONE_C"/>
    <s v="ОАО ГОСТИНИЧНЫЙ КОМПЛЕКС &quot;АНГАРА&quot; 3800000277# - 1С Лицензии"/>
    <s v="Продажа"/>
    <s v="По рекомендации/ Почкование"/>
    <s v="от прошлой сделки"/>
    <n v="31800"/>
    <s v="Российский рубль"/>
    <s v="ОАО ГОСТИНИЧНЫЙ КОМПЛЕКС &quot;АНГАРА&quot; 3800000277#"/>
    <s v="Александр"/>
    <m/>
    <s v="нет"/>
    <d v="2026-08-17T15:47:12"/>
    <s v="Федосеев Максим"/>
    <d v="2026-08-26T09:48:06"/>
    <s v="Шумилова Ольга"/>
    <d v="2026-08-17T00:00:00"/>
    <d v="2026-08-24T00:00:00"/>
    <s v="1С:Предприятие 8 ПРОФ. Клиентская лицензия на 5 рабочих мест. Электронная поставка (&lt;&gt;)"/>
    <n v="31800"/>
    <n v="1"/>
    <m/>
    <m/>
    <m/>
    <m/>
    <m/>
    <n v="14748"/>
    <d v="2026-08-18T09:43:21"/>
    <m/>
    <m/>
    <m/>
    <m/>
    <m/>
    <m/>
    <s v="Договор-оферта"/>
    <s v="Нет"/>
    <n v="1"/>
    <m/>
    <m/>
    <m/>
    <s v="Иркутск г"/>
    <s v="ЦП. 1С и ИТС. Коммерция"/>
    <m/>
    <m/>
    <m/>
    <m/>
    <m/>
    <m/>
    <n v="0"/>
    <m/>
    <m/>
    <m/>
    <s v="Опытный пользователь"/>
    <n v="4"/>
    <m/>
    <s v="ФРДТ-018286"/>
    <m/>
    <s v="ЦП. 1С. Коммерция"/>
    <m/>
    <m/>
    <m/>
    <m/>
    <d v="2026-08-18T00:00:00"/>
    <m/>
    <m/>
    <s v="[CO]ООО НПФ &quot;ФОРУС&quot; 3812023430#"/>
    <s v="Сублицензионный"/>
    <m/>
    <m/>
    <s v="Коммерческие"/>
    <m/>
    <m/>
    <s v="Обычный"/>
    <m/>
    <m/>
    <s v="#Загружено из Битрикс-Коробка#"/>
    <m/>
    <m/>
    <m/>
    <s v="1С КлЛиц ПРОФ;1С-Совместимо КлЛицензии"/>
    <m/>
    <m/>
    <m/>
    <m/>
    <m/>
    <m/>
    <s v="Не было отгрузок"/>
    <m/>
    <m/>
    <m/>
    <m/>
    <s v="Нет"/>
    <m/>
    <m/>
    <m/>
    <m/>
    <m/>
    <m/>
    <m/>
    <m/>
    <m/>
    <m/>
    <s v="1С Программы и лицензии"/>
    <s v="1С Лицензии"/>
    <s v="Эл. Поставка"/>
    <s v="Не нужно"/>
    <m/>
    <m/>
    <m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ПА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8-26T09:35:18"/>
    <d v="2026-08-26T13:53:13"/>
    <m/>
    <m/>
    <m/>
    <m/>
    <m/>
    <m/>
    <m/>
    <m/>
    <m/>
    <m/>
    <m/>
    <m/>
    <m/>
    <m/>
    <m/>
    <m/>
    <m/>
    <m/>
    <m/>
    <n v="397943"/>
    <m/>
    <m/>
    <s v="Александр"/>
    <m/>
    <m/>
    <m/>
    <m/>
    <s v="Клиенты"/>
    <s v="ROBOT"/>
    <m/>
    <s v="Свой контакт (Менеджер)"/>
    <m/>
    <s v="Да"/>
    <s v="Федосеев Максим"/>
    <d v="2026-08-17T14:46:05"/>
    <s v="ROBOT_UT"/>
    <d v="2026-08-30T06:44:38"/>
    <m/>
    <m/>
    <n v="158271189227"/>
    <m/>
    <m/>
    <m/>
    <m/>
    <m/>
    <m/>
    <m/>
    <m/>
    <m/>
    <m/>
    <m/>
    <m/>
    <s v="aknic@yandex.ru"/>
    <m/>
    <m/>
    <m/>
    <m/>
    <m/>
    <m/>
    <m/>
    <m/>
    <m/>
    <m/>
    <m/>
    <m/>
    <m/>
    <m/>
    <m/>
    <s v="Иркутск г"/>
    <d v="2026-08-17T00:00:00"/>
    <s v="Да"/>
    <m/>
    <s v="Иркутская область 0 часов"/>
    <m/>
    <m/>
    <s v="Нет"/>
    <s v="14deda8a-d061-404b-9dcc-a310e095d49b"/>
    <n v="105382"/>
    <m/>
    <s v="ОАО ГОСТИНИЧНЫЙ КОМПЛЕКС &quot;АНГАРА&quot; 3800000277#"/>
    <s v="Клиент"/>
    <m/>
    <s v="ROBOT"/>
    <m/>
    <m/>
    <m/>
    <s v="Российский рубль"/>
    <s v="."/>
    <s v="ROBOT_M"/>
    <d v="2021-07-06T16:10:20"/>
    <s v="ROBOT_UT"/>
    <d v="2026-09-01T00:15:20"/>
    <m/>
    <n v="369761090527"/>
    <m/>
    <m/>
    <m/>
    <m/>
    <m/>
    <m/>
    <m/>
    <m/>
    <m/>
    <m/>
    <m/>
    <m/>
    <m/>
    <s v="irina-vologzhina@yandex.ru"/>
    <m/>
    <s v="cosova-mv@yandex.ru"/>
    <m/>
    <m/>
    <m/>
    <m/>
    <m/>
    <m/>
    <m/>
    <m/>
    <m/>
    <m/>
    <m/>
    <m/>
    <m/>
    <m/>
    <n v="0"/>
    <s v="cosova-mv@yandex.ru"/>
    <d v="1992-10-14T00:00:00"/>
    <m/>
    <s v="55.10 Деятельность гостиниц и прочих мест для временного проживания"/>
    <m/>
    <s v="Нет"/>
    <d v="2010-01-05T00:00:00"/>
    <d v="2025-07-25T00:00:00"/>
    <s v="АНГАРА ОАО ГОСТИНИЧНЫЙ КОМПЛЕКС"/>
    <s v="Иркутск г"/>
    <n v="3800000277"/>
    <m/>
    <m/>
    <m/>
    <m/>
    <s v="irina-vologzhina@yandex.ru"/>
    <m/>
    <m/>
    <m/>
    <m/>
    <s v="Коммерческие"/>
    <s v="ПАО"/>
    <n v="2298"/>
    <s v="Иркутская область 0 часов"/>
    <m/>
    <m/>
    <m/>
    <s v="Да, компания работает"/>
    <s v="[C]Островский Валерий Викторович"/>
    <m/>
    <m/>
    <m/>
    <s v="Нет"/>
    <s v="Услуги. Гостиницы"/>
    <m/>
    <m/>
    <m/>
    <s v="83600dea-591e-11dd-a0d4-0019d104ffac"/>
  </r>
  <r>
    <n v="318529"/>
    <s v="ЦП. 1С. Продажи"/>
    <s v="Y"/>
    <s v="N"/>
    <x v="3"/>
    <m/>
    <m/>
    <m/>
    <m/>
    <m/>
    <s v="Федосеев Максим"/>
    <s v="ONE_C"/>
    <s v="ОАО ГОСТИНИЧНЫЙ КОМПЛЕКС &quot;АНГАРА&quot; 3800000277# - 1С Лицензии"/>
    <s v="Продажа"/>
    <s v="По рекомендации/ Почкование"/>
    <s v="от прошлой сделки"/>
    <n v="140000"/>
    <s v="Российский рубль"/>
    <s v="ОАО ГОСТИНИЧНЫЙ КОМПЛЕКС &quot;АНГАРА&quot; 3800000277#"/>
    <s v="Александр"/>
    <m/>
    <s v="нет"/>
    <d v="2026-08-17T15:47:12"/>
    <s v="Федосеев Максим"/>
    <d v="2026-08-26T09:48:06"/>
    <s v="Шумилова Ольга"/>
    <d v="2026-08-17T00:00:00"/>
    <d v="2026-08-24T00:00:00"/>
    <s v="1С:Отель. Клиентская лицензия на 5 рабочих мест. Электронная поставка (&lt;&gt;)"/>
    <n v="140000"/>
    <n v="1"/>
    <m/>
    <m/>
    <m/>
    <m/>
    <m/>
    <n v="14748"/>
    <d v="2026-08-18T09:43:21"/>
    <m/>
    <m/>
    <m/>
    <m/>
    <m/>
    <m/>
    <s v="Договор-оферта"/>
    <s v="Нет"/>
    <n v="1"/>
    <m/>
    <m/>
    <m/>
    <s v="Иркутск г"/>
    <s v="ЦП. 1С и ИТС. Коммерция"/>
    <m/>
    <m/>
    <m/>
    <m/>
    <m/>
    <m/>
    <n v="0"/>
    <m/>
    <m/>
    <m/>
    <s v="Опытный пользователь"/>
    <n v="4"/>
    <m/>
    <s v="ФРДТ-018286"/>
    <m/>
    <s v="ЦП. 1С. Коммерция"/>
    <m/>
    <m/>
    <m/>
    <m/>
    <d v="2026-08-18T00:00:00"/>
    <m/>
    <m/>
    <s v="[CO]ООО НПФ &quot;ФОРУС&quot; 3812023430#"/>
    <s v="Сублицензионный"/>
    <m/>
    <m/>
    <s v="Коммерческие"/>
    <m/>
    <m/>
    <s v="Обычный"/>
    <m/>
    <m/>
    <s v="#Загружено из Битрикс-Коробка#"/>
    <m/>
    <m/>
    <m/>
    <s v="1С КлЛиц ПРОФ;1С-Совместимо КлЛицензии"/>
    <m/>
    <m/>
    <m/>
    <m/>
    <m/>
    <m/>
    <s v="Не было отгрузок"/>
    <m/>
    <m/>
    <m/>
    <m/>
    <s v="Нет"/>
    <m/>
    <m/>
    <m/>
    <m/>
    <m/>
    <m/>
    <m/>
    <m/>
    <m/>
    <m/>
    <s v="1С Программы и лицензии"/>
    <s v="1С Лицензии"/>
    <s v="Эл. Поставка"/>
    <s v="Не нужно"/>
    <m/>
    <m/>
    <m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ПА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8-26T09:35:18"/>
    <d v="2026-08-26T13:53:13"/>
    <m/>
    <m/>
    <m/>
    <m/>
    <m/>
    <m/>
    <m/>
    <m/>
    <m/>
    <m/>
    <m/>
    <m/>
    <m/>
    <m/>
    <m/>
    <m/>
    <m/>
    <m/>
    <m/>
    <n v="397943"/>
    <m/>
    <m/>
    <s v="Александр"/>
    <m/>
    <m/>
    <m/>
    <m/>
    <s v="Клиенты"/>
    <s v="ROBOT"/>
    <m/>
    <s v="Свой контакт (Менеджер)"/>
    <m/>
    <s v="Да"/>
    <s v="Федосеев Максим"/>
    <d v="2026-08-17T14:46:05"/>
    <s v="ROBOT_UT"/>
    <d v="2026-08-30T06:44:38"/>
    <m/>
    <m/>
    <n v="158271189227"/>
    <m/>
    <m/>
    <m/>
    <m/>
    <m/>
    <m/>
    <m/>
    <m/>
    <m/>
    <m/>
    <m/>
    <m/>
    <s v="aknic@yandex.ru"/>
    <m/>
    <m/>
    <m/>
    <m/>
    <m/>
    <m/>
    <m/>
    <m/>
    <m/>
    <m/>
    <m/>
    <m/>
    <m/>
    <m/>
    <m/>
    <s v="Иркутск г"/>
    <d v="2026-08-17T00:00:00"/>
    <s v="Да"/>
    <m/>
    <s v="Иркутская область 0 часов"/>
    <m/>
    <m/>
    <s v="Нет"/>
    <s v="14deda8a-d061-404b-9dcc-a310e095d49b"/>
    <n v="105382"/>
    <m/>
    <s v="ОАО ГОСТИНИЧНЫЙ КОМПЛЕКС &quot;АНГАРА&quot; 3800000277#"/>
    <s v="Клиент"/>
    <m/>
    <s v="ROBOT"/>
    <m/>
    <m/>
    <m/>
    <s v="Российский рубль"/>
    <s v="."/>
    <s v="ROBOT_M"/>
    <d v="2021-07-06T16:10:20"/>
    <s v="ROBOT_UT"/>
    <d v="2026-09-01T00:15:20"/>
    <m/>
    <n v="369761090527"/>
    <m/>
    <m/>
    <m/>
    <m/>
    <m/>
    <m/>
    <m/>
    <m/>
    <m/>
    <m/>
    <m/>
    <m/>
    <m/>
    <s v="irina-vologzhina@yandex.ru"/>
    <m/>
    <s v="cosova-mv@yandex.ru"/>
    <m/>
    <m/>
    <m/>
    <m/>
    <m/>
    <m/>
    <m/>
    <m/>
    <m/>
    <m/>
    <m/>
    <m/>
    <m/>
    <m/>
    <n v="0"/>
    <s v="cosova-mv@yandex.ru"/>
    <d v="1992-10-14T00:00:00"/>
    <m/>
    <s v="55.10 Деятельность гостиниц и прочих мест для временного проживания"/>
    <m/>
    <s v="Нет"/>
    <d v="2010-01-05T00:00:00"/>
    <d v="2025-07-25T00:00:00"/>
    <s v="АНГАРА ОАО ГОСТИНИЧНЫЙ КОМПЛЕКС"/>
    <s v="Иркутск г"/>
    <n v="3800000277"/>
    <m/>
    <m/>
    <m/>
    <m/>
    <s v="irina-vologzhina@yandex.ru"/>
    <m/>
    <m/>
    <m/>
    <m/>
    <s v="Коммерческие"/>
    <s v="ПАО"/>
    <n v="2298"/>
    <s v="Иркутская область 0 часов"/>
    <m/>
    <m/>
    <m/>
    <s v="Да, компания работает"/>
    <s v="[C]Островский Валерий Викторович"/>
    <m/>
    <m/>
    <m/>
    <s v="Нет"/>
    <s v="Услуги. Гостиницы"/>
    <m/>
    <m/>
    <m/>
    <s v="83600dea-591e-11dd-a0d4-0019d104ffac"/>
  </r>
  <r>
    <n v="318503"/>
    <s v="ЦП. ФРЕШ. Продажи"/>
    <s v="N"/>
    <s v="N"/>
    <x v="6"/>
    <m/>
    <m/>
    <m/>
    <m/>
    <m/>
    <s v="Соболев Максим"/>
    <m/>
    <s v="Успешная регистрация в сервисе 1С:Предприятие через Интернет."/>
    <s v="Продажа"/>
    <s v="1С Аукцион ФРЕШ"/>
    <s v="1С_ФР_Сайт: extreg-forus-onlineЧасовой пояс:"/>
    <s v="0.00"/>
    <s v="Российский рубль"/>
    <m/>
    <s v="Никулина Елена"/>
    <m/>
    <s v="нет"/>
    <d v="2026-08-17T14:07:28"/>
    <s v="Латышева Диана"/>
    <d v="2026-08-18T16:53:51"/>
    <m/>
    <d v="2026-08-17T00:00:00"/>
    <d v="2026-08-24T00:00:00"/>
    <m/>
    <m/>
    <m/>
    <s v="Клиент из менеджера сервиса: [p]Здравствуйте! [/p] [p]Успешная регистрация в сервисе [b]1С:Предприятие через Интернет[/b].[/p] [p] [b]Дата регистрации:[/b] 17 августа 2026г. [b]Имя абонента:[/b] Elena Nikulina [b]Код абонента:[/b] 1396369 [b]Адрес электронной почты:[/b] elenamsk154@icloud.com [b]Номер телефона:[/b] 7 (961) 087-33-30 [b]Адрес сайта регистрации:[/b] [url=https://1cfresh.com]https://1cfresh.com[/url] [b]Версия сайта регистрации:[/b] 1С_ФР_Сайт: extreg-forus-online [b]Часовой пояс:[/b] [/p] [p] , команда проекта &quot;1С:Предприятие через Интернет&quot;. [/p] Источник - 1С Аукцион ФРЕШ Дата завершения тестового доступа = 16.09.2026"/>
    <m/>
    <m/>
    <m/>
    <m/>
    <n v="508"/>
    <d v="2026-08-18T10:38:46"/>
    <m/>
    <m/>
    <m/>
    <m/>
    <m/>
    <m/>
    <m/>
    <s v="Нет"/>
    <n v="1"/>
    <s v="elenamsk154@icloud.com"/>
    <s v="7 961 087-33-30"/>
    <m/>
    <m/>
    <s v="ЦП. 1С и ИТС. Коммерция"/>
    <d v="2026-09-16T00:00:00"/>
    <m/>
    <m/>
    <m/>
    <d v="2026-09-16T00:00:00"/>
    <m/>
    <n v="1"/>
    <s v="Elena Nikulina"/>
    <m/>
    <m/>
    <m/>
    <n v="5"/>
    <m/>
    <m/>
    <m/>
    <s v="ЦП. 1С. Коммерция"/>
    <m/>
    <m/>
    <m/>
    <m/>
    <m/>
    <m/>
    <m/>
    <m/>
    <m/>
    <m/>
    <m/>
    <m/>
    <m/>
    <m/>
    <s v="Обычный"/>
    <m/>
    <m/>
    <m/>
    <m/>
    <m/>
    <m/>
    <m/>
    <m/>
    <m/>
    <m/>
    <m/>
    <m/>
    <m/>
    <s v="Не было отгрузок"/>
    <m/>
    <m/>
    <m/>
    <m/>
    <s v="Нет"/>
    <m/>
    <m/>
    <m/>
    <m/>
    <m/>
    <s v="1 396 369"/>
    <m/>
    <m/>
    <m/>
    <s v="Необработанные"/>
    <m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18T10:38:47"/>
    <d v="2026-08-18T16:53:24"/>
    <m/>
    <m/>
    <m/>
    <m/>
    <m/>
    <m/>
    <m/>
    <m/>
    <m/>
    <m/>
    <m/>
    <m/>
    <m/>
    <m/>
    <m/>
    <m/>
    <m/>
    <m/>
    <m/>
    <n v="397944"/>
    <m/>
    <m/>
    <s v="Елена"/>
    <s v="Никулина"/>
    <m/>
    <m/>
    <m/>
    <s v="Клиенты"/>
    <s v="ROBOT"/>
    <m/>
    <s v="Свой контакт (Менеджер)"/>
    <m/>
    <s v="Да"/>
    <s v="Соболев Максим"/>
    <d v="2026-08-17T14:46:07"/>
    <s v="ROBOT"/>
    <d v="2026-08-17T14:46:07"/>
    <m/>
    <m/>
    <n v="79610873330"/>
    <m/>
    <m/>
    <m/>
    <m/>
    <m/>
    <m/>
    <m/>
    <m/>
    <m/>
    <m/>
    <m/>
    <m/>
    <s v="elenamsk154@icloud.com"/>
    <m/>
    <m/>
    <m/>
    <m/>
    <m/>
    <m/>
    <m/>
    <m/>
    <m/>
    <m/>
    <m/>
    <m/>
    <m/>
    <m/>
    <m/>
    <m/>
    <d v="2026-08-17T00:00:00"/>
    <s v="Да"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8500"/>
    <s v="ЦП. 1С. Продажи"/>
    <s v="N"/>
    <s v="N"/>
    <x v="3"/>
    <m/>
    <s v="Дворяк Александра Щапова Юлия Кавко Елена Пасюк Юлия Савинская Евгения Россинский Вадим"/>
    <m/>
    <m/>
    <m/>
    <s v="Россинский Вадим"/>
    <s v="ONE_C"/>
    <s v="ИП Небера Сергей Анатольевич 381101755432# - 1С Отраслевые решения, 1С Лицензии"/>
    <s v="Продажа"/>
    <s v="Звонок"/>
    <s v="Входящий"/>
    <n v="31800"/>
    <s v="Российский рубль"/>
    <s v="ИП Небера Сергей Анатольевич 381101755432#"/>
    <s v="Александр"/>
    <m/>
    <s v="нет"/>
    <d v="2026-08-17T13:39:16"/>
    <s v="Россинский Вадим"/>
    <d v="2026-09-02T09:18:50"/>
    <s v="ROBOT"/>
    <d v="2026-05-13T00:00:00"/>
    <d v="2026-05-20T00:00:00"/>
    <s v="1С:Предприятие 8 ПРОФ. Клиентская лицензия на 5 рабочих мест. Электронная поставка (&lt;&gt;)"/>
    <n v="31800"/>
    <n v="1"/>
    <s v="##Родительская сделка 302068##"/>
    <m/>
    <m/>
    <m/>
    <m/>
    <n v="15488"/>
    <d v="2026-08-26T17:19:56"/>
    <m/>
    <m/>
    <m/>
    <m/>
    <m/>
    <m/>
    <s v="Двухсторонний договор"/>
    <s v="Нет"/>
    <n v="2"/>
    <m/>
    <m/>
    <m/>
    <s v="Иркутск г"/>
    <s v="ЦП. 1С и ИТС. Коммерция"/>
    <m/>
    <m/>
    <m/>
    <m/>
    <m/>
    <m/>
    <m/>
    <m/>
    <m/>
    <m/>
    <s v="Небольшой опыт"/>
    <n v="23"/>
    <m/>
    <s v="ФРДТ-018227"/>
    <s v="[D]АНО НИИ МЭПЗ 3808025749# 1С:Медицина. Поликлиника ⁉"/>
    <s v="ЦП. 1С. Коммерция"/>
    <m/>
    <m/>
    <m/>
    <m/>
    <d v="2026-09-02T00:00:00"/>
    <m/>
    <m/>
    <s v="[CO]ООО НПФ &quot;ФОРУС&quot; 3812023430#"/>
    <s v="Сублицензионный"/>
    <m/>
    <m/>
    <s v="Бюджетные"/>
    <m/>
    <m/>
    <s v="Обычный"/>
    <m/>
    <m/>
    <s v="#Загружено из Битрикс-Коробка#"/>
    <m/>
    <m/>
    <m/>
    <s v="1С-Совместимо;1С СервЛиц ПРОФ;1С КлЛиц ПРОФ"/>
    <m/>
    <m/>
    <m/>
    <m/>
    <m/>
    <m/>
    <s v="Не было отгрузок"/>
    <m/>
    <m/>
    <m/>
    <m/>
    <s v="Нет"/>
    <m/>
    <m/>
    <m/>
    <m/>
    <m/>
    <m/>
    <m/>
    <m/>
    <m/>
    <m/>
    <s v="1С Программы и лицензии"/>
    <s v="1С Отраслевые решения, 1С Лицензии"/>
    <s v="Эл. Поставка"/>
    <s v="Не нужно"/>
    <m/>
    <m/>
    <m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было опла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АН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8-31T00:07:08"/>
    <d v="2026-08-27T13:10:17"/>
    <m/>
    <m/>
    <m/>
    <m/>
    <m/>
    <m/>
    <m/>
    <m/>
    <m/>
    <m/>
    <m/>
    <m/>
    <m/>
    <m/>
    <m/>
    <m/>
    <m/>
    <m/>
    <m/>
    <n v="294902"/>
    <m/>
    <m/>
    <s v="Александр"/>
    <m/>
    <m/>
    <m/>
    <m/>
    <m/>
    <s v="ROBOT_M"/>
    <s v="[Редактор=Буркова Анастасия Николаевна]"/>
    <m/>
    <m/>
    <s v="Да"/>
    <s v="ROBOT_M"/>
    <d v="2022-10-11T13:37:28"/>
    <s v="Радкова Ангелина"/>
    <d v="2026-08-27T10:46:16"/>
    <m/>
    <m/>
    <s v="+7 (924) 6218636"/>
    <m/>
    <m/>
    <m/>
    <m/>
    <m/>
    <m/>
    <m/>
    <m/>
    <m/>
    <m/>
    <m/>
    <m/>
    <m/>
    <m/>
    <m/>
    <m/>
    <m/>
    <m/>
    <m/>
    <m/>
    <m/>
    <m/>
    <m/>
    <m/>
    <m/>
    <m/>
    <m/>
    <m/>
    <s v="Иркутск г"/>
    <d v="2022-10-11T00:00:00"/>
    <s v="Да"/>
    <m/>
    <s v="Иркутская область 0 часов"/>
    <m/>
    <m/>
    <s v="Нет"/>
    <s v="93af5431-d6ef-11e2-8283-0026554f9a58"/>
    <n v="125376"/>
    <m/>
    <s v="ИП Небера Сергей Анатольевич 381101755432#"/>
    <s v="Клиент"/>
    <m/>
    <s v="ROBOT"/>
    <m/>
    <m/>
    <m/>
    <s v="Российский рубль"/>
    <m/>
    <s v="ROBOT_M"/>
    <d v="2021-07-07T10:30:38"/>
    <s v="ROBOT_UT"/>
    <d v="2026-09-02T09:18:51"/>
    <m/>
    <n v="73952333677"/>
    <m/>
    <m/>
    <m/>
    <m/>
    <m/>
    <m/>
    <m/>
    <m/>
    <m/>
    <m/>
    <m/>
    <m/>
    <m/>
    <s v="niipz@mail.ru"/>
    <m/>
    <m/>
    <m/>
    <m/>
    <m/>
    <m/>
    <m/>
    <m/>
    <m/>
    <m/>
    <m/>
    <m/>
    <m/>
    <m/>
    <m/>
    <m/>
    <n v="0"/>
    <s v="niipz@mail.ru"/>
    <m/>
    <m/>
    <s v="68.20 Аренда и управление собственным или арендованным недвижимым имуществом"/>
    <s v="[CO]АНО НИИ МЭПЗ 3808025749#"/>
    <s v="Нет"/>
    <d v="2011-09-05T00:00:00"/>
    <d v="2012-02-03T00:00:00"/>
    <s v="ИП Небера Сергей Анатольевич"/>
    <s v="Иркутск г"/>
    <n v="381101755432"/>
    <m/>
    <m/>
    <m/>
    <m/>
    <s v="niipz@mail.ru"/>
    <m/>
    <m/>
    <m/>
    <m/>
    <s v="Коммерческие"/>
    <s v="ИП"/>
    <n v="17611"/>
    <s v="Иркутская область 0 часов"/>
    <m/>
    <m/>
    <m/>
    <m/>
    <m/>
    <m/>
    <m/>
    <m/>
    <s v="Нет"/>
    <s v="Услуги. Недвижимость"/>
    <m/>
    <m/>
    <m/>
    <s v="70a380fb-d504-11e0-b2de-0026554f9a5c"/>
  </r>
  <r>
    <n v="318500"/>
    <s v="ЦП. 1С. Продажи"/>
    <s v="N"/>
    <s v="N"/>
    <x v="3"/>
    <m/>
    <s v="Дворяк Александра Щапова Юлия Кавко Елена Пасюк Юлия Савинская Евгения Россинский Вадим"/>
    <m/>
    <m/>
    <m/>
    <s v="Россинский Вадим"/>
    <s v="ONE_C"/>
    <s v="ИП Небера Сергей Анатольевич 381101755432# - 1С Отраслевые решения, 1С Лицензии"/>
    <s v="Продажа"/>
    <s v="Звонок"/>
    <s v="Входящий"/>
    <n v="126800"/>
    <s v="Российский рубль"/>
    <s v="ИП Небера Сергей Анатольевич 381101755432#"/>
    <s v="Александр"/>
    <m/>
    <s v="нет"/>
    <d v="2026-08-17T13:39:16"/>
    <s v="Россинский Вадим"/>
    <d v="2026-09-02T09:18:50"/>
    <s v="ROBOT"/>
    <d v="2026-05-13T00:00:00"/>
    <d v="2026-05-20T00:00:00"/>
    <s v="1С:Предприятие 8.3 ПРОФ. Лицензия на сервер (x86-64). Электронная поставка (&lt;&gt;)"/>
    <n v="126800"/>
    <n v="1"/>
    <s v="##Родительская сделка 302068##"/>
    <m/>
    <m/>
    <m/>
    <m/>
    <n v="15488"/>
    <d v="2026-08-26T17:19:56"/>
    <m/>
    <m/>
    <m/>
    <m/>
    <m/>
    <m/>
    <s v="Двухсторонний договор"/>
    <s v="Нет"/>
    <n v="2"/>
    <m/>
    <m/>
    <m/>
    <s v="Иркутск г"/>
    <s v="ЦП. 1С и ИТС. Коммерция"/>
    <m/>
    <m/>
    <m/>
    <m/>
    <m/>
    <m/>
    <m/>
    <m/>
    <m/>
    <m/>
    <s v="Небольшой опыт"/>
    <n v="23"/>
    <m/>
    <s v="ФРДТ-018227"/>
    <s v="[D]АНО НИИ МЭПЗ 3808025749# 1С:Медицина. Поликлиника ⁉"/>
    <s v="ЦП. 1С. Коммерция"/>
    <m/>
    <m/>
    <m/>
    <m/>
    <d v="2026-09-02T00:00:00"/>
    <m/>
    <m/>
    <s v="[CO]ООО НПФ &quot;ФОРУС&quot; 3812023430#"/>
    <s v="Сублицензионный"/>
    <m/>
    <m/>
    <s v="Бюджетные"/>
    <m/>
    <m/>
    <s v="Обычный"/>
    <m/>
    <m/>
    <s v="#Загружено из Битрикс-Коробка#"/>
    <m/>
    <m/>
    <m/>
    <s v="1С-Совместимо;1С СервЛиц ПРОФ;1С КлЛиц ПРОФ"/>
    <m/>
    <m/>
    <m/>
    <m/>
    <m/>
    <m/>
    <s v="Не было отгрузок"/>
    <m/>
    <m/>
    <m/>
    <m/>
    <s v="Нет"/>
    <m/>
    <m/>
    <m/>
    <m/>
    <m/>
    <m/>
    <m/>
    <m/>
    <m/>
    <m/>
    <s v="1С Программы и лицензии"/>
    <s v="1С Отраслевые решения, 1С Лицензии"/>
    <s v="Эл. Поставка"/>
    <s v="Не нужно"/>
    <m/>
    <m/>
    <m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было опла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АН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8-31T00:07:08"/>
    <d v="2026-08-27T13:10:17"/>
    <m/>
    <m/>
    <m/>
    <m/>
    <m/>
    <m/>
    <m/>
    <m/>
    <m/>
    <m/>
    <m/>
    <m/>
    <m/>
    <m/>
    <m/>
    <m/>
    <m/>
    <m/>
    <m/>
    <n v="294902"/>
    <m/>
    <m/>
    <s v="Александр"/>
    <m/>
    <m/>
    <m/>
    <m/>
    <m/>
    <s v="ROBOT_M"/>
    <s v="[Редактор=Буркова Анастасия Николаевна]"/>
    <m/>
    <m/>
    <s v="Да"/>
    <s v="ROBOT_M"/>
    <d v="2022-10-11T13:37:28"/>
    <s v="Радкова Ангелина"/>
    <d v="2026-08-27T10:46:16"/>
    <m/>
    <m/>
    <s v="+7 (924) 6218636"/>
    <m/>
    <m/>
    <m/>
    <m/>
    <m/>
    <m/>
    <m/>
    <m/>
    <m/>
    <m/>
    <m/>
    <m/>
    <m/>
    <m/>
    <m/>
    <m/>
    <m/>
    <m/>
    <m/>
    <m/>
    <m/>
    <m/>
    <m/>
    <m/>
    <m/>
    <m/>
    <m/>
    <m/>
    <s v="Иркутск г"/>
    <d v="2022-10-11T00:00:00"/>
    <s v="Да"/>
    <m/>
    <s v="Иркутская область 0 часов"/>
    <m/>
    <m/>
    <s v="Нет"/>
    <s v="93af5431-d6ef-11e2-8283-0026554f9a58"/>
    <n v="125376"/>
    <m/>
    <s v="ИП Небера Сергей Анатольевич 381101755432#"/>
    <s v="Клиент"/>
    <m/>
    <s v="ROBOT"/>
    <m/>
    <m/>
    <m/>
    <s v="Российский рубль"/>
    <m/>
    <s v="ROBOT_M"/>
    <d v="2021-07-07T10:30:38"/>
    <s v="ROBOT_UT"/>
    <d v="2026-09-02T09:18:51"/>
    <m/>
    <n v="73952333677"/>
    <m/>
    <m/>
    <m/>
    <m/>
    <m/>
    <m/>
    <m/>
    <m/>
    <m/>
    <m/>
    <m/>
    <m/>
    <m/>
    <s v="niipz@mail.ru"/>
    <m/>
    <m/>
    <m/>
    <m/>
    <m/>
    <m/>
    <m/>
    <m/>
    <m/>
    <m/>
    <m/>
    <m/>
    <m/>
    <m/>
    <m/>
    <m/>
    <n v="0"/>
    <s v="niipz@mail.ru"/>
    <m/>
    <m/>
    <s v="68.20 Аренда и управление собственным или арендованным недвижимым имуществом"/>
    <s v="[CO]АНО НИИ МЭПЗ 3808025749#"/>
    <s v="Нет"/>
    <d v="2011-09-05T00:00:00"/>
    <d v="2012-02-03T00:00:00"/>
    <s v="ИП Небера Сергей Анатольевич"/>
    <s v="Иркутск г"/>
    <n v="381101755432"/>
    <m/>
    <m/>
    <m/>
    <m/>
    <s v="niipz@mail.ru"/>
    <m/>
    <m/>
    <m/>
    <m/>
    <s v="Коммерческие"/>
    <s v="ИП"/>
    <n v="17611"/>
    <s v="Иркутская область 0 часов"/>
    <m/>
    <m/>
    <m/>
    <m/>
    <m/>
    <m/>
    <m/>
    <m/>
    <s v="Нет"/>
    <s v="Услуги. Недвижимость"/>
    <m/>
    <m/>
    <m/>
    <s v="70a380fb-d504-11e0-b2de-0026554f9a5c"/>
  </r>
  <r>
    <n v="318500"/>
    <s v="ЦП. 1С. Продажи"/>
    <s v="N"/>
    <s v="N"/>
    <x v="3"/>
    <m/>
    <s v="Дворяк Александра Щапова Юлия Кавко Елена Пасюк Юлия Савинская Евгения Россинский Вадим"/>
    <m/>
    <m/>
    <m/>
    <s v="Россинский Вадим"/>
    <s v="ONE_C"/>
    <s v="ИП Небера Сергей Анатольевич 381101755432# - 1С Отраслевые решения, 1С Лицензии"/>
    <s v="Продажа"/>
    <s v="Звонок"/>
    <s v="Входящий"/>
    <n v="57200"/>
    <s v="Российский рубль"/>
    <s v="ИП Небера Сергей Анатольевич 381101755432#"/>
    <s v="Александр"/>
    <m/>
    <s v="нет"/>
    <d v="2026-08-17T13:39:16"/>
    <s v="Россинский Вадим"/>
    <d v="2026-09-02T09:18:50"/>
    <s v="ROBOT"/>
    <d v="2026-05-13T00:00:00"/>
    <d v="2026-05-20T00:00:00"/>
    <s v="1С:Медицина. Поликлиника. Редакция 3. Электронная поставка"/>
    <n v="57200"/>
    <n v="1"/>
    <s v="##Родительская сделка 302068##"/>
    <m/>
    <m/>
    <m/>
    <m/>
    <n v="15488"/>
    <d v="2026-08-26T17:19:56"/>
    <m/>
    <m/>
    <m/>
    <m/>
    <m/>
    <m/>
    <s v="Двухсторонний договор"/>
    <s v="Нет"/>
    <n v="2"/>
    <m/>
    <m/>
    <m/>
    <s v="Иркутск г"/>
    <s v="ЦП. 1С и ИТС. Коммерция"/>
    <m/>
    <m/>
    <m/>
    <m/>
    <m/>
    <m/>
    <m/>
    <m/>
    <m/>
    <m/>
    <s v="Небольшой опыт"/>
    <n v="23"/>
    <m/>
    <s v="ФРДТ-018227"/>
    <s v="[D]АНО НИИ МЭПЗ 3808025749# 1С:Медицина. Поликлиника ⁉"/>
    <s v="ЦП. 1С. Коммерция"/>
    <m/>
    <m/>
    <m/>
    <m/>
    <d v="2026-09-02T00:00:00"/>
    <m/>
    <m/>
    <s v="[CO]ООО НПФ &quot;ФОРУС&quot; 3812023430#"/>
    <s v="Сублицензионный"/>
    <m/>
    <m/>
    <s v="Бюджетные"/>
    <m/>
    <m/>
    <s v="Обычный"/>
    <m/>
    <m/>
    <s v="#Загружено из Битрикс-Коробка#"/>
    <m/>
    <m/>
    <m/>
    <s v="1С-Совместимо;1С СервЛиц ПРОФ;1С КлЛиц ПРОФ"/>
    <m/>
    <m/>
    <m/>
    <m/>
    <m/>
    <m/>
    <s v="Не было отгрузок"/>
    <m/>
    <m/>
    <m/>
    <m/>
    <s v="Нет"/>
    <m/>
    <m/>
    <m/>
    <m/>
    <m/>
    <m/>
    <m/>
    <m/>
    <m/>
    <m/>
    <s v="1С Программы и лицензии"/>
    <s v="1С Отраслевые решения, 1С Лицензии"/>
    <s v="Эл. Поставка"/>
    <s v="Не нужно"/>
    <m/>
    <m/>
    <m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было опла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АН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8-31T00:07:08"/>
    <d v="2026-08-27T13:10:17"/>
    <m/>
    <m/>
    <m/>
    <m/>
    <m/>
    <m/>
    <m/>
    <m/>
    <m/>
    <m/>
    <m/>
    <m/>
    <m/>
    <m/>
    <m/>
    <m/>
    <m/>
    <m/>
    <m/>
    <n v="294902"/>
    <m/>
    <m/>
    <s v="Александр"/>
    <m/>
    <m/>
    <m/>
    <m/>
    <m/>
    <s v="ROBOT_M"/>
    <s v="[Редактор=Буркова Анастасия Николаевна]"/>
    <m/>
    <m/>
    <s v="Да"/>
    <s v="ROBOT_M"/>
    <d v="2022-10-11T13:37:28"/>
    <s v="Радкова Ангелина"/>
    <d v="2026-08-27T10:46:16"/>
    <m/>
    <m/>
    <s v="+7 (924) 6218636"/>
    <m/>
    <m/>
    <m/>
    <m/>
    <m/>
    <m/>
    <m/>
    <m/>
    <m/>
    <m/>
    <m/>
    <m/>
    <m/>
    <m/>
    <m/>
    <m/>
    <m/>
    <m/>
    <m/>
    <m/>
    <m/>
    <m/>
    <m/>
    <m/>
    <m/>
    <m/>
    <m/>
    <m/>
    <s v="Иркутск г"/>
    <d v="2022-10-11T00:00:00"/>
    <s v="Да"/>
    <m/>
    <s v="Иркутская область 0 часов"/>
    <m/>
    <m/>
    <s v="Нет"/>
    <s v="93af5431-d6ef-11e2-8283-0026554f9a58"/>
    <n v="125376"/>
    <m/>
    <s v="ИП Небера Сергей Анатольевич 381101755432#"/>
    <s v="Клиент"/>
    <m/>
    <s v="ROBOT"/>
    <m/>
    <m/>
    <m/>
    <s v="Российский рубль"/>
    <m/>
    <s v="ROBOT_M"/>
    <d v="2021-07-07T10:30:38"/>
    <s v="ROBOT_UT"/>
    <d v="2026-09-02T09:18:51"/>
    <m/>
    <n v="73952333677"/>
    <m/>
    <m/>
    <m/>
    <m/>
    <m/>
    <m/>
    <m/>
    <m/>
    <m/>
    <m/>
    <m/>
    <m/>
    <m/>
    <s v="niipz@mail.ru"/>
    <m/>
    <m/>
    <m/>
    <m/>
    <m/>
    <m/>
    <m/>
    <m/>
    <m/>
    <m/>
    <m/>
    <m/>
    <m/>
    <m/>
    <m/>
    <m/>
    <n v="0"/>
    <s v="niipz@mail.ru"/>
    <m/>
    <m/>
    <s v="68.20 Аренда и управление собственным или арендованным недвижимым имуществом"/>
    <s v="[CO]АНО НИИ МЭПЗ 3808025749#"/>
    <s v="Нет"/>
    <d v="2011-09-05T00:00:00"/>
    <d v="2012-02-03T00:00:00"/>
    <s v="ИП Небера Сергей Анатольевич"/>
    <s v="Иркутск г"/>
    <n v="381101755432"/>
    <m/>
    <m/>
    <m/>
    <m/>
    <s v="niipz@mail.ru"/>
    <m/>
    <m/>
    <m/>
    <m/>
    <s v="Коммерческие"/>
    <s v="ИП"/>
    <n v="17611"/>
    <s v="Иркутская область 0 часов"/>
    <m/>
    <m/>
    <m/>
    <m/>
    <m/>
    <m/>
    <m/>
    <m/>
    <s v="Нет"/>
    <s v="Услуги. Недвижимость"/>
    <m/>
    <m/>
    <m/>
    <s v="70a380fb-d504-11e0-b2de-0026554f9a5c"/>
  </r>
  <r>
    <n v="318495"/>
    <s v="ЦП. 1С. Продажи"/>
    <s v="Y"/>
    <s v="N"/>
    <x v="7"/>
    <m/>
    <m/>
    <m/>
    <m/>
    <m/>
    <s v="Россинский Вадим"/>
    <s v="ONE_C"/>
    <s v="ООО ТЭК &quot;Флагман Амур&quot; 2724099742# - 1С Разовые услуги (консультации)"/>
    <s v="Продажа"/>
    <s v="Звонок"/>
    <s v="Звонок поступил на номер: ЦП 78-00-00 (62)."/>
    <n v="3660"/>
    <s v="Российский рубль"/>
    <s v="ООО ТЭК &quot;Флагман Амур&quot; 2724099742#"/>
    <s v="Ксения"/>
    <m/>
    <s v="нет"/>
    <d v="2026-08-17T13:03:36"/>
    <s v="Россинский Вадим"/>
    <d v="2026-08-20T17:26:05"/>
    <s v="ROBOT_M"/>
    <d v="2026-08-17T00:00:00"/>
    <d v="2026-08-24T00:00:00"/>
    <s v="Линия консультаций и техподдержка 1С"/>
    <n v="3660"/>
    <n v="1"/>
    <m/>
    <m/>
    <m/>
    <m/>
    <m/>
    <n v="6346"/>
    <d v="2026-08-18T09:33:27"/>
    <m/>
    <m/>
    <m/>
    <m/>
    <m/>
    <m/>
    <s v="Договор-оферта"/>
    <s v="Нет"/>
    <n v="1"/>
    <m/>
    <n v="79294049998"/>
    <m/>
    <s v="ХАБАРОВСК"/>
    <s v="ЦП. 1С и ИТС. Коммерция"/>
    <m/>
    <m/>
    <m/>
    <m/>
    <m/>
    <m/>
    <m/>
    <s v="Ксения"/>
    <m/>
    <m/>
    <m/>
    <n v="9"/>
    <s v="/upload/crm/e6b/ucgpo5a3eyikugxk20s5m4ru2hjg4ga4/Договор-оферта.txt"/>
    <s v="ФРДТ-018220"/>
    <m/>
    <s v="ЦП. 1С. Коммерция"/>
    <m/>
    <m/>
    <m/>
    <m/>
    <d v="2026-08-17T00:00:00"/>
    <m/>
    <m/>
    <s v="[CO]ООО НПФ &quot;ФОРУС&quot; 3812023430#"/>
    <s v="Оказание услуг"/>
    <m/>
    <m/>
    <s v="Коммерческие"/>
    <m/>
    <m/>
    <s v="Обычный"/>
    <m/>
    <m/>
    <s v="#Загружено из Битрикс-Коробка#"/>
    <d v="2026-08-17T00:00:00"/>
    <m/>
    <n v="265178"/>
    <s v="Услуги ЦСВ 1С консультации"/>
    <m/>
    <m/>
    <m/>
    <m/>
    <n v="3660"/>
    <d v="2026-08-18T00:00:00"/>
    <s v="Не было отгрузок"/>
    <m/>
    <m/>
    <m/>
    <m/>
    <s v="Нет"/>
    <m/>
    <m/>
    <m/>
    <m/>
    <m/>
    <m/>
    <m/>
    <m/>
    <m/>
    <m/>
    <s v="АРХИВ_1С Разовые услуги (консультации)"/>
    <m/>
    <m/>
    <s v="Не нужно"/>
    <m/>
    <m/>
    <m/>
    <s v="Оплаче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n v="3660"/>
    <d v="2026-08-18T00:00:00"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Оплачено"/>
    <m/>
    <m/>
    <m/>
    <m/>
    <m/>
    <d v="2026-08-20T17:26:05"/>
    <d v="2026-08-18T14:19:20"/>
    <m/>
    <m/>
    <m/>
    <m/>
    <m/>
    <m/>
    <m/>
    <m/>
    <m/>
    <m/>
    <m/>
    <m/>
    <m/>
    <m/>
    <m/>
    <m/>
    <m/>
    <m/>
    <m/>
    <n v="397922"/>
    <m/>
    <m/>
    <s v="Ксения"/>
    <m/>
    <m/>
    <m/>
    <m/>
    <s v="Клиенты"/>
    <s v="ROBOT"/>
    <m/>
    <s v="Свой контакт (Менеджер)"/>
    <m/>
    <s v="Да"/>
    <s v="Россинский Вадим"/>
    <d v="2026-08-17T13:04:03"/>
    <s v="ROBOT"/>
    <d v="2026-08-20T10:44:25"/>
    <m/>
    <m/>
    <n v="79294049998"/>
    <m/>
    <m/>
    <m/>
    <m/>
    <m/>
    <m/>
    <m/>
    <m/>
    <m/>
    <m/>
    <m/>
    <m/>
    <s v="info@flagmanamur.ru"/>
    <m/>
    <m/>
    <m/>
    <m/>
    <m/>
    <m/>
    <m/>
    <m/>
    <m/>
    <m/>
    <m/>
    <m/>
    <m/>
    <m/>
    <m/>
    <s v="Хабаровск г"/>
    <d v="2026-08-17T00:00:00"/>
    <s v="Да"/>
    <m/>
    <s v="Хабаровский край +2 часа"/>
    <m/>
    <m/>
    <s v="Нет"/>
    <s v="f6ce9f9e-fa90-41c9-9591-ee862d758147"/>
    <n v="166382"/>
    <m/>
    <s v="ООО ТЭК &quot;Флагман Амур&quot; 2724099742#"/>
    <s v="Клиент"/>
    <m/>
    <s v="ROBOT"/>
    <m/>
    <m/>
    <m/>
    <s v="Российский рубль"/>
    <m/>
    <s v="ROBOT_M"/>
    <d v="2021-08-03T17:30:03"/>
    <s v="ROBOT_M"/>
    <d v="2026-08-20T10:44:25"/>
    <m/>
    <n v="74212455205"/>
    <m/>
    <m/>
    <m/>
    <m/>
    <m/>
    <m/>
    <m/>
    <m/>
    <m/>
    <m/>
    <m/>
    <m/>
    <m/>
    <s v="glavbuh@flagmanamur.ru"/>
    <m/>
    <m/>
    <m/>
    <m/>
    <m/>
    <m/>
    <m/>
    <m/>
    <m/>
    <m/>
    <m/>
    <m/>
    <m/>
    <m/>
    <m/>
    <m/>
    <n v="0"/>
    <s v="glavbuh@flagmanamur.ru"/>
    <d v="2006-11-08T00:00:00"/>
    <m/>
    <s v="49.4 Деятельность автомобильного грузового транспорта и услуги по перевозкам"/>
    <m/>
    <s v="Нет"/>
    <d v="2023-01-20T00:00:00"/>
    <d v="2023-01-20T00:00:00"/>
    <s v="Флагман Амур ТЭК"/>
    <s v="ХАБАРОВСК"/>
    <n v="2724099742"/>
    <m/>
    <m/>
    <m/>
    <m/>
    <s v="glavbuh@flagmanamur.ru"/>
    <m/>
    <m/>
    <m/>
    <m/>
    <s v="Коммерческие"/>
    <s v="ООО"/>
    <n v="94507"/>
    <s v="Хабаровский край +2 часа"/>
    <m/>
    <m/>
    <m/>
    <m/>
    <m/>
    <m/>
    <m/>
    <m/>
    <s v="Нет"/>
    <s v="Услуги. Перевозки, логистика, склад"/>
    <m/>
    <m/>
    <m/>
    <s v="f3568c9e-9819-4bc3-b7b4-bd6e9ebc66be"/>
  </r>
  <r>
    <n v="318459"/>
    <s v="ЦП. 1С. Продажи"/>
    <s v="N"/>
    <s v="N"/>
    <x v="3"/>
    <m/>
    <m/>
    <m/>
    <m/>
    <m/>
    <s v="Соболев Максим"/>
    <s v="ONE_C"/>
    <s v="ООО &quot;ДМ-ВЭД&quot; 7500022936# ФРЕШ и ГРМ"/>
    <s v="Продажа"/>
    <s v="Свой контакт (Менеджер)"/>
    <m/>
    <n v="18100"/>
    <s v="Российский рубль"/>
    <s v="ООО &quot;ДМ-ВЭД&quot; 7500022936#"/>
    <s v="Шурыгин Дмитрий Сергеевич"/>
    <m/>
    <s v="нет"/>
    <d v="2026-08-17T11:02:41"/>
    <s v="Соболев Максим"/>
    <d v="2026-08-21T00:03:48"/>
    <s v="ROBOT_M"/>
    <d v="2026-08-17T00:00:00"/>
    <d v="2026-08-24T00:00:00"/>
    <s v="1С:Фреш - 1C:Предприятие 8 через Интернет. Базовый на 12 мес. (&lt;&gt;)"/>
    <n v="18100"/>
    <n v="1"/>
    <m/>
    <m/>
    <m/>
    <m/>
    <m/>
    <n v="508"/>
    <d v="2026-08-18T12:32:51"/>
    <m/>
    <m/>
    <m/>
    <m/>
    <m/>
    <m/>
    <s v="Договор-оферта"/>
    <s v="Нет"/>
    <n v="1"/>
    <m/>
    <m/>
    <m/>
    <s v="г Чита"/>
    <s v="ЦП. 1С и ИТС. Коммерция"/>
    <m/>
    <m/>
    <m/>
    <m/>
    <m/>
    <m/>
    <n v="0"/>
    <m/>
    <m/>
    <m/>
    <m/>
    <n v="0"/>
    <m/>
    <s v="ФРДТ-018208"/>
    <m/>
    <s v="ЦП. 1С. Коммерция"/>
    <m/>
    <m/>
    <m/>
    <m/>
    <d v="2026-08-17T00:00:00"/>
    <m/>
    <m/>
    <s v="[CO]ООО НПФ &quot;ФОРУС&quot; 3812023430#"/>
    <s v="Сервисы"/>
    <m/>
    <m/>
    <s v="Коммерческие"/>
    <m/>
    <m/>
    <s v="Обычный"/>
    <m/>
    <m/>
    <s v="#Загружено из Битрикс-Коробка#"/>
    <m/>
    <m/>
    <m/>
    <s v="Фреш Коммерс Базовый"/>
    <m/>
    <m/>
    <m/>
    <m/>
    <m/>
    <m/>
    <s v="Не было отгрузок"/>
    <m/>
    <m/>
    <m/>
    <m/>
    <s v="Нет"/>
    <m/>
    <m/>
    <m/>
    <s v="ФРЕШ. Базовый"/>
    <s v="1С:Бух +ЭТК"/>
    <s v="FR1028548"/>
    <m/>
    <m/>
    <m/>
    <m/>
    <s v="ФРЕШ и ГРМ"/>
    <m/>
    <m/>
    <s v="Не нужно"/>
    <m/>
    <m/>
    <m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8-21T00:03:04"/>
    <m/>
    <s v="Завершен"/>
    <m/>
    <m/>
    <m/>
    <m/>
    <m/>
    <m/>
    <m/>
    <m/>
    <m/>
    <m/>
    <m/>
    <m/>
    <m/>
    <m/>
    <m/>
    <m/>
    <m/>
    <m/>
    <n v="397899"/>
    <m/>
    <m/>
    <s v="Дмитрий"/>
    <s v="Шурыгин"/>
    <s v="Сергеевич"/>
    <m/>
    <s v="ДИРЕКТОР"/>
    <s v="Клиенты"/>
    <s v="ROBOT"/>
    <m/>
    <s v="Свой контакт (Менеджер)"/>
    <m/>
    <s v="Да"/>
    <s v="ROBOT_M"/>
    <d v="2026-08-16T12:06:38"/>
    <s v="Дунаевская Светлана"/>
    <d v="2026-08-19T06:44: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Чита г, Романовский тракт"/>
    <d v="2026-08-16T00:00:00"/>
    <s v="Да"/>
    <m/>
    <s v="Забайкальский край +1 час"/>
    <m/>
    <m/>
    <s v="Нет"/>
    <s v="ba9997ab-ae83-4c5a-8201-54b1ccbed9b1"/>
    <n v="258160"/>
    <m/>
    <s v="ООО &quot;ДМ-ВЭД&quot; 7500022936#"/>
    <s v="Клиент"/>
    <s v="менее 50"/>
    <s v="ROBOT"/>
    <m/>
    <s v="Информационные технологии"/>
    <s v="0.00"/>
    <s v="Российский рубль"/>
    <m/>
    <s v="Соболев Максим"/>
    <d v="2026-08-16T12:05:36"/>
    <s v="Дунаевская Светлана"/>
    <d v="2026-08-18T13:05:08"/>
    <m/>
    <m/>
    <m/>
    <m/>
    <m/>
    <m/>
    <m/>
    <m/>
    <m/>
    <m/>
    <m/>
    <m/>
    <m/>
    <m/>
    <m/>
    <s v="shurygindm@yahoo.com"/>
    <m/>
    <m/>
    <m/>
    <m/>
    <m/>
    <m/>
    <m/>
    <m/>
    <m/>
    <m/>
    <m/>
    <m/>
    <m/>
    <m/>
    <m/>
    <m/>
    <n v="0"/>
    <s v="shurygindm@yahoo.com"/>
    <d v="2024-10-15T00:00:00"/>
    <m/>
    <s v="52.29 Деятельность вспомогательная прочая, связанная с перевозками"/>
    <m/>
    <s v="Нет"/>
    <m/>
    <m/>
    <s v="ДМ-ВЭД ООО"/>
    <s v="г Чита"/>
    <n v="7500022936"/>
    <m/>
    <m/>
    <m/>
    <m/>
    <s v="shurygindm@yahoo.com"/>
    <m/>
    <m/>
    <s v="Свой контакт (Менеджер)"/>
    <m/>
    <s v="Коммерческие"/>
    <s v="ООО"/>
    <n v="128800"/>
    <s v="Забайкальский край +1 час"/>
    <m/>
    <m/>
    <m/>
    <s v="Нет"/>
    <m/>
    <m/>
    <m/>
    <m/>
    <s v="Нет"/>
    <s v="Услуги. Перевозки, логистика, склад"/>
    <m/>
    <m/>
    <m/>
    <s v="2704fc04-bcb1-425c-9536-6676ea5f3ff5"/>
  </r>
  <r>
    <n v="318439"/>
    <s v="1С. Комплексные продажи"/>
    <s v="N"/>
    <s v="Y"/>
    <x v="11"/>
    <m/>
    <m/>
    <m/>
    <m/>
    <m/>
    <s v="Федорова Анастасия"/>
    <m/>
    <s v="7 908 657-73-03 - Входящий звонок"/>
    <s v="Продажа"/>
    <s v="Звонок"/>
    <s v="Звонок поступил на номер: ЦП 78-00-00 (62)."/>
    <s v="0.00"/>
    <s v="Российский рубль"/>
    <m/>
    <s v="Капустина Светлана Геннадьевна"/>
    <m/>
    <s v="нет"/>
    <d v="2026-08-17T09:38:06"/>
    <s v="Федорова Анастасия"/>
    <d v="2026-08-28T18:00:06"/>
    <s v="ROBOT_M"/>
    <d v="2026-08-17T00:00:00"/>
    <d v="2026-08-24T00:00:00"/>
    <m/>
    <m/>
    <m/>
    <m/>
    <m/>
    <m/>
    <m/>
    <m/>
    <n v="23689"/>
    <d v="2026-08-28T10:48:25"/>
    <m/>
    <m/>
    <m/>
    <m/>
    <m/>
    <m/>
    <m/>
    <s v="Нет"/>
    <n v="0"/>
    <m/>
    <n v="79086577303"/>
    <m/>
    <m/>
    <s v="ЦП. 1С и ИТС. Коммерция"/>
    <m/>
    <m/>
    <m/>
    <m/>
    <m/>
    <m/>
    <m/>
    <m/>
    <m/>
    <m/>
    <m/>
    <n v="5"/>
    <m/>
    <m/>
    <m/>
    <s v="ЦП. 1С. Коммерция"/>
    <m/>
    <m/>
    <m/>
    <m/>
    <m/>
    <m/>
    <m/>
    <m/>
    <m/>
    <m/>
    <m/>
    <m/>
    <m/>
    <m/>
    <s v="Обычный"/>
    <m/>
    <m/>
    <m/>
    <m/>
    <m/>
    <n v="264144"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d v="2026-08-28T00:00:00"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28T18:00:04"/>
    <d v="2026-08-28T10:21:45"/>
    <m/>
    <m/>
    <m/>
    <m/>
    <m/>
    <m/>
    <m/>
    <m/>
    <m/>
    <m/>
    <m/>
    <m/>
    <m/>
    <m/>
    <m/>
    <m/>
    <m/>
    <m/>
    <m/>
    <n v="368963"/>
    <m/>
    <m/>
    <s v="Светлана"/>
    <s v="Капустина"/>
    <s v="Геннадьевна"/>
    <m/>
    <s v="Бухгалтер"/>
    <s v="Клиенты"/>
    <s v="ROBOT"/>
    <m/>
    <s v="Звонок"/>
    <s v="Звонок поступил на номер: ЦП 78-00-00 (Общий) (62)."/>
    <s v="Да"/>
    <s v="Соболев Максим"/>
    <d v="2025-06-25T17:20:14"/>
    <s v="Федорова Анастасия"/>
    <d v="2026-08-10T17:39:18"/>
    <m/>
    <m/>
    <n v="79086577303"/>
    <m/>
    <m/>
    <m/>
    <m/>
    <m/>
    <m/>
    <m/>
    <m/>
    <m/>
    <m/>
    <m/>
    <m/>
    <s v="esstr@bk.ru"/>
    <m/>
    <m/>
    <m/>
    <m/>
    <m/>
    <m/>
    <m/>
    <m/>
    <m/>
    <m/>
    <m/>
    <m/>
    <m/>
    <m/>
    <m/>
    <s v="Иркутск г"/>
    <d v="2025-06-25T00:00:00"/>
    <s v="Да"/>
    <m/>
    <s v="Иркутская область 0 часов"/>
    <m/>
    <m/>
    <s v="Нет"/>
    <s v="fd3e9975-6969-4112-874a-b8edbdb59ec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8389"/>
    <s v="ЦП. 1С. Продажи"/>
    <s v="N"/>
    <s v="N"/>
    <x v="4"/>
    <m/>
    <s v="Дворяк Александра Федосеева Юлия Савинская Евгения Россинский Вадим"/>
    <m/>
    <m/>
    <m/>
    <s v="Россинский Вадим"/>
    <m/>
    <s v="[Связь] - ООО &quot;НИЖЕГОРОДТЕПЛОГАЗ&quot; 5262068407# - 1С Программы и лицензии"/>
    <s v="Продажа"/>
    <s v="Свой контакт (Менеджер)"/>
    <m/>
    <n v="1500"/>
    <s v="Российский рубль"/>
    <s v="ООО &quot;НИЖЕГОРОДТЕПЛОГАЗ&quot; 5262068407#"/>
    <s v="Александр"/>
    <m/>
    <s v="нет"/>
    <d v="2026-08-17T09:16:30"/>
    <s v="Россинский Вадим"/>
    <d v="2026-08-24T00:08:00"/>
    <s v="ROBOT_M"/>
    <d v="2026-07-15T00:00:00"/>
    <d v="2026-07-22T00:00:00"/>
    <s v="1С:Предприятие 8.3 ПРОФ. Лицензия на сервер (x86-64). Электронная поставка (Апгрейд с 1С:Предприятие 8.2 Лицензия на сервер (USB))"/>
    <n v="1500"/>
    <n v="1"/>
    <s v="##Родительская сделка 313167##"/>
    <m/>
    <m/>
    <m/>
    <m/>
    <n v="15488"/>
    <d v="2026-08-17T09:16:30"/>
    <m/>
    <m/>
    <m/>
    <m/>
    <m/>
    <m/>
    <m/>
    <s v="Да"/>
    <n v="2"/>
    <m/>
    <m/>
    <m/>
    <s v="г Нижний Новгород"/>
    <s v="ЦП. 1С и ИТС. Коммерция"/>
    <m/>
    <m/>
    <m/>
    <m/>
    <m/>
    <m/>
    <m/>
    <m/>
    <m/>
    <m/>
    <m/>
    <n v="0"/>
    <s v="/upload/crm/5be/tkzfjnmpzjjut1pyoeu44eeqvuib33mc/Договор-оферта.txt"/>
    <m/>
    <s v="[D]ООО &quot;НИЖЕГОРОДТЕПЛОГАЗ&quot; 5262068407# - 1С Программы и лицензии"/>
    <s v="ЦП. 1С. Коммерция"/>
    <m/>
    <m/>
    <m/>
    <m/>
    <m/>
    <m/>
    <s v="/upload/crm/f74/awl3vnyt5vxodafxanzsvgc92ebhu9ac/Заявление.pdf, /upload/crm/1b5/2spho4lxs1c8oszn9mxy45n26i8qy59h/Гарантийное письмо (1).pdf"/>
    <m/>
    <m/>
    <m/>
    <m/>
    <s v="Коммерческие"/>
    <m/>
    <m/>
    <s v="Обычный"/>
    <m/>
    <m/>
    <s v="#Загружено из Битрикс-Коробка#"/>
    <m/>
    <m/>
    <m/>
    <s v="1С СервЛиц ПРОФ"/>
    <m/>
    <m/>
    <m/>
    <m/>
    <m/>
    <m/>
    <s v="Не было отгрузок"/>
    <m/>
    <m/>
    <m/>
    <m/>
    <s v="Нет"/>
    <m/>
    <m/>
    <m/>
    <m/>
    <m/>
    <m/>
    <m/>
    <m/>
    <m/>
    <m/>
    <m/>
    <s v="1С Лицензии"/>
    <s v="Эл. Поставка. Апгрейд"/>
    <s v="Да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было опла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Необработанные"/>
    <m/>
    <m/>
    <m/>
    <m/>
    <m/>
    <d v="2026-08-17T09:16:30"/>
    <m/>
    <m/>
    <m/>
    <m/>
    <m/>
    <m/>
    <m/>
    <m/>
    <m/>
    <m/>
    <m/>
    <m/>
    <m/>
    <m/>
    <m/>
    <m/>
    <m/>
    <m/>
    <m/>
    <m/>
    <n v="389779"/>
    <m/>
    <m/>
    <s v="Александр"/>
    <m/>
    <m/>
    <m/>
    <m/>
    <s v="Клиенты"/>
    <s v="ROBOT"/>
    <m/>
    <s v="Свой контакт (Менеджер)"/>
    <m/>
    <s v="Да"/>
    <s v="Толстиков Андрей"/>
    <d v="2026-05-18T19:02:59"/>
    <s v="ROBOT"/>
    <d v="2026-08-19T15:14:05"/>
    <m/>
    <m/>
    <n v="79958877717"/>
    <m/>
    <m/>
    <m/>
    <m/>
    <m/>
    <m/>
    <m/>
    <m/>
    <m/>
    <m/>
    <m/>
    <m/>
    <s v="a.zolotarev@nntg.ru"/>
    <m/>
    <m/>
    <m/>
    <m/>
    <m/>
    <m/>
    <m/>
    <m/>
    <m/>
    <m/>
    <m/>
    <m/>
    <m/>
    <m/>
    <m/>
    <s v="Нижний Новгород г"/>
    <d v="2026-05-18T00:00:00"/>
    <s v="Да"/>
    <m/>
    <s v="Нижегородская область - 5 час"/>
    <m/>
    <m/>
    <s v="Нет"/>
    <s v="e28984ef-08a4-43c1-a37b-980205befbf8"/>
    <n v="252257"/>
    <m/>
    <s v="ООО &quot;НИЖЕГОРОДТЕПЛОГАЗ&quot; 5262068407#"/>
    <s v="Клиент"/>
    <s v="менее 50"/>
    <s v="ROBOT"/>
    <m/>
    <s v="Информационные технологии"/>
    <m/>
    <s v="Российский рубль"/>
    <m/>
    <s v="Толстиков Андрей"/>
    <d v="2026-05-06T18:51:42"/>
    <s v="Нечаева Елизавета"/>
    <d v="2026-08-27T11:00: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d v="1998-10-27T00:00:00"/>
    <m/>
    <s v="35.30.14 Производство пара и горячей воды (тепловой энергии) котельными"/>
    <m/>
    <s v="Нет"/>
    <m/>
    <m/>
    <s v="НИЖЕГОРОДТЕПЛОГАЗ ООО"/>
    <s v="г Нижний Новгород"/>
    <n v="5262068407"/>
    <m/>
    <m/>
    <m/>
    <m/>
    <m/>
    <m/>
    <m/>
    <s v="Свой контакт (Менеджер)"/>
    <m/>
    <s v="Коммерческие"/>
    <s v="ООО"/>
    <n v="124698"/>
    <s v="Нижегородская область - 5 час"/>
    <m/>
    <m/>
    <m/>
    <s v="Да, компания работает"/>
    <s v="[C]Витебский Леонид Ефимович"/>
    <m/>
    <m/>
    <m/>
    <s v="Нет"/>
    <s v="Производство. Энергетика и водоснабжение"/>
    <m/>
    <m/>
    <m/>
    <s v="4732e184-0604-427d-8a2d-2f2b81f4c773"/>
  </r>
  <r>
    <n v="318348"/>
    <s v="ЦП. ИБ"/>
    <s v="Y"/>
    <s v="N"/>
    <x v="7"/>
    <m/>
    <s v="Антонов Владимир Дворяк Александра Кавко Елена Соболев Максим"/>
    <m/>
    <m/>
    <m/>
    <s v="Соболев Максим"/>
    <s v="ONE_C"/>
    <s v="ООО &quot;АНДИЖОННГКТВАБ&quot;-РУСЬ&quot; 3849096178 - Вк Клауд (Сентябрь)"/>
    <s v="Продажа"/>
    <s v="Звонок"/>
    <m/>
    <n v="8313"/>
    <s v="Российский рубль"/>
    <s v="ООО &quot;АНДИЖОННГКТВАБ&quot;-РУСЬ&quot; 3849096178#"/>
    <s v="Козубская Галина"/>
    <m/>
    <s v="нет"/>
    <d v="2026-08-15T21:35:55"/>
    <s v="Соболев Максим"/>
    <d v="2026-08-25T22:23:15"/>
    <s v="ROBOT"/>
    <d v="2026-08-15T00:00:00"/>
    <d v="2026-08-22T00:00:00"/>
    <s v="Виртуальная инфраструктура"/>
    <n v="8313"/>
    <n v="1"/>
    <m/>
    <m/>
    <m/>
    <m/>
    <m/>
    <n v="6346"/>
    <d v="2026-08-20T09:18:14"/>
    <m/>
    <m/>
    <m/>
    <m/>
    <m/>
    <m/>
    <s v="Двухсторонний договор"/>
    <s v="Нет"/>
    <n v="2"/>
    <m/>
    <m/>
    <m/>
    <s v="г Иркутск"/>
    <s v="ЦП. 1С и ИТС. Коммерция"/>
    <m/>
    <m/>
    <m/>
    <m/>
    <m/>
    <m/>
    <n v="2"/>
    <m/>
    <m/>
    <m/>
    <m/>
    <n v="5"/>
    <m/>
    <s v="ФРДТ-018146"/>
    <m/>
    <s v="ЦП. 1С. Коммерция"/>
    <m/>
    <m/>
    <m/>
    <m/>
    <d v="2026-08-19T00:00:00"/>
    <m/>
    <m/>
    <s v="[CO]ООО НПФ &quot;ФОРУС&quot; 3812023430#"/>
    <s v="Оказание услуг"/>
    <m/>
    <s v="Доступ в сервисе"/>
    <s v="Коммерческие"/>
    <m/>
    <m/>
    <s v="Обычный"/>
    <m/>
    <m/>
    <s v="#Загружено из Битрикс-Коробка#"/>
    <d v="2026-08-19T00:00:00"/>
    <m/>
    <m/>
    <s v="Виртуальная инфраструктура"/>
    <m/>
    <n v="318348"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s v="Необработанные"/>
    <m/>
    <m/>
    <m/>
    <m/>
    <m/>
    <m/>
    <m/>
    <m/>
    <m/>
    <m/>
    <m/>
    <m/>
    <m/>
    <m/>
    <m/>
    <m/>
    <m/>
    <m/>
    <m/>
    <m/>
    <m/>
    <m/>
    <s v="Облака (мес)"/>
    <s v="Оплачено"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Оплачено"/>
    <m/>
    <m/>
    <m/>
    <m/>
    <m/>
    <d v="2026-08-20T13:07:28"/>
    <d v="2026-08-31T16:35:41"/>
    <m/>
    <m/>
    <m/>
    <m/>
    <m/>
    <m/>
    <m/>
    <m/>
    <m/>
    <m/>
    <m/>
    <m/>
    <m/>
    <m/>
    <m/>
    <m/>
    <m/>
    <m/>
    <m/>
    <n v="228106"/>
    <m/>
    <m/>
    <s v="Галина"/>
    <s v="Козубская"/>
    <m/>
    <m/>
    <m/>
    <m/>
    <s v="ROBOT"/>
    <s v="[p] &amp;#91;Автор=Не авторизован&amp;#93; [/p]"/>
    <m/>
    <m/>
    <s v="Да"/>
    <s v="ROBOT_M"/>
    <d v="2021-08-04T02:41:01"/>
    <s v="Шарпанский Вадим"/>
    <d v="2026-07-28T09:54:41"/>
    <m/>
    <n v="73952204259"/>
    <n v="79526261997"/>
    <m/>
    <m/>
    <m/>
    <m/>
    <m/>
    <m/>
    <m/>
    <m/>
    <m/>
    <m/>
    <m/>
    <m/>
    <s v="gal62000@mail.ru"/>
    <m/>
    <m/>
    <m/>
    <m/>
    <m/>
    <m/>
    <m/>
    <m/>
    <m/>
    <m/>
    <m/>
    <m/>
    <m/>
    <m/>
    <m/>
    <s v="РП МАРКОВА,"/>
    <d v="2021-02-13T00:00:00"/>
    <s v="Да"/>
    <m/>
    <s v="Иркутская область 0 часов"/>
    <m/>
    <m/>
    <s v="Нет"/>
    <s v="43aaa6ab-b085-49d1-9f9c-937b30f548a3"/>
    <n v="225235"/>
    <m/>
    <s v="ООО &quot;АНДИЖОННГКТВАБ&quot;-РУСЬ&quot; 3849096178#"/>
    <s v="Клиент"/>
    <m/>
    <s v="ROBOT"/>
    <m/>
    <m/>
    <m/>
    <s v="Российский рубль"/>
    <m/>
    <s v="Новости Службы ИТ"/>
    <d v="2024-08-15T11:54:34"/>
    <s v="ROBOT_UT"/>
    <d v="2026-09-02T16:08:59"/>
    <m/>
    <n v="73952204259"/>
    <m/>
    <m/>
    <m/>
    <m/>
    <m/>
    <m/>
    <m/>
    <m/>
    <m/>
    <m/>
    <m/>
    <m/>
    <m/>
    <s v="berdikulov1967@mail.ru"/>
    <m/>
    <m/>
    <m/>
    <m/>
    <m/>
    <m/>
    <m/>
    <m/>
    <m/>
    <m/>
    <m/>
    <m/>
    <m/>
    <m/>
    <m/>
    <m/>
    <n v="0"/>
    <s v="berdikulov1967@mail.ru"/>
    <d v="2023-07-07T00:00:00"/>
    <m/>
    <s v="09.10.1 Предоставление услуг по бурению, связанному с добычей нефти, газа и газового конденсата"/>
    <m/>
    <s v="Нет"/>
    <m/>
    <m/>
    <s v="АНДИЖОННГКТВАБ-РУСЬ ООО"/>
    <s v="г Иркутск"/>
    <n v="3849096178"/>
    <m/>
    <m/>
    <m/>
    <m/>
    <s v="berdikulov1967@mail.ru"/>
    <m/>
    <m/>
    <s v="Контур.Биллинг"/>
    <m/>
    <s v="Коммерческие"/>
    <s v="ООО"/>
    <n v="125132"/>
    <s v="Иркутская область 0 часов"/>
    <m/>
    <m/>
    <m/>
    <s v="Нет"/>
    <m/>
    <m/>
    <m/>
    <m/>
    <s v="Нет"/>
    <s v="Производство. Разведка и добыча"/>
    <m/>
    <m/>
    <m/>
    <s v="338643aa-42f5-4253-913d-0e332872c52b"/>
  </r>
  <r>
    <n v="318345"/>
    <s v="ЦП. 1С. Продажи"/>
    <s v="Y"/>
    <s v="N"/>
    <x v="3"/>
    <m/>
    <m/>
    <m/>
    <m/>
    <m/>
    <s v="Соболев Максим"/>
    <s v="ONE_C"/>
    <s v="ООО ТК &quot;НОРД&quot; 3808291074# - 1С-ЭПД"/>
    <s v="Продажа"/>
    <s v="Свой контакт (Менеджер)"/>
    <m/>
    <n v="5000"/>
    <s v="Российский рубль"/>
    <s v="ООО ТК &quot;НОРД&quot; 3808291074#"/>
    <s v="Антипин Александр"/>
    <m/>
    <s v="нет"/>
    <d v="2026-08-15T19:20:32"/>
    <s v="Соболев Максим"/>
    <d v="2026-08-25T16:41:37"/>
    <s v="Соболев Максим"/>
    <d v="2026-08-15T00:00:00"/>
    <d v="2026-08-22T00:00:00"/>
    <s v="1С-ЭДО. ЭПД-1000 на 12 месяцев"/>
    <n v="5000"/>
    <n v="1"/>
    <m/>
    <m/>
    <m/>
    <m/>
    <m/>
    <n v="508"/>
    <d v="2026-08-15T19:30:28"/>
    <m/>
    <m/>
    <m/>
    <m/>
    <m/>
    <m/>
    <s v="Договор-оферта"/>
    <s v="Нет"/>
    <n v="1"/>
    <m/>
    <m/>
    <m/>
    <s v="Г.П. УСТЬ-КУТСКОЕ, Г УСТЬ-КУТ"/>
    <s v="ЦП. 1С и ИТС. Коммерция"/>
    <m/>
    <m/>
    <m/>
    <m/>
    <m/>
    <m/>
    <n v="0"/>
    <m/>
    <m/>
    <m/>
    <m/>
    <n v="3"/>
    <m/>
    <s v="ФРДТ-018143"/>
    <m/>
    <s v="ЦП. 1С. Коммерция"/>
    <m/>
    <m/>
    <m/>
    <m/>
    <d v="2026-08-17T00:00:00"/>
    <m/>
    <m/>
    <s v="[CO]ООО НПФ &quot;ФОРУС&quot; 3812023430#"/>
    <s v="Сервисы"/>
    <m/>
    <m/>
    <s v="Коммерческие"/>
    <m/>
    <m/>
    <s v="Обычный"/>
    <m/>
    <m/>
    <s v="#Загружено из Битрикс-Коробка#"/>
    <m/>
    <m/>
    <m/>
    <s v="1С-ЭДО Предоплаченные ТП"/>
    <m/>
    <m/>
    <m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-ЭПД"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8-25T16:25:57"/>
    <d v="2026-08-25T16:25:57"/>
    <m/>
    <m/>
    <m/>
    <m/>
    <m/>
    <m/>
    <m/>
    <m/>
    <m/>
    <m/>
    <m/>
    <m/>
    <m/>
    <m/>
    <m/>
    <m/>
    <m/>
    <m/>
    <m/>
    <n v="352073"/>
    <m/>
    <m/>
    <s v="Александр"/>
    <s v="Антипин"/>
    <m/>
    <m/>
    <m/>
    <s v="Клиенты"/>
    <s v="ROBOT"/>
    <m/>
    <s v="Свой контакт (Менеджер)"/>
    <m/>
    <s v="Да"/>
    <s v="Седых Евгений"/>
    <d v="2024-12-09T11:38:26"/>
    <s v="ROBOT"/>
    <d v="2026-08-06T17:26:34"/>
    <m/>
    <m/>
    <n v="79645464566"/>
    <m/>
    <m/>
    <m/>
    <m/>
    <m/>
    <m/>
    <m/>
    <m/>
    <m/>
    <m/>
    <m/>
    <m/>
    <s v="adm-100@bk.ru"/>
    <m/>
    <m/>
    <m/>
    <m/>
    <m/>
    <m/>
    <m/>
    <m/>
    <m/>
    <m/>
    <m/>
    <m/>
    <m/>
    <m/>
    <m/>
    <s v="Усть-Кут г"/>
    <d v="2024-12-09T00:00:00"/>
    <s v="Да"/>
    <m/>
    <s v="Иркутская область 0 часов"/>
    <m/>
    <m/>
    <s v="Нет"/>
    <m/>
    <n v="246139"/>
    <m/>
    <s v="ООО ТК &quot;НОРД&quot; 3808291074#"/>
    <s v="Клиент"/>
    <s v="менее 50"/>
    <s v="ROBOT"/>
    <m/>
    <s v="Информационные технологии"/>
    <m/>
    <s v="Российский рубль"/>
    <m/>
    <s v="Федосеев Максим"/>
    <d v="2025-11-28T11:19:08"/>
    <s v="ROBOT_UT"/>
    <d v="2026-09-02T16:46:46"/>
    <m/>
    <m/>
    <n v="79148998575"/>
    <m/>
    <m/>
    <m/>
    <m/>
    <m/>
    <m/>
    <m/>
    <m/>
    <m/>
    <m/>
    <m/>
    <m/>
    <s v="kya@tk-nord.ru"/>
    <m/>
    <m/>
    <m/>
    <m/>
    <m/>
    <m/>
    <m/>
    <m/>
    <m/>
    <m/>
    <m/>
    <m/>
    <m/>
    <m/>
    <m/>
    <m/>
    <n v="0"/>
    <s v="kya@tk-nord.ru"/>
    <d v="2025-02-17T00:00:00"/>
    <m/>
    <s v="49.41 Деятельность автомобильного грузового транспорта"/>
    <m/>
    <s v="Нет"/>
    <m/>
    <m/>
    <s v="НОРД ООО ТК"/>
    <s v="Г.П. УСТЬ-КУТСКОЕ, Г УСТЬ-КУТ"/>
    <n v="3808291074"/>
    <m/>
    <m/>
    <m/>
    <m/>
    <s v="kya@tk-nord.ru"/>
    <m/>
    <m/>
    <s v="По рекомендации/ Почкование"/>
    <m/>
    <s v="Коммерческие"/>
    <s v="ООО"/>
    <n v="119537"/>
    <s v="Иркутская область 0 часов"/>
    <m/>
    <m/>
    <m/>
    <s v="Нет"/>
    <m/>
    <m/>
    <m/>
    <m/>
    <s v="Нет"/>
    <s v="Услуги. Перевозки, логистика, склад"/>
    <m/>
    <m/>
    <m/>
    <s v="d1c4a9e1-7504-476b-b0dd-fa1a3fa775c1"/>
  </r>
  <r>
    <n v="318343"/>
    <s v="ЦП. 1С. Продажи"/>
    <s v="N"/>
    <s v="N"/>
    <x v="3"/>
    <m/>
    <m/>
    <m/>
    <m/>
    <m/>
    <s v="Соболев Максим"/>
    <s v="ONE_C"/>
    <s v="15.04.2027 ИП ДЕРКАЧ КСЕНИЯ ЕВГЕНЬЕВНА 380470282200# - 1C КП Отраслевой"/>
    <s v="Продажа"/>
    <s v="Звонок"/>
    <m/>
    <n v="22580"/>
    <s v="Российский рубль"/>
    <s v="ИП ДЕРКАЧ КСЕНИЯ ЕВГЕНЬЕВНА 380470282200#"/>
    <s v="Деркач Ксения Евгеньевна"/>
    <m/>
    <s v="нет"/>
    <d v="2026-08-15T17:49:12"/>
    <s v="Соболев Максим"/>
    <d v="2026-08-19T00:04:17"/>
    <s v="ROBOT_M"/>
    <d v="2026-08-15T00:00:00"/>
    <d v="2026-08-22T00:00:00"/>
    <s v="1С:КП Отраслевой ПРОФ, 1-я Категория на 12 месяцев, при пролонгации без перерыва"/>
    <n v="22580"/>
    <n v="1"/>
    <m/>
    <m/>
    <m/>
    <m/>
    <m/>
    <n v="508"/>
    <d v="2026-08-15T17:58:35"/>
    <m/>
    <m/>
    <m/>
    <m/>
    <m/>
    <m/>
    <s v="Договор-оферта"/>
    <s v="Нет"/>
    <n v="1"/>
    <m/>
    <m/>
    <m/>
    <s v="г Братск"/>
    <s v="ЦП. 1С и ИТС. Коммерция"/>
    <m/>
    <m/>
    <m/>
    <m/>
    <m/>
    <m/>
    <n v="0"/>
    <m/>
    <m/>
    <m/>
    <m/>
    <n v="0"/>
    <m/>
    <s v="ФРДТ-018142"/>
    <m/>
    <s v="ЦП. 1С. Коммерция"/>
    <m/>
    <m/>
    <m/>
    <m/>
    <d v="2026-08-15T00:00:00"/>
    <m/>
    <m/>
    <s v="[CO]ООО НПФ &quot;ФОРУС&quot; 3812023430#"/>
    <s v="Сервисы"/>
    <m/>
    <m/>
    <s v="Коммерческие"/>
    <m/>
    <m/>
    <s v="Обычный"/>
    <m/>
    <m/>
    <s v="#Загружено из Битрикс-Коробка#"/>
    <m/>
    <m/>
    <m/>
    <s v="ИТС КП Отраслевые"/>
    <m/>
    <m/>
    <m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C КП Отраслевой"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8-19T00:03:33"/>
    <d v="2026-08-26T14:21:14"/>
    <m/>
    <m/>
    <m/>
    <m/>
    <m/>
    <m/>
    <m/>
    <m/>
    <m/>
    <m/>
    <m/>
    <m/>
    <m/>
    <m/>
    <m/>
    <m/>
    <m/>
    <m/>
    <m/>
    <n v="357144"/>
    <m/>
    <m/>
    <s v="Ксения"/>
    <s v="Деркач"/>
    <s v="Евгеньевна"/>
    <m/>
    <m/>
    <s v="Клиенты"/>
    <s v="ROBOT"/>
    <s v="[p] CoPilot Ксения выбрала 1С: Фитнес-проф для перехода на обслуживание в компании 'Форс'. Текущий поставщик услуг не обновляет программу, что приводит к нарушению законодательства. У Ксении уже были проблемы с текущим поставщиком услуг за 9 лет сотрудничества. Марина обещала отправить коммерческое предложение по ценам на электронную почту Ксении. Ксения находится в Иркутске. [/p]"/>
    <s v="Звонок"/>
    <s v="Звонок поступил на номер: ЦП 78-00-00 (Общий) (62)."/>
    <s v="Да"/>
    <s v="Ковалева Марина"/>
    <d v="2025-02-11T12:42:08"/>
    <s v="Дунаевская Светлана"/>
    <d v="2026-08-19T06:44:18"/>
    <m/>
    <m/>
    <n v="79025672653"/>
    <m/>
    <m/>
    <m/>
    <m/>
    <m/>
    <m/>
    <m/>
    <m/>
    <m/>
    <m/>
    <m/>
    <m/>
    <s v="maximus_brk@mail.ru"/>
    <m/>
    <m/>
    <m/>
    <m/>
    <m/>
    <m/>
    <m/>
    <m/>
    <m/>
    <m/>
    <m/>
    <s v="imol|ank_chats_app24_whatsapp|32|79025672653|14282"/>
    <m/>
    <m/>
    <n v="14282"/>
    <s v="г Братск"/>
    <d v="2025-02-11T00:00:00"/>
    <s v="Да"/>
    <m/>
    <s v="Иркутская область 0 часов"/>
    <m/>
    <m/>
    <s v="Нет"/>
    <s v="0cd4afb9-5ebd-4a85-97d7-b0de9bfaec04"/>
    <n v="257784"/>
    <m/>
    <s v="ИП ДЕРКАЧ КСЕНИЯ ЕВГЕНЬЕВНА 380470282200#"/>
    <s v="Клиент"/>
    <s v="менее 50"/>
    <s v="ROBOT"/>
    <m/>
    <s v="Информационные технологии"/>
    <s v="0.00"/>
    <s v="Российский рубль"/>
    <m/>
    <s v="Соболев Максим"/>
    <d v="2026-08-06T10:44:48"/>
    <s v="Дунаевская Светлана"/>
    <d v="2026-08-17T16:42:33"/>
    <m/>
    <m/>
    <m/>
    <m/>
    <m/>
    <m/>
    <m/>
    <m/>
    <m/>
    <m/>
    <m/>
    <m/>
    <m/>
    <m/>
    <m/>
    <s v="maximus_brk@mail.ru"/>
    <m/>
    <m/>
    <m/>
    <m/>
    <m/>
    <m/>
    <m/>
    <m/>
    <m/>
    <m/>
    <m/>
    <m/>
    <m/>
    <m/>
    <m/>
    <m/>
    <n v="0"/>
    <s v="maximus_brk@mail.ru"/>
    <m/>
    <m/>
    <s v="93.13 Деятельность фитнес-центров"/>
    <m/>
    <s v="Нет"/>
    <m/>
    <m/>
    <s v="ИП Деркач Ксения Евгеньевна"/>
    <s v="г Братск"/>
    <n v="380470282200"/>
    <m/>
    <m/>
    <m/>
    <m/>
    <s v="maximus_brk@mail.ru"/>
    <m/>
    <m/>
    <s v="Свой контакт (Менеджер)"/>
    <m/>
    <s v="Коммерческие"/>
    <s v="ИП"/>
    <n v="128450"/>
    <s v="Иркутская область 0 часов"/>
    <m/>
    <m/>
    <m/>
    <s v="Нет"/>
    <m/>
    <m/>
    <m/>
    <m/>
    <s v="Нет"/>
    <s v="Услуги.Бытовые"/>
    <m/>
    <m/>
    <m/>
    <s v="132c5469-a2ec-4a03-a57b-04675cca9a0c"/>
  </r>
  <r>
    <n v="318338"/>
    <s v="ЦП. 1С. Продажи"/>
    <s v="N"/>
    <s v="N"/>
    <x v="3"/>
    <m/>
    <m/>
    <m/>
    <m/>
    <m/>
    <s v="Соболев Максим"/>
    <s v="ONE_C"/>
    <s v="ИП ДЕРКАЧ КСЕНИЯ ЕВГЕНЬЕВНА 380470282200# - Внедрение сервера"/>
    <s v="Продажа"/>
    <s v="Звонок"/>
    <m/>
    <n v="16000"/>
    <s v="Российский рубль"/>
    <s v="ИП ДЕРКАЧ КСЕНИЯ ЕВГЕНЬЕВНА 380470282200#"/>
    <s v="Деркач Ксения Евгеньевна"/>
    <m/>
    <s v="нет"/>
    <d v="2026-08-15T16:37:40"/>
    <s v="Соболев Максим"/>
    <d v="2026-08-19T00:04:17"/>
    <s v="ROBOT_M"/>
    <d v="2026-08-15T00:00:00"/>
    <d v="2026-08-22T00:00:00"/>
    <s v="Линия консультаций и техподдержка 1С"/>
    <n v="4000"/>
    <n v="4"/>
    <m/>
    <m/>
    <m/>
    <m/>
    <m/>
    <n v="508"/>
    <d v="2026-08-15T17:09:58"/>
    <m/>
    <m/>
    <m/>
    <m/>
    <m/>
    <m/>
    <s v="Договор-оферта"/>
    <s v="Нет"/>
    <n v="1"/>
    <m/>
    <m/>
    <m/>
    <s v="г Братск"/>
    <s v="ЦП. 1С и ИТС. Коммерция"/>
    <m/>
    <m/>
    <m/>
    <m/>
    <m/>
    <m/>
    <n v="0"/>
    <m/>
    <m/>
    <m/>
    <m/>
    <n v="0"/>
    <m/>
    <s v="ФРДТ-018140"/>
    <m/>
    <s v="ЦП. 1С. Коммерция"/>
    <m/>
    <m/>
    <m/>
    <m/>
    <d v="2026-08-17T00:00:00"/>
    <m/>
    <m/>
    <s v="[CO]ООО НПФ &quot;ФОРУС&quot; 3812023430#"/>
    <s v="Оказание услуг"/>
    <m/>
    <m/>
    <s v="Коммерческие"/>
    <m/>
    <m/>
    <s v="Обычный"/>
    <m/>
    <m/>
    <s v="#Загружено из Битрикс-Коробка#"/>
    <m/>
    <m/>
    <m/>
    <s v="Услуги ЦСВ 1С консультации"/>
    <m/>
    <m/>
    <m/>
    <m/>
    <m/>
    <m/>
    <s v="Не было отгрузок"/>
    <m/>
    <m/>
    <m/>
    <m/>
    <s v="Нет"/>
    <m/>
    <m/>
    <m/>
    <m/>
    <m/>
    <m/>
    <m/>
    <m/>
    <m/>
    <m/>
    <s v="АРХИВ_1С Разовые услуги (консультации)"/>
    <m/>
    <m/>
    <s v="Не нужно"/>
    <m/>
    <m/>
    <m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8-19T00:03:32"/>
    <d v="2026-08-26T14:21:14"/>
    <s v="Завершен"/>
    <m/>
    <m/>
    <m/>
    <m/>
    <m/>
    <m/>
    <m/>
    <m/>
    <m/>
    <m/>
    <m/>
    <m/>
    <m/>
    <m/>
    <m/>
    <m/>
    <m/>
    <m/>
    <n v="357144"/>
    <m/>
    <m/>
    <s v="Ксения"/>
    <s v="Деркач"/>
    <s v="Евгеньевна"/>
    <m/>
    <m/>
    <s v="Клиенты"/>
    <s v="ROBOT"/>
    <s v="[p] CoPilot Ксения выбрала 1С: Фитнес-проф для перехода на обслуживание в компании 'Форс'. Текущий поставщик услуг не обновляет программу, что приводит к нарушению законодательства. У Ксении уже были проблемы с текущим поставщиком услуг за 9 лет сотрудничества. Марина обещала отправить коммерческое предложение по ценам на электронную почту Ксении. Ксения находится в Иркутске. [/p]"/>
    <s v="Звонок"/>
    <s v="Звонок поступил на номер: ЦП 78-00-00 (Общий) (62)."/>
    <s v="Да"/>
    <s v="Ковалева Марина"/>
    <d v="2025-02-11T12:42:08"/>
    <s v="Дунаевская Светлана"/>
    <d v="2026-08-19T06:44:18"/>
    <m/>
    <m/>
    <n v="79025672653"/>
    <m/>
    <m/>
    <m/>
    <m/>
    <m/>
    <m/>
    <m/>
    <m/>
    <m/>
    <m/>
    <m/>
    <m/>
    <s v="maximus_brk@mail.ru"/>
    <m/>
    <m/>
    <m/>
    <m/>
    <m/>
    <m/>
    <m/>
    <m/>
    <m/>
    <m/>
    <m/>
    <s v="imol|ank_chats_app24_whatsapp|32|79025672653|14282"/>
    <m/>
    <m/>
    <n v="14282"/>
    <s v="г Братск"/>
    <d v="2025-02-11T00:00:00"/>
    <s v="Да"/>
    <m/>
    <s v="Иркутская область 0 часов"/>
    <m/>
    <m/>
    <s v="Нет"/>
    <s v="0cd4afb9-5ebd-4a85-97d7-b0de9bfaec04"/>
    <n v="257784"/>
    <m/>
    <s v="ИП ДЕРКАЧ КСЕНИЯ ЕВГЕНЬЕВНА 380470282200#"/>
    <s v="Клиент"/>
    <s v="менее 50"/>
    <s v="ROBOT"/>
    <m/>
    <s v="Информационные технологии"/>
    <s v="0.00"/>
    <s v="Российский рубль"/>
    <m/>
    <s v="Соболев Максим"/>
    <d v="2026-08-06T10:44:48"/>
    <s v="Дунаевская Светлана"/>
    <d v="2026-08-17T16:42:33"/>
    <m/>
    <m/>
    <m/>
    <m/>
    <m/>
    <m/>
    <m/>
    <m/>
    <m/>
    <m/>
    <m/>
    <m/>
    <m/>
    <m/>
    <m/>
    <s v="maximus_brk@mail.ru"/>
    <m/>
    <m/>
    <m/>
    <m/>
    <m/>
    <m/>
    <m/>
    <m/>
    <m/>
    <m/>
    <m/>
    <m/>
    <m/>
    <m/>
    <m/>
    <m/>
    <n v="0"/>
    <s v="maximus_brk@mail.ru"/>
    <m/>
    <m/>
    <s v="93.13 Деятельность фитнес-центров"/>
    <m/>
    <s v="Нет"/>
    <m/>
    <m/>
    <s v="ИП Деркач Ксения Евгеньевна"/>
    <s v="г Братск"/>
    <n v="380470282200"/>
    <m/>
    <m/>
    <m/>
    <m/>
    <s v="maximus_brk@mail.ru"/>
    <m/>
    <m/>
    <s v="Свой контакт (Менеджер)"/>
    <m/>
    <s v="Коммерческие"/>
    <s v="ИП"/>
    <n v="128450"/>
    <s v="Иркутская область 0 часов"/>
    <m/>
    <m/>
    <m/>
    <s v="Нет"/>
    <m/>
    <m/>
    <m/>
    <m/>
    <s v="Нет"/>
    <s v="Услуги.Бытовые"/>
    <m/>
    <m/>
    <m/>
    <s v="132c5469-a2ec-4a03-a57b-04675cca9a0c"/>
  </r>
  <r>
    <n v="318337"/>
    <s v="ЦП. 1С. Продажи"/>
    <s v="N"/>
    <s v="N"/>
    <x v="3"/>
    <m/>
    <m/>
    <m/>
    <m/>
    <m/>
    <s v="Соболев Максим"/>
    <s v="ONE_C"/>
    <s v="ИП ДЕРКАЧ КСЕНИЯ ЕВГЕНЬЕВНА 380470282200# - Поддержка облака"/>
    <s v="Продажа"/>
    <s v="Звонок"/>
    <m/>
    <n v="6700"/>
    <s v="Российский рубль"/>
    <s v="ИП ДЕРКАЧ КСЕНИЯ ЕВГЕНЬЕВНА 380470282200#"/>
    <s v="Деркач Ксения Евгеньевна"/>
    <m/>
    <s v="нет"/>
    <d v="2026-08-15T16:34:13"/>
    <s v="Соболев Максим"/>
    <d v="2026-08-19T00:04:16"/>
    <s v="ROBOT_M"/>
    <d v="2026-08-15T00:00:00"/>
    <d v="2026-08-22T00:00:00"/>
    <s v="Поддержка виртуальной инфраструктуры/Поддержка ПО в облачном сервисе"/>
    <n v="6700"/>
    <n v="1"/>
    <m/>
    <m/>
    <m/>
    <m/>
    <m/>
    <n v="508"/>
    <d v="2026-08-15T17:09:14"/>
    <m/>
    <m/>
    <m/>
    <m/>
    <m/>
    <m/>
    <s v="Договор-оферта"/>
    <s v="Нет"/>
    <n v="1"/>
    <m/>
    <m/>
    <m/>
    <s v="г Братск"/>
    <s v="ЦП. 1С и ИТС. Коммерция"/>
    <m/>
    <m/>
    <m/>
    <m/>
    <m/>
    <m/>
    <n v="0"/>
    <m/>
    <m/>
    <m/>
    <m/>
    <n v="7"/>
    <m/>
    <s v="ФРДТ-018139"/>
    <m/>
    <s v="ЦП. 1С. Коммерция"/>
    <m/>
    <m/>
    <m/>
    <m/>
    <d v="2026-08-17T00:00:00"/>
    <m/>
    <m/>
    <s v="[CO]ООО НПФ &quot;ФОРУС&quot; 3812023430#"/>
    <s v="Оказание услуг"/>
    <m/>
    <m/>
    <s v="Коммерческие"/>
    <m/>
    <m/>
    <s v="Обычный"/>
    <m/>
    <m/>
    <s v="#Загружено из Битрикс-Коробка#"/>
    <m/>
    <m/>
    <m/>
    <s v="Услуги ЦСВ ТП"/>
    <m/>
    <m/>
    <m/>
    <m/>
    <m/>
    <m/>
    <s v="Не было отгрузок"/>
    <m/>
    <m/>
    <m/>
    <m/>
    <s v="Нет"/>
    <m/>
    <m/>
    <m/>
    <m/>
    <m/>
    <m/>
    <m/>
    <m/>
    <m/>
    <m/>
    <s v="АРХИВ_1С Разовые услуги (консультации)"/>
    <m/>
    <m/>
    <s v="Не нужно"/>
    <m/>
    <m/>
    <m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8-19T00:03:32"/>
    <d v="2026-08-26T14:21:14"/>
    <s v="Завершен"/>
    <m/>
    <m/>
    <m/>
    <m/>
    <m/>
    <m/>
    <m/>
    <m/>
    <m/>
    <m/>
    <m/>
    <m/>
    <m/>
    <m/>
    <m/>
    <m/>
    <m/>
    <m/>
    <n v="357144"/>
    <m/>
    <m/>
    <s v="Ксения"/>
    <s v="Деркач"/>
    <s v="Евгеньевна"/>
    <m/>
    <m/>
    <s v="Клиенты"/>
    <s v="ROBOT"/>
    <s v="[p] CoPilot Ксения выбрала 1С: Фитнес-проф для перехода на обслуживание в компании 'Форс'. Текущий поставщик услуг не обновляет программу, что приводит к нарушению законодательства. У Ксении уже были проблемы с текущим поставщиком услуг за 9 лет сотрудничества. Марина обещала отправить коммерческое предложение по ценам на электронную почту Ксении. Ксения находится в Иркутске. [/p]"/>
    <s v="Звонок"/>
    <s v="Звонок поступил на номер: ЦП 78-00-00 (Общий) (62)."/>
    <s v="Да"/>
    <s v="Ковалева Марина"/>
    <d v="2025-02-11T12:42:08"/>
    <s v="Дунаевская Светлана"/>
    <d v="2026-08-19T06:44:18"/>
    <m/>
    <m/>
    <n v="79025672653"/>
    <m/>
    <m/>
    <m/>
    <m/>
    <m/>
    <m/>
    <m/>
    <m/>
    <m/>
    <m/>
    <m/>
    <m/>
    <s v="maximus_brk@mail.ru"/>
    <m/>
    <m/>
    <m/>
    <m/>
    <m/>
    <m/>
    <m/>
    <m/>
    <m/>
    <m/>
    <m/>
    <s v="imol|ank_chats_app24_whatsapp|32|79025672653|14282"/>
    <m/>
    <m/>
    <n v="14282"/>
    <s v="г Братск"/>
    <d v="2025-02-11T00:00:00"/>
    <s v="Да"/>
    <m/>
    <s v="Иркутская область 0 часов"/>
    <m/>
    <m/>
    <s v="Нет"/>
    <s v="0cd4afb9-5ebd-4a85-97d7-b0de9bfaec04"/>
    <n v="257784"/>
    <m/>
    <s v="ИП ДЕРКАЧ КСЕНИЯ ЕВГЕНЬЕВНА 380470282200#"/>
    <s v="Клиент"/>
    <s v="менее 50"/>
    <s v="ROBOT"/>
    <m/>
    <s v="Информационные технологии"/>
    <s v="0.00"/>
    <s v="Российский рубль"/>
    <m/>
    <s v="Соболев Максим"/>
    <d v="2026-08-06T10:44:48"/>
    <s v="Дунаевская Светлана"/>
    <d v="2026-08-17T16:42:33"/>
    <m/>
    <m/>
    <m/>
    <m/>
    <m/>
    <m/>
    <m/>
    <m/>
    <m/>
    <m/>
    <m/>
    <m/>
    <m/>
    <m/>
    <m/>
    <s v="maximus_brk@mail.ru"/>
    <m/>
    <m/>
    <m/>
    <m/>
    <m/>
    <m/>
    <m/>
    <m/>
    <m/>
    <m/>
    <m/>
    <m/>
    <m/>
    <m/>
    <m/>
    <m/>
    <n v="0"/>
    <s v="maximus_brk@mail.ru"/>
    <m/>
    <m/>
    <s v="93.13 Деятельность фитнес-центров"/>
    <m/>
    <s v="Нет"/>
    <m/>
    <m/>
    <s v="ИП Деркач Ксения Евгеньевна"/>
    <s v="г Братск"/>
    <n v="380470282200"/>
    <m/>
    <m/>
    <m/>
    <m/>
    <s v="maximus_brk@mail.ru"/>
    <m/>
    <m/>
    <s v="Свой контакт (Менеджер)"/>
    <m/>
    <s v="Коммерческие"/>
    <s v="ИП"/>
    <n v="128450"/>
    <s v="Иркутская область 0 часов"/>
    <m/>
    <m/>
    <m/>
    <s v="Нет"/>
    <m/>
    <m/>
    <m/>
    <m/>
    <s v="Нет"/>
    <s v="Услуги.Бытовые"/>
    <m/>
    <m/>
    <m/>
    <s v="132c5469-a2ec-4a03-a57b-04675cca9a0c"/>
  </r>
  <r>
    <n v="318336"/>
    <s v="ЦП. ИБ"/>
    <s v="N"/>
    <s v="N"/>
    <x v="3"/>
    <m/>
    <m/>
    <m/>
    <m/>
    <m/>
    <s v="Соболев Максим"/>
    <s v="ONE_C"/>
    <s v="ИП ДЕРКАЧ КСЕНИЯ ЕВГЕНЬЕВНА 380470282200 - Облако ВК Клауд"/>
    <s v="Продажа"/>
    <s v="Звонок"/>
    <m/>
    <n v="7500"/>
    <s v="Российский рубль"/>
    <s v="ИП ДЕРКАЧ КСЕНИЯ ЕВГЕНЬЕВНА 380470282200#"/>
    <s v="Деркач Ксения Евгеньевна"/>
    <m/>
    <s v="нет"/>
    <d v="2026-08-15T16:32:58"/>
    <s v="Соболев Максим"/>
    <d v="2026-08-19T14:00:38"/>
    <s v="Соболев Максим"/>
    <d v="2026-08-15T00:00:00"/>
    <d v="2026-08-22T00:00:00"/>
    <s v="Виртуальная инфраструктура"/>
    <n v="7500"/>
    <n v="1"/>
    <m/>
    <m/>
    <m/>
    <m/>
    <m/>
    <n v="508"/>
    <d v="2026-08-15T17:08:06"/>
    <m/>
    <m/>
    <m/>
    <m/>
    <m/>
    <m/>
    <s v="Двухсторонний договор"/>
    <s v="Нет"/>
    <n v="1"/>
    <m/>
    <m/>
    <m/>
    <s v="г Братск"/>
    <s v="ЦП. 1С и ИТС. Коммерция"/>
    <m/>
    <m/>
    <m/>
    <m/>
    <m/>
    <m/>
    <n v="0"/>
    <m/>
    <m/>
    <m/>
    <m/>
    <n v="3"/>
    <m/>
    <s v="ФРДТ-018138"/>
    <m/>
    <s v="ЦП. 1С. Коммерция"/>
    <m/>
    <m/>
    <m/>
    <m/>
    <d v="2026-08-17T00:00:00"/>
    <m/>
    <m/>
    <s v="[CO]ООО НПФ &quot;ФОРУС&quot; 3812023430#"/>
    <s v="Оказание услуг"/>
    <m/>
    <m/>
    <s v="Коммерческие"/>
    <m/>
    <m/>
    <s v="Обычный"/>
    <m/>
    <m/>
    <s v="#Загружено из Битрикс-Коробка#"/>
    <m/>
    <m/>
    <m/>
    <s v="Виртуальная инфраструктура"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s v="Уточнить потребности"/>
    <m/>
    <m/>
    <m/>
    <m/>
    <m/>
    <m/>
    <m/>
    <m/>
    <m/>
    <m/>
    <m/>
    <m/>
    <m/>
    <m/>
    <m/>
    <m/>
    <m/>
    <m/>
    <m/>
    <m/>
    <m/>
    <m/>
    <s v="Облака (мес)"/>
    <s v="Контроль оплаты"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8-19T14:00:00"/>
    <d v="2026-08-26T14:21:14"/>
    <s v="Завершен"/>
    <m/>
    <m/>
    <m/>
    <m/>
    <m/>
    <m/>
    <m/>
    <m/>
    <m/>
    <m/>
    <m/>
    <m/>
    <m/>
    <m/>
    <m/>
    <m/>
    <m/>
    <m/>
    <n v="357144"/>
    <m/>
    <m/>
    <s v="Ксения"/>
    <s v="Деркач"/>
    <s v="Евгеньевна"/>
    <m/>
    <m/>
    <s v="Клиенты"/>
    <s v="ROBOT"/>
    <s v="[p] CoPilot Ксения выбрала 1С: Фитнес-проф для перехода на обслуживание в компании 'Форс'. Текущий поставщик услуг не обновляет программу, что приводит к нарушению законодательства. У Ксении уже были проблемы с текущим поставщиком услуг за 9 лет сотрудничества. Марина обещала отправить коммерческое предложение по ценам на электронную почту Ксении. Ксения находится в Иркутске. [/p]"/>
    <s v="Звонок"/>
    <s v="Звонок поступил на номер: ЦП 78-00-00 (Общий) (62)."/>
    <s v="Да"/>
    <s v="Ковалева Марина"/>
    <d v="2025-02-11T12:42:08"/>
    <s v="Дунаевская Светлана"/>
    <d v="2026-08-19T06:44:18"/>
    <m/>
    <m/>
    <n v="79025672653"/>
    <m/>
    <m/>
    <m/>
    <m/>
    <m/>
    <m/>
    <m/>
    <m/>
    <m/>
    <m/>
    <m/>
    <m/>
    <s v="maximus_brk@mail.ru"/>
    <m/>
    <m/>
    <m/>
    <m/>
    <m/>
    <m/>
    <m/>
    <m/>
    <m/>
    <m/>
    <m/>
    <s v="imol|ank_chats_app24_whatsapp|32|79025672653|14282"/>
    <m/>
    <m/>
    <n v="14282"/>
    <s v="г Братск"/>
    <d v="2025-02-11T00:00:00"/>
    <s v="Да"/>
    <m/>
    <s v="Иркутская область 0 часов"/>
    <m/>
    <m/>
    <s v="Нет"/>
    <s v="0cd4afb9-5ebd-4a85-97d7-b0de9bfaec04"/>
    <n v="257784"/>
    <m/>
    <s v="ИП ДЕРКАЧ КСЕНИЯ ЕВГЕНЬЕВНА 380470282200#"/>
    <s v="Клиент"/>
    <s v="менее 50"/>
    <s v="ROBOT"/>
    <m/>
    <s v="Информационные технологии"/>
    <s v="0.00"/>
    <s v="Российский рубль"/>
    <m/>
    <s v="Соболев Максим"/>
    <d v="2026-08-06T10:44:48"/>
    <s v="Дунаевская Светлана"/>
    <d v="2026-08-17T16:42:33"/>
    <m/>
    <m/>
    <m/>
    <m/>
    <m/>
    <m/>
    <m/>
    <m/>
    <m/>
    <m/>
    <m/>
    <m/>
    <m/>
    <m/>
    <m/>
    <s v="maximus_brk@mail.ru"/>
    <m/>
    <m/>
    <m/>
    <m/>
    <m/>
    <m/>
    <m/>
    <m/>
    <m/>
    <m/>
    <m/>
    <m/>
    <m/>
    <m/>
    <m/>
    <m/>
    <n v="0"/>
    <s v="maximus_brk@mail.ru"/>
    <m/>
    <m/>
    <s v="93.13 Деятельность фитнес-центров"/>
    <m/>
    <s v="Нет"/>
    <m/>
    <m/>
    <s v="ИП Деркач Ксения Евгеньевна"/>
    <s v="г Братск"/>
    <n v="380470282200"/>
    <m/>
    <m/>
    <m/>
    <m/>
    <s v="maximus_brk@mail.ru"/>
    <m/>
    <m/>
    <s v="Свой контакт (Менеджер)"/>
    <m/>
    <s v="Коммерческие"/>
    <s v="ИП"/>
    <n v="128450"/>
    <s v="Иркутская область 0 часов"/>
    <m/>
    <m/>
    <m/>
    <s v="Нет"/>
    <m/>
    <m/>
    <m/>
    <m/>
    <s v="Нет"/>
    <s v="Услуги.Бытовые"/>
    <m/>
    <m/>
    <m/>
    <s v="132c5469-a2ec-4a03-a57b-04675cca9a0c"/>
  </r>
  <r>
    <n v="318333"/>
    <s v="ЦП. ИБ"/>
    <s v="Y"/>
    <s v="N"/>
    <x v="7"/>
    <m/>
    <m/>
    <m/>
    <m/>
    <m/>
    <s v="Соболев Максим"/>
    <s v="ONE_C"/>
    <s v="ООО ТК &quot;НОРД&quot; 3808291074 - Облако ВК Клауд"/>
    <s v="Продажа"/>
    <s v="Звонок"/>
    <m/>
    <n v="8000"/>
    <s v="Российский рубль"/>
    <s v="ООО ТК &quot;НОРД&quot; 3808291074#"/>
    <s v="Антипин Александр"/>
    <m/>
    <s v="нет"/>
    <d v="2026-08-15T15:33:59"/>
    <s v="Соболев Максим"/>
    <d v="2026-09-02T09:14:45"/>
    <s v="ROBOT"/>
    <d v="2026-08-15T00:00:00"/>
    <d v="2026-08-22T00:00:00"/>
    <s v="Виртуальная инфраструктура"/>
    <n v="8000"/>
    <n v="1"/>
    <m/>
    <m/>
    <m/>
    <m/>
    <m/>
    <n v="6346"/>
    <d v="2026-09-02T09:14:25"/>
    <m/>
    <m/>
    <m/>
    <m/>
    <m/>
    <m/>
    <s v="Двухсторонний договор"/>
    <s v="Нет"/>
    <n v="0"/>
    <m/>
    <m/>
    <m/>
    <s v="Г.П. УСТЬ-КУТСКОЕ, Г УСТЬ-КУТ"/>
    <s v="ЦП. 1С и ИТС. Коммерция"/>
    <m/>
    <m/>
    <m/>
    <m/>
    <m/>
    <m/>
    <n v="1"/>
    <m/>
    <m/>
    <m/>
    <m/>
    <n v="13"/>
    <m/>
    <s v="ФРДТ-018135"/>
    <m/>
    <s v="ЦП. 1С. Коммерция"/>
    <m/>
    <m/>
    <m/>
    <m/>
    <d v="2026-08-17T00:00:00"/>
    <m/>
    <m/>
    <s v="[CO]ООО НПФ &quot;ФОРУС&quot; 3812023430#"/>
    <s v="Оказание услуг"/>
    <m/>
    <m/>
    <s v="Коммерческие"/>
    <m/>
    <m/>
    <s v="Обычный"/>
    <m/>
    <m/>
    <s v="#Загружено из Битрикс-Коробка#"/>
    <d v="2026-09-01T00:00:00"/>
    <m/>
    <m/>
    <s v="Виртуальная инфраструктура"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s v="Облака (мес)"/>
    <s v="Оплачено"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Оплачено"/>
    <m/>
    <m/>
    <m/>
    <m/>
    <m/>
    <d v="2026-09-02T09:14:24"/>
    <d v="2026-08-26T13:51:33"/>
    <s v="Завершен"/>
    <m/>
    <m/>
    <m/>
    <m/>
    <m/>
    <m/>
    <m/>
    <m/>
    <m/>
    <m/>
    <m/>
    <m/>
    <m/>
    <m/>
    <m/>
    <m/>
    <m/>
    <m/>
    <n v="352073"/>
    <m/>
    <m/>
    <s v="Александр"/>
    <s v="Антипин"/>
    <m/>
    <m/>
    <m/>
    <s v="Клиенты"/>
    <s v="ROBOT"/>
    <m/>
    <s v="Свой контакт (Менеджер)"/>
    <m/>
    <s v="Да"/>
    <s v="Седых Евгений"/>
    <d v="2024-12-09T11:38:26"/>
    <s v="ROBOT"/>
    <d v="2026-08-06T17:26:34"/>
    <m/>
    <m/>
    <n v="79645464566"/>
    <m/>
    <m/>
    <m/>
    <m/>
    <m/>
    <m/>
    <m/>
    <m/>
    <m/>
    <m/>
    <m/>
    <m/>
    <s v="adm-100@bk.ru"/>
    <m/>
    <m/>
    <m/>
    <m/>
    <m/>
    <m/>
    <m/>
    <m/>
    <m/>
    <m/>
    <m/>
    <m/>
    <m/>
    <m/>
    <m/>
    <s v="Усть-Кут г"/>
    <d v="2024-12-09T00:00:00"/>
    <s v="Да"/>
    <m/>
    <s v="Иркутская область 0 часов"/>
    <m/>
    <m/>
    <s v="Нет"/>
    <m/>
    <n v="246139"/>
    <m/>
    <s v="ООО ТК &quot;НОРД&quot; 3808291074#"/>
    <s v="Клиент"/>
    <s v="менее 50"/>
    <s v="ROBOT"/>
    <m/>
    <s v="Информационные технологии"/>
    <m/>
    <s v="Российский рубль"/>
    <m/>
    <s v="Федосеев Максим"/>
    <d v="2025-11-28T11:19:08"/>
    <s v="ROBOT_UT"/>
    <d v="2026-09-02T16:46:46"/>
    <m/>
    <m/>
    <n v="79148998575"/>
    <m/>
    <m/>
    <m/>
    <m/>
    <m/>
    <m/>
    <m/>
    <m/>
    <m/>
    <m/>
    <m/>
    <m/>
    <s v="kya@tk-nord.ru"/>
    <m/>
    <m/>
    <m/>
    <m/>
    <m/>
    <m/>
    <m/>
    <m/>
    <m/>
    <m/>
    <m/>
    <m/>
    <m/>
    <m/>
    <m/>
    <m/>
    <n v="0"/>
    <s v="kya@tk-nord.ru"/>
    <d v="2025-02-17T00:00:00"/>
    <m/>
    <s v="49.41 Деятельность автомобильного грузового транспорта"/>
    <m/>
    <s v="Нет"/>
    <m/>
    <m/>
    <s v="НОРД ООО ТК"/>
    <s v="Г.П. УСТЬ-КУТСКОЕ, Г УСТЬ-КУТ"/>
    <n v="3808291074"/>
    <m/>
    <m/>
    <m/>
    <m/>
    <s v="kya@tk-nord.ru"/>
    <m/>
    <m/>
    <s v="По рекомендации/ Почкование"/>
    <m/>
    <s v="Коммерческие"/>
    <s v="ООО"/>
    <n v="119537"/>
    <s v="Иркутская область 0 часов"/>
    <m/>
    <m/>
    <m/>
    <s v="Нет"/>
    <m/>
    <m/>
    <m/>
    <m/>
    <s v="Нет"/>
    <s v="Услуги. Перевозки, логистика, склад"/>
    <m/>
    <m/>
    <m/>
    <s v="d1c4a9e1-7504-476b-b0dd-fa1a3fa775c1"/>
  </r>
  <r>
    <n v="318332"/>
    <s v="ЦП. 1С. Продажи"/>
    <s v="Y"/>
    <s v="N"/>
    <x v="3"/>
    <m/>
    <m/>
    <m/>
    <m/>
    <m/>
    <s v="Соболев Максим"/>
    <s v="ONE_C"/>
    <s v="ИП Круталевич Елена Юрьевна 380806982866# - Переход с УТ на Розница"/>
    <s v="Продажа"/>
    <s v="Звонок"/>
    <m/>
    <n v="36960"/>
    <s v="Российский рубль"/>
    <s v="ИП Круталевич Елена Юрьевна 380806982866#"/>
    <s v="Углова Алена Юрьевна"/>
    <m/>
    <s v="нет"/>
    <d v="2026-08-15T14:56:53"/>
    <s v="Соболев Максим"/>
    <d v="2026-09-02T14:04:21"/>
    <s v="Иванова Евгения"/>
    <d v="2026-08-15T00:00:00"/>
    <d v="2026-08-22T00:00:00"/>
    <s v="Линия консультаций и техподдержка 1С"/>
    <n v="3360"/>
    <n v="11"/>
    <m/>
    <m/>
    <m/>
    <m/>
    <m/>
    <n v="508"/>
    <d v="2026-08-28T16:44:46"/>
    <m/>
    <m/>
    <m/>
    <m/>
    <m/>
    <m/>
    <s v="Договор-оферта"/>
    <s v="Нет"/>
    <n v="1"/>
    <m/>
    <m/>
    <m/>
    <s v="Иркутск г"/>
    <s v="ЦП. 1С и ИТС. Коммерция"/>
    <m/>
    <m/>
    <m/>
    <m/>
    <m/>
    <m/>
    <n v="0"/>
    <m/>
    <m/>
    <m/>
    <m/>
    <n v="1"/>
    <m/>
    <s v="ФРДТ-018134"/>
    <m/>
    <s v="ЦП. 1С. Коммерция"/>
    <m/>
    <m/>
    <m/>
    <m/>
    <d v="2026-08-28T00:00:00"/>
    <m/>
    <m/>
    <s v="[CO]ООО НПФ &quot;ФОРУС&quot; 3812023430#"/>
    <s v="Оказание услуг"/>
    <m/>
    <m/>
    <s v="Коммерческие"/>
    <m/>
    <m/>
    <s v="Обычный"/>
    <m/>
    <m/>
    <s v="#Загружено из Битрикс-Коробка#"/>
    <m/>
    <m/>
    <m/>
    <s v="Услуги ЦСВ 1С консультации"/>
    <m/>
    <m/>
    <m/>
    <m/>
    <m/>
    <m/>
    <s v="Не было отгрузок"/>
    <m/>
    <m/>
    <m/>
    <m/>
    <s v="Нет"/>
    <m/>
    <m/>
    <m/>
    <m/>
    <m/>
    <m/>
    <m/>
    <m/>
    <m/>
    <m/>
    <s v="АРХИВ_1С Разовые услуги (консультации)"/>
    <m/>
    <m/>
    <s v="Не нужно"/>
    <m/>
    <m/>
    <m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9-02T14:02:46"/>
    <d v="2026-09-02T14:02:46"/>
    <m/>
    <m/>
    <m/>
    <m/>
    <m/>
    <m/>
    <m/>
    <m/>
    <m/>
    <m/>
    <m/>
    <m/>
    <m/>
    <m/>
    <m/>
    <m/>
    <m/>
    <m/>
    <m/>
    <n v="316634"/>
    <m/>
    <m/>
    <s v="Алена"/>
    <s v="Углова"/>
    <s v="Юрьевна"/>
    <m/>
    <m/>
    <s v="Клиенты"/>
    <s v="ROBOT"/>
    <s v="[p] . [/p]"/>
    <s v="Свой контакт (Менеджер)"/>
    <m/>
    <s v="Да"/>
    <s v="Торокова Мария"/>
    <d v="2023-10-11T15:15:57"/>
    <s v="ROBOT"/>
    <d v="2026-09-01T16:14:40"/>
    <m/>
    <m/>
    <n v="158332815216"/>
    <m/>
    <m/>
    <m/>
    <m/>
    <m/>
    <m/>
    <m/>
    <m/>
    <m/>
    <m/>
    <m/>
    <m/>
    <s v="m4sterovoy@yandex.ru"/>
    <m/>
    <m/>
    <m/>
    <m/>
    <m/>
    <m/>
    <m/>
    <m/>
    <m/>
    <m/>
    <m/>
    <s v="imol|ank_chats_app24_whatsapp|32|79086485626|5629"/>
    <m/>
    <m/>
    <n v="5629"/>
    <s v="Иркутск г"/>
    <d v="2023-10-11T00:00:00"/>
    <s v="Да"/>
    <m/>
    <s v="Иркутская область 0 часов"/>
    <m/>
    <m/>
    <s v="Нет"/>
    <s v="99d44168-831c-49b1-9880-1f024f52cc8a"/>
    <n v="217223"/>
    <m/>
    <s v="ИП Круталевич Елена Юрьевна 380806982866#"/>
    <s v="Клиент"/>
    <s v="менее 50"/>
    <s v="ROBOT"/>
    <m/>
    <s v="Информационные технологии"/>
    <m/>
    <s v="Российский рубль"/>
    <s v="Данные из БУХМАСТЕР: Доверенность до:15.02.2025 Сфера деятельности: Кол-во сотрудников: Где база:УФА СНО:ПСН, УСН15%нулевая Тариф договора: Периодичность запроса первички: Доступ в банк: Нет Адрей банк-клиента: Наличие онлайн-кассы:Нет Адрес онлайн кассы: Платформа офд Касса: Нет Наличие ЭДО:"/>
    <s v="Сирина Карина"/>
    <d v="2024-02-14T12:44:46"/>
    <s v="ROBOT_UT"/>
    <d v="2026-09-01T16:19:44"/>
    <m/>
    <m/>
    <n v="79148955959"/>
    <m/>
    <m/>
    <m/>
    <m/>
    <m/>
    <m/>
    <m/>
    <m/>
    <m/>
    <m/>
    <m/>
    <m/>
    <s v="m4sterovoy@yandex.ru"/>
    <m/>
    <m/>
    <m/>
    <m/>
    <m/>
    <m/>
    <m/>
    <m/>
    <m/>
    <m/>
    <m/>
    <s v="imol|ank_chats_app24_telegram|47|private-813447807h-1628279926093130285|22673"/>
    <m/>
    <m/>
    <n v="22673"/>
    <m/>
    <n v="0"/>
    <s v="m4sterovoy@yandex.ru"/>
    <m/>
    <m/>
    <s v="47.52 Торговля розничная скобяными изделиями, лакокрасочными материалами и стеклом в специализированных магазинах"/>
    <m/>
    <s v="Нет"/>
    <m/>
    <m/>
    <s v="ИП Круталевич Елена Юрьевна"/>
    <s v="Иркутск г"/>
    <n v="380806982866"/>
    <s v="4. УСН: Доходы + НДС"/>
    <m/>
    <m/>
    <m/>
    <s v="m4sterovoy@yandex.ru"/>
    <m/>
    <m/>
    <s v="Звонок"/>
    <m/>
    <s v="Коммерческие"/>
    <s v="ИП"/>
    <n v="100754"/>
    <s v="Иркутская область 0 часов"/>
    <m/>
    <s v="Иркутск"/>
    <s v="БО. Комплексный сервис"/>
    <m/>
    <m/>
    <m/>
    <n v="1"/>
    <s v="Рабочая группа № 6"/>
    <s v="Нет"/>
    <s v="Торговля. Прочая"/>
    <m/>
    <m/>
    <m/>
    <s v="922630c5-afc5-4dd6-8dae-3c2dc33b7523"/>
  </r>
  <r>
    <n v="318331"/>
    <s v="ЦП. 1С. Продажи"/>
    <s v="Y"/>
    <s v="N"/>
    <x v="3"/>
    <m/>
    <m/>
    <m/>
    <m/>
    <m/>
    <s v="Соболев Максим"/>
    <s v="ONE_C"/>
    <s v="ИП Круталевич Елена Юрьевна 380806982866# - ФН, ОФД. Астрал"/>
    <s v="Продажа"/>
    <s v="Звонок"/>
    <m/>
    <n v="19000"/>
    <s v="Российский рубль"/>
    <s v="ИП Круталевич Елена Юрьевна 380806982866#"/>
    <s v="Углова Алена Юрьевна"/>
    <m/>
    <s v="нет"/>
    <d v="2026-08-15T14:47:58"/>
    <s v="Соболев Максим"/>
    <d v="2026-09-02T14:04:21"/>
    <s v="Иванова Евгения"/>
    <d v="2026-08-15T00:00:00"/>
    <d v="2026-08-22T00:00:00"/>
    <s v="ПИН-код активации кассы в Астрал.ОФД на 36 мес. (1 шт.)"/>
    <n v="9500"/>
    <n v="2"/>
    <m/>
    <m/>
    <m/>
    <m/>
    <m/>
    <n v="508"/>
    <d v="2026-08-20T13:46:23"/>
    <m/>
    <m/>
    <m/>
    <m/>
    <m/>
    <m/>
    <s v="Договор-оферта"/>
    <s v="Нет"/>
    <n v="1"/>
    <m/>
    <m/>
    <m/>
    <s v="Иркутск г"/>
    <s v="ЦП. 1С и ИТС. Коммерция"/>
    <m/>
    <m/>
    <m/>
    <m/>
    <m/>
    <m/>
    <n v="0"/>
    <m/>
    <m/>
    <m/>
    <m/>
    <n v="2"/>
    <m/>
    <s v="ФРДТ-018133"/>
    <m/>
    <s v="ЦП. 1С. Коммерция"/>
    <m/>
    <m/>
    <m/>
    <m/>
    <d v="2026-08-28T00:00:00"/>
    <m/>
    <m/>
    <s v="[CO]ООО НПФ &quot;ФОРУС&quot; 3812023430#"/>
    <s v="Поставка товара"/>
    <m/>
    <m/>
    <s v="Коммерческие"/>
    <m/>
    <m/>
    <s v="Обычный"/>
    <m/>
    <m/>
    <s v="#Загружено из Битрикс-Коробка#"/>
    <m/>
    <m/>
    <m/>
    <s v="Торговое оборудование Комплектующие;ОФД;Торговое оборудование Сопутствующее;Торговое оборудование Кассы;Торговое оборудование Расходники"/>
    <m/>
    <m/>
    <m/>
    <m/>
    <m/>
    <m/>
    <s v="Не было отгрузок"/>
    <m/>
    <m/>
    <m/>
    <m/>
    <s v="Нет"/>
    <m/>
    <m/>
    <m/>
    <m/>
    <m/>
    <m/>
    <m/>
    <m/>
    <m/>
    <m/>
    <s v="ЦТО"/>
    <m/>
    <m/>
    <s v="Не нужно"/>
    <m/>
    <m/>
    <m/>
    <s v="Контроль оплаты"/>
    <m/>
    <m/>
    <s v="ФН, ОФД. Астрал, Торговое оборудование. Касс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9-02T14:02:46"/>
    <d v="2026-09-02T14:02:46"/>
    <s v="Завершен"/>
    <m/>
    <m/>
    <m/>
    <m/>
    <m/>
    <m/>
    <m/>
    <m/>
    <m/>
    <m/>
    <m/>
    <m/>
    <m/>
    <m/>
    <m/>
    <m/>
    <m/>
    <m/>
    <n v="316634"/>
    <m/>
    <m/>
    <s v="Алена"/>
    <s v="Углова"/>
    <s v="Юрьевна"/>
    <m/>
    <m/>
    <s v="Клиенты"/>
    <s v="ROBOT"/>
    <s v="[p] . [/p]"/>
    <s v="Свой контакт (Менеджер)"/>
    <m/>
    <s v="Да"/>
    <s v="Торокова Мария"/>
    <d v="2023-10-11T15:15:57"/>
    <s v="ROBOT"/>
    <d v="2026-09-01T16:14:40"/>
    <m/>
    <m/>
    <n v="158332815216"/>
    <m/>
    <m/>
    <m/>
    <m/>
    <m/>
    <m/>
    <m/>
    <m/>
    <m/>
    <m/>
    <m/>
    <m/>
    <s v="m4sterovoy@yandex.ru"/>
    <m/>
    <m/>
    <m/>
    <m/>
    <m/>
    <m/>
    <m/>
    <m/>
    <m/>
    <m/>
    <m/>
    <s v="imol|ank_chats_app24_whatsapp|32|79086485626|5629"/>
    <m/>
    <m/>
    <n v="5629"/>
    <s v="Иркутск г"/>
    <d v="2023-10-11T00:00:00"/>
    <s v="Да"/>
    <m/>
    <s v="Иркутская область 0 часов"/>
    <m/>
    <m/>
    <s v="Нет"/>
    <s v="99d44168-831c-49b1-9880-1f024f52cc8a"/>
    <n v="217223"/>
    <m/>
    <s v="ИП Круталевич Елена Юрьевна 380806982866#"/>
    <s v="Клиент"/>
    <s v="менее 50"/>
    <s v="ROBOT"/>
    <m/>
    <s v="Информационные технологии"/>
    <m/>
    <s v="Российский рубль"/>
    <s v="Данные из БУХМАСТЕР: Доверенность до:15.02.2025 Сфера деятельности: Кол-во сотрудников: Где база:УФА СНО:ПСН, УСН15%нулевая Тариф договора: Периодичность запроса первички: Доступ в банк: Нет Адрей банк-клиента: Наличие онлайн-кассы:Нет Адрес онлайн кассы: Платформа офд Касса: Нет Наличие ЭДО:"/>
    <s v="Сирина Карина"/>
    <d v="2024-02-14T12:44:46"/>
    <s v="ROBOT_UT"/>
    <d v="2026-09-01T16:19:44"/>
    <m/>
    <m/>
    <n v="79148955959"/>
    <m/>
    <m/>
    <m/>
    <m/>
    <m/>
    <m/>
    <m/>
    <m/>
    <m/>
    <m/>
    <m/>
    <m/>
    <s v="m4sterovoy@yandex.ru"/>
    <m/>
    <m/>
    <m/>
    <m/>
    <m/>
    <m/>
    <m/>
    <m/>
    <m/>
    <m/>
    <m/>
    <s v="imol|ank_chats_app24_telegram|47|private-813447807h-1628279926093130285|22673"/>
    <m/>
    <m/>
    <n v="22673"/>
    <m/>
    <n v="0"/>
    <s v="m4sterovoy@yandex.ru"/>
    <m/>
    <m/>
    <s v="47.52 Торговля розничная скобяными изделиями, лакокрасочными материалами и стеклом в специализированных магазинах"/>
    <m/>
    <s v="Нет"/>
    <m/>
    <m/>
    <s v="ИП Круталевич Елена Юрьевна"/>
    <s v="Иркутск г"/>
    <n v="380806982866"/>
    <s v="4. УСН: Доходы + НДС"/>
    <m/>
    <m/>
    <m/>
    <s v="m4sterovoy@yandex.ru"/>
    <m/>
    <m/>
    <s v="Звонок"/>
    <m/>
    <s v="Коммерческие"/>
    <s v="ИП"/>
    <n v="100754"/>
    <s v="Иркутская область 0 часов"/>
    <m/>
    <s v="Иркутск"/>
    <s v="БО. Комплексный сервис"/>
    <m/>
    <m/>
    <m/>
    <n v="1"/>
    <s v="Рабочая группа № 6"/>
    <s v="Нет"/>
    <s v="Торговля. Прочая"/>
    <m/>
    <m/>
    <m/>
    <s v="922630c5-afc5-4dd6-8dae-3c2dc33b7523"/>
  </r>
  <r>
    <n v="318331"/>
    <s v="ЦП. 1С. Продажи"/>
    <s v="Y"/>
    <s v="N"/>
    <x v="3"/>
    <m/>
    <m/>
    <m/>
    <m/>
    <m/>
    <s v="Соболев Максим"/>
    <s v="ONE_C"/>
    <s v="ИП Круталевич Елена Юрьевна 380806982866# - ФН, ОФД. Астрал"/>
    <s v="Продажа"/>
    <s v="Звонок"/>
    <m/>
    <n v="39600"/>
    <s v="Российский рубль"/>
    <s v="ИП Круталевич Елена Юрьевна 380806982866#"/>
    <s v="Углова Алена Юрьевна"/>
    <m/>
    <s v="нет"/>
    <d v="2026-08-15T14:47:58"/>
    <s v="Соболев Максим"/>
    <d v="2026-09-02T14:04:21"/>
    <s v="Иванова Евгения"/>
    <d v="2026-08-15T00:00:00"/>
    <d v="2026-08-22T00:00:00"/>
    <s v="Шифровальное (криптографическое) средство защиты фискальных данных фискальный накопитель «ФН-1.2 36 мес 3»"/>
    <n v="19800"/>
    <n v="2"/>
    <m/>
    <m/>
    <m/>
    <m/>
    <m/>
    <n v="508"/>
    <d v="2026-08-20T13:46:23"/>
    <m/>
    <m/>
    <m/>
    <m/>
    <m/>
    <m/>
    <s v="Договор-оферта"/>
    <s v="Нет"/>
    <n v="1"/>
    <m/>
    <m/>
    <m/>
    <s v="Иркутск г"/>
    <s v="ЦП. 1С и ИТС. Коммерция"/>
    <m/>
    <m/>
    <m/>
    <m/>
    <m/>
    <m/>
    <n v="0"/>
    <m/>
    <m/>
    <m/>
    <m/>
    <n v="2"/>
    <m/>
    <s v="ФРДТ-018133"/>
    <m/>
    <s v="ЦП. 1С. Коммерция"/>
    <m/>
    <m/>
    <m/>
    <m/>
    <d v="2026-08-28T00:00:00"/>
    <m/>
    <m/>
    <s v="[CO]ООО НПФ &quot;ФОРУС&quot; 3812023430#"/>
    <s v="Поставка товара"/>
    <m/>
    <m/>
    <s v="Коммерческие"/>
    <m/>
    <m/>
    <s v="Обычный"/>
    <m/>
    <m/>
    <s v="#Загружено из Битрикс-Коробка#"/>
    <m/>
    <m/>
    <m/>
    <s v="Торговое оборудование Комплектующие;ОФД;Торговое оборудование Сопутствующее;Торговое оборудование Кассы;Торговое оборудование Расходники"/>
    <m/>
    <m/>
    <m/>
    <m/>
    <m/>
    <m/>
    <s v="Не было отгрузок"/>
    <m/>
    <m/>
    <m/>
    <m/>
    <s v="Нет"/>
    <m/>
    <m/>
    <m/>
    <m/>
    <m/>
    <m/>
    <m/>
    <m/>
    <m/>
    <m/>
    <s v="ЦТО"/>
    <m/>
    <m/>
    <s v="Не нужно"/>
    <m/>
    <m/>
    <m/>
    <s v="Контроль оплаты"/>
    <m/>
    <m/>
    <s v="ФН, ОФД. Астрал, Торговое оборудование. Касс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9-02T14:02:46"/>
    <d v="2026-09-02T14:02:46"/>
    <s v="Завершен"/>
    <m/>
    <m/>
    <m/>
    <m/>
    <m/>
    <m/>
    <m/>
    <m/>
    <m/>
    <m/>
    <m/>
    <m/>
    <m/>
    <m/>
    <m/>
    <m/>
    <m/>
    <m/>
    <n v="316634"/>
    <m/>
    <m/>
    <s v="Алена"/>
    <s v="Углова"/>
    <s v="Юрьевна"/>
    <m/>
    <m/>
    <s v="Клиенты"/>
    <s v="ROBOT"/>
    <s v="[p] . [/p]"/>
    <s v="Свой контакт (Менеджер)"/>
    <m/>
    <s v="Да"/>
    <s v="Торокова Мария"/>
    <d v="2023-10-11T15:15:57"/>
    <s v="ROBOT"/>
    <d v="2026-09-01T16:14:40"/>
    <m/>
    <m/>
    <n v="158332815216"/>
    <m/>
    <m/>
    <m/>
    <m/>
    <m/>
    <m/>
    <m/>
    <m/>
    <m/>
    <m/>
    <m/>
    <m/>
    <s v="m4sterovoy@yandex.ru"/>
    <m/>
    <m/>
    <m/>
    <m/>
    <m/>
    <m/>
    <m/>
    <m/>
    <m/>
    <m/>
    <m/>
    <s v="imol|ank_chats_app24_whatsapp|32|79086485626|5629"/>
    <m/>
    <m/>
    <n v="5629"/>
    <s v="Иркутск г"/>
    <d v="2023-10-11T00:00:00"/>
    <s v="Да"/>
    <m/>
    <s v="Иркутская область 0 часов"/>
    <m/>
    <m/>
    <s v="Нет"/>
    <s v="99d44168-831c-49b1-9880-1f024f52cc8a"/>
    <n v="217223"/>
    <m/>
    <s v="ИП Круталевич Елена Юрьевна 380806982866#"/>
    <s v="Клиент"/>
    <s v="менее 50"/>
    <s v="ROBOT"/>
    <m/>
    <s v="Информационные технологии"/>
    <m/>
    <s v="Российский рубль"/>
    <s v="Данные из БУХМАСТЕР: Доверенность до:15.02.2025 Сфера деятельности: Кол-во сотрудников: Где база:УФА СНО:ПСН, УСН15%нулевая Тариф договора: Периодичность запроса первички: Доступ в банк: Нет Адрей банк-клиента: Наличие онлайн-кассы:Нет Адрес онлайн кассы: Платформа офд Касса: Нет Наличие ЭДО:"/>
    <s v="Сирина Карина"/>
    <d v="2024-02-14T12:44:46"/>
    <s v="ROBOT_UT"/>
    <d v="2026-09-01T16:19:44"/>
    <m/>
    <m/>
    <n v="79148955959"/>
    <m/>
    <m/>
    <m/>
    <m/>
    <m/>
    <m/>
    <m/>
    <m/>
    <m/>
    <m/>
    <m/>
    <m/>
    <s v="m4sterovoy@yandex.ru"/>
    <m/>
    <m/>
    <m/>
    <m/>
    <m/>
    <m/>
    <m/>
    <m/>
    <m/>
    <m/>
    <m/>
    <s v="imol|ank_chats_app24_telegram|47|private-813447807h-1628279926093130285|22673"/>
    <m/>
    <m/>
    <n v="22673"/>
    <m/>
    <n v="0"/>
    <s v="m4sterovoy@yandex.ru"/>
    <m/>
    <m/>
    <s v="47.52 Торговля розничная скобяными изделиями, лакокрасочными материалами и стеклом в специализированных магазинах"/>
    <m/>
    <s v="Нет"/>
    <m/>
    <m/>
    <s v="ИП Круталевич Елена Юрьевна"/>
    <s v="Иркутск г"/>
    <n v="380806982866"/>
    <s v="4. УСН: Доходы + НДС"/>
    <m/>
    <m/>
    <m/>
    <s v="m4sterovoy@yandex.ru"/>
    <m/>
    <m/>
    <s v="Звонок"/>
    <m/>
    <s v="Коммерческие"/>
    <s v="ИП"/>
    <n v="100754"/>
    <s v="Иркутская область 0 часов"/>
    <m/>
    <s v="Иркутск"/>
    <s v="БО. Комплексный сервис"/>
    <m/>
    <m/>
    <m/>
    <n v="1"/>
    <s v="Рабочая группа № 6"/>
    <s v="Нет"/>
    <s v="Торговля. Прочая"/>
    <m/>
    <m/>
    <m/>
    <s v="922630c5-afc5-4dd6-8dae-3c2dc33b7523"/>
  </r>
  <r>
    <n v="318331"/>
    <s v="ЦП. 1С. Продажи"/>
    <s v="Y"/>
    <s v="N"/>
    <x v="3"/>
    <m/>
    <m/>
    <m/>
    <m/>
    <m/>
    <s v="Соболев Максим"/>
    <s v="ONE_C"/>
    <s v="ИП Круталевич Елена Юрьевна 380806982866# - ФН, ОФД. Астрал"/>
    <s v="Продажа"/>
    <s v="Звонок"/>
    <m/>
    <n v="27600"/>
    <s v="Российский рубль"/>
    <s v="ИП Круталевич Елена Юрьевна 380806982866#"/>
    <s v="Углова Алена Юрьевна"/>
    <m/>
    <s v="нет"/>
    <d v="2026-08-15T14:47:58"/>
    <s v="Соболев Максим"/>
    <d v="2026-09-02T14:04:21"/>
    <s v="Иванова Евгения"/>
    <d v="2026-08-15T00:00:00"/>
    <d v="2026-08-22T00:00:00"/>
    <s v="Сканер беспроводной, Poscenter 2D BT, черный, USB кабель, USB адаптер"/>
    <n v="9200"/>
    <n v="3"/>
    <m/>
    <m/>
    <m/>
    <m/>
    <m/>
    <n v="508"/>
    <d v="2026-08-20T13:46:23"/>
    <m/>
    <m/>
    <m/>
    <m/>
    <m/>
    <m/>
    <s v="Договор-оферта"/>
    <s v="Нет"/>
    <n v="1"/>
    <m/>
    <m/>
    <m/>
    <s v="Иркутск г"/>
    <s v="ЦП. 1С и ИТС. Коммерция"/>
    <m/>
    <m/>
    <m/>
    <m/>
    <m/>
    <m/>
    <n v="0"/>
    <m/>
    <m/>
    <m/>
    <m/>
    <n v="2"/>
    <m/>
    <s v="ФРДТ-018133"/>
    <m/>
    <s v="ЦП. 1С. Коммерция"/>
    <m/>
    <m/>
    <m/>
    <m/>
    <d v="2026-08-28T00:00:00"/>
    <m/>
    <m/>
    <s v="[CO]ООО НПФ &quot;ФОРУС&quot; 3812023430#"/>
    <s v="Поставка товара"/>
    <m/>
    <m/>
    <s v="Коммерческие"/>
    <m/>
    <m/>
    <s v="Обычный"/>
    <m/>
    <m/>
    <s v="#Загружено из Битрикс-Коробка#"/>
    <m/>
    <m/>
    <m/>
    <s v="Торговое оборудование Комплектующие;ОФД;Торговое оборудование Сопутствующее;Торговое оборудование Кассы;Торговое оборудование Расходники"/>
    <m/>
    <m/>
    <m/>
    <m/>
    <m/>
    <m/>
    <s v="Не было отгрузок"/>
    <m/>
    <m/>
    <m/>
    <m/>
    <s v="Нет"/>
    <m/>
    <m/>
    <m/>
    <m/>
    <m/>
    <m/>
    <m/>
    <m/>
    <m/>
    <m/>
    <s v="ЦТО"/>
    <m/>
    <m/>
    <s v="Не нужно"/>
    <m/>
    <m/>
    <m/>
    <s v="Контроль оплаты"/>
    <m/>
    <m/>
    <s v="ФН, ОФД. Астрал, Торговое оборудование. Касс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9-02T14:02:46"/>
    <d v="2026-09-02T14:02:46"/>
    <s v="Завершен"/>
    <m/>
    <m/>
    <m/>
    <m/>
    <m/>
    <m/>
    <m/>
    <m/>
    <m/>
    <m/>
    <m/>
    <m/>
    <m/>
    <m/>
    <m/>
    <m/>
    <m/>
    <m/>
    <n v="316634"/>
    <m/>
    <m/>
    <s v="Алена"/>
    <s v="Углова"/>
    <s v="Юрьевна"/>
    <m/>
    <m/>
    <s v="Клиенты"/>
    <s v="ROBOT"/>
    <s v="[p] . [/p]"/>
    <s v="Свой контакт (Менеджер)"/>
    <m/>
    <s v="Да"/>
    <s v="Торокова Мария"/>
    <d v="2023-10-11T15:15:57"/>
    <s v="ROBOT"/>
    <d v="2026-09-01T16:14:40"/>
    <m/>
    <m/>
    <n v="158332815216"/>
    <m/>
    <m/>
    <m/>
    <m/>
    <m/>
    <m/>
    <m/>
    <m/>
    <m/>
    <m/>
    <m/>
    <m/>
    <s v="m4sterovoy@yandex.ru"/>
    <m/>
    <m/>
    <m/>
    <m/>
    <m/>
    <m/>
    <m/>
    <m/>
    <m/>
    <m/>
    <m/>
    <s v="imol|ank_chats_app24_whatsapp|32|79086485626|5629"/>
    <m/>
    <m/>
    <n v="5629"/>
    <s v="Иркутск г"/>
    <d v="2023-10-11T00:00:00"/>
    <s v="Да"/>
    <m/>
    <s v="Иркутская область 0 часов"/>
    <m/>
    <m/>
    <s v="Нет"/>
    <s v="99d44168-831c-49b1-9880-1f024f52cc8a"/>
    <n v="217223"/>
    <m/>
    <s v="ИП Круталевич Елена Юрьевна 380806982866#"/>
    <s v="Клиент"/>
    <s v="менее 50"/>
    <s v="ROBOT"/>
    <m/>
    <s v="Информационные технологии"/>
    <m/>
    <s v="Российский рубль"/>
    <s v="Данные из БУХМАСТЕР: Доверенность до:15.02.2025 Сфера деятельности: Кол-во сотрудников: Где база:УФА СНО:ПСН, УСН15%нулевая Тариф договора: Периодичность запроса первички: Доступ в банк: Нет Адрей банк-клиента: Наличие онлайн-кассы:Нет Адрес онлайн кассы: Платформа офд Касса: Нет Наличие ЭДО:"/>
    <s v="Сирина Карина"/>
    <d v="2024-02-14T12:44:46"/>
    <s v="ROBOT_UT"/>
    <d v="2026-09-01T16:19:44"/>
    <m/>
    <m/>
    <n v="79148955959"/>
    <m/>
    <m/>
    <m/>
    <m/>
    <m/>
    <m/>
    <m/>
    <m/>
    <m/>
    <m/>
    <m/>
    <m/>
    <s v="m4sterovoy@yandex.ru"/>
    <m/>
    <m/>
    <m/>
    <m/>
    <m/>
    <m/>
    <m/>
    <m/>
    <m/>
    <m/>
    <m/>
    <s v="imol|ank_chats_app24_telegram|47|private-813447807h-1628279926093130285|22673"/>
    <m/>
    <m/>
    <n v="22673"/>
    <m/>
    <n v="0"/>
    <s v="m4sterovoy@yandex.ru"/>
    <m/>
    <m/>
    <s v="47.52 Торговля розничная скобяными изделиями, лакокрасочными материалами и стеклом в специализированных магазинах"/>
    <m/>
    <s v="Нет"/>
    <m/>
    <m/>
    <s v="ИП Круталевич Елена Юрьевна"/>
    <s v="Иркутск г"/>
    <n v="380806982866"/>
    <s v="4. УСН: Доходы + НДС"/>
    <m/>
    <m/>
    <m/>
    <s v="m4sterovoy@yandex.ru"/>
    <m/>
    <m/>
    <s v="Звонок"/>
    <m/>
    <s v="Коммерческие"/>
    <s v="ИП"/>
    <n v="100754"/>
    <s v="Иркутская область 0 часов"/>
    <m/>
    <s v="Иркутск"/>
    <s v="БО. Комплексный сервис"/>
    <m/>
    <m/>
    <m/>
    <n v="1"/>
    <s v="Рабочая группа № 6"/>
    <s v="Нет"/>
    <s v="Торговля. Прочая"/>
    <m/>
    <m/>
    <m/>
    <s v="922630c5-afc5-4dd6-8dae-3c2dc33b7523"/>
  </r>
  <r>
    <n v="318331"/>
    <s v="ЦП. 1С. Продажи"/>
    <s v="Y"/>
    <s v="N"/>
    <x v="3"/>
    <m/>
    <m/>
    <m/>
    <m/>
    <m/>
    <s v="Соболев Максим"/>
    <s v="ONE_C"/>
    <s v="ИП Круталевич Елена Юрьевна 380806982866# - ФН, ОФД. Астрал"/>
    <s v="Продажа"/>
    <s v="Звонок"/>
    <m/>
    <n v="49000"/>
    <s v="Российский рубль"/>
    <s v="ИП Круталевич Елена Юрьевна 380806982866#"/>
    <s v="Углова Алена Юрьевна"/>
    <m/>
    <s v="нет"/>
    <d v="2026-08-15T14:47:58"/>
    <s v="Соболев Максим"/>
    <d v="2026-09-02T14:04:21"/>
    <s v="Иванова Евгения"/>
    <d v="2026-08-15T00:00:00"/>
    <d v="2026-08-22T00:00:00"/>
    <s v="ККТ АТОЛ 35Ф. Черный. Без ФН. USB. 5.0"/>
    <n v="24500"/>
    <n v="2"/>
    <m/>
    <m/>
    <m/>
    <m/>
    <m/>
    <n v="508"/>
    <d v="2026-08-20T13:46:23"/>
    <m/>
    <m/>
    <m/>
    <m/>
    <m/>
    <m/>
    <s v="Договор-оферта"/>
    <s v="Нет"/>
    <n v="1"/>
    <m/>
    <m/>
    <m/>
    <s v="Иркутск г"/>
    <s v="ЦП. 1С и ИТС. Коммерция"/>
    <m/>
    <m/>
    <m/>
    <m/>
    <m/>
    <m/>
    <n v="0"/>
    <m/>
    <m/>
    <m/>
    <m/>
    <n v="2"/>
    <m/>
    <s v="ФРДТ-018133"/>
    <m/>
    <s v="ЦП. 1С. Коммерция"/>
    <m/>
    <m/>
    <m/>
    <m/>
    <d v="2026-08-28T00:00:00"/>
    <m/>
    <m/>
    <s v="[CO]ООО НПФ &quot;ФОРУС&quot; 3812023430#"/>
    <s v="Поставка товара"/>
    <m/>
    <m/>
    <s v="Коммерческие"/>
    <m/>
    <m/>
    <s v="Обычный"/>
    <m/>
    <m/>
    <s v="#Загружено из Битрикс-Коробка#"/>
    <m/>
    <m/>
    <m/>
    <s v="Торговое оборудование Комплектующие;ОФД;Торговое оборудование Сопутствующее;Торговое оборудование Кассы;Торговое оборудование Расходники"/>
    <m/>
    <m/>
    <m/>
    <m/>
    <m/>
    <m/>
    <s v="Не было отгрузок"/>
    <m/>
    <m/>
    <m/>
    <m/>
    <s v="Нет"/>
    <m/>
    <m/>
    <m/>
    <m/>
    <m/>
    <m/>
    <m/>
    <m/>
    <m/>
    <m/>
    <s v="ЦТО"/>
    <m/>
    <m/>
    <s v="Не нужно"/>
    <m/>
    <m/>
    <m/>
    <s v="Контроль оплаты"/>
    <m/>
    <m/>
    <s v="ФН, ОФД. Астрал, Торговое оборудование. Касс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9-02T14:02:46"/>
    <d v="2026-09-02T14:02:46"/>
    <s v="Завершен"/>
    <m/>
    <m/>
    <m/>
    <m/>
    <m/>
    <m/>
    <m/>
    <m/>
    <m/>
    <m/>
    <m/>
    <m/>
    <m/>
    <m/>
    <m/>
    <m/>
    <m/>
    <m/>
    <n v="316634"/>
    <m/>
    <m/>
    <s v="Алена"/>
    <s v="Углова"/>
    <s v="Юрьевна"/>
    <m/>
    <m/>
    <s v="Клиенты"/>
    <s v="ROBOT"/>
    <s v="[p] . [/p]"/>
    <s v="Свой контакт (Менеджер)"/>
    <m/>
    <s v="Да"/>
    <s v="Торокова Мария"/>
    <d v="2023-10-11T15:15:57"/>
    <s v="ROBOT"/>
    <d v="2026-09-01T16:14:40"/>
    <m/>
    <m/>
    <n v="158332815216"/>
    <m/>
    <m/>
    <m/>
    <m/>
    <m/>
    <m/>
    <m/>
    <m/>
    <m/>
    <m/>
    <m/>
    <m/>
    <s v="m4sterovoy@yandex.ru"/>
    <m/>
    <m/>
    <m/>
    <m/>
    <m/>
    <m/>
    <m/>
    <m/>
    <m/>
    <m/>
    <m/>
    <s v="imol|ank_chats_app24_whatsapp|32|79086485626|5629"/>
    <m/>
    <m/>
    <n v="5629"/>
    <s v="Иркутск г"/>
    <d v="2023-10-11T00:00:00"/>
    <s v="Да"/>
    <m/>
    <s v="Иркутская область 0 часов"/>
    <m/>
    <m/>
    <s v="Нет"/>
    <s v="99d44168-831c-49b1-9880-1f024f52cc8a"/>
    <n v="217223"/>
    <m/>
    <s v="ИП Круталевич Елена Юрьевна 380806982866#"/>
    <s v="Клиент"/>
    <s v="менее 50"/>
    <s v="ROBOT"/>
    <m/>
    <s v="Информационные технологии"/>
    <m/>
    <s v="Российский рубль"/>
    <s v="Данные из БУХМАСТЕР: Доверенность до:15.02.2025 Сфера деятельности: Кол-во сотрудников: Где база:УФА СНО:ПСН, УСН15%нулевая Тариф договора: Периодичность запроса первички: Доступ в банк: Нет Адрей банк-клиента: Наличие онлайн-кассы:Нет Адрес онлайн кассы: Платформа офд Касса: Нет Наличие ЭДО:"/>
    <s v="Сирина Карина"/>
    <d v="2024-02-14T12:44:46"/>
    <s v="ROBOT_UT"/>
    <d v="2026-09-01T16:19:44"/>
    <m/>
    <m/>
    <n v="79148955959"/>
    <m/>
    <m/>
    <m/>
    <m/>
    <m/>
    <m/>
    <m/>
    <m/>
    <m/>
    <m/>
    <m/>
    <m/>
    <s v="m4sterovoy@yandex.ru"/>
    <m/>
    <m/>
    <m/>
    <m/>
    <m/>
    <m/>
    <m/>
    <m/>
    <m/>
    <m/>
    <m/>
    <s v="imol|ank_chats_app24_telegram|47|private-813447807h-1628279926093130285|22673"/>
    <m/>
    <m/>
    <n v="22673"/>
    <m/>
    <n v="0"/>
    <s v="m4sterovoy@yandex.ru"/>
    <m/>
    <m/>
    <s v="47.52 Торговля розничная скобяными изделиями, лакокрасочными материалами и стеклом в специализированных магазинах"/>
    <m/>
    <s v="Нет"/>
    <m/>
    <m/>
    <s v="ИП Круталевич Елена Юрьевна"/>
    <s v="Иркутск г"/>
    <n v="380806982866"/>
    <s v="4. УСН: Доходы + НДС"/>
    <m/>
    <m/>
    <m/>
    <s v="m4sterovoy@yandex.ru"/>
    <m/>
    <m/>
    <s v="Звонок"/>
    <m/>
    <s v="Коммерческие"/>
    <s v="ИП"/>
    <n v="100754"/>
    <s v="Иркутская область 0 часов"/>
    <m/>
    <s v="Иркутск"/>
    <s v="БО. Комплексный сервис"/>
    <m/>
    <m/>
    <m/>
    <n v="1"/>
    <s v="Рабочая группа № 6"/>
    <s v="Нет"/>
    <s v="Торговля. Прочая"/>
    <m/>
    <m/>
    <m/>
    <s v="922630c5-afc5-4dd6-8dae-3c2dc33b7523"/>
  </r>
  <r>
    <n v="318331"/>
    <s v="ЦП. 1С. Продажи"/>
    <s v="Y"/>
    <s v="N"/>
    <x v="3"/>
    <m/>
    <m/>
    <m/>
    <m/>
    <m/>
    <s v="Соболев Максим"/>
    <s v="ONE_C"/>
    <s v="ИП Круталевич Елена Юрьевна 380806982866# - ФН, ОФД. Астрал"/>
    <s v="Продажа"/>
    <s v="Звонок"/>
    <m/>
    <n v="850"/>
    <s v="Российский рубль"/>
    <s v="ИП Круталевич Елена Юрьевна 380806982866#"/>
    <s v="Углова Алена Юрьевна"/>
    <m/>
    <s v="нет"/>
    <d v="2026-08-15T14:47:58"/>
    <s v="Соболев Максим"/>
    <d v="2026-09-02T14:04:21"/>
    <s v="Иванова Евгения"/>
    <d v="2026-08-15T00:00:00"/>
    <d v="2026-08-22T00:00:00"/>
    <s v="Чековая лента (57мм, 40 м, 12мм)"/>
    <n v="85"/>
    <n v="10"/>
    <m/>
    <m/>
    <m/>
    <m/>
    <m/>
    <n v="508"/>
    <d v="2026-08-20T13:46:23"/>
    <m/>
    <m/>
    <m/>
    <m/>
    <m/>
    <m/>
    <s v="Договор-оферта"/>
    <s v="Нет"/>
    <n v="1"/>
    <m/>
    <m/>
    <m/>
    <s v="Иркутск г"/>
    <s v="ЦП. 1С и ИТС. Коммерция"/>
    <m/>
    <m/>
    <m/>
    <m/>
    <m/>
    <m/>
    <n v="0"/>
    <m/>
    <m/>
    <m/>
    <m/>
    <n v="2"/>
    <m/>
    <s v="ФРДТ-018133"/>
    <m/>
    <s v="ЦП. 1С. Коммерция"/>
    <m/>
    <m/>
    <m/>
    <m/>
    <d v="2026-08-28T00:00:00"/>
    <m/>
    <m/>
    <s v="[CO]ООО НПФ &quot;ФОРУС&quot; 3812023430#"/>
    <s v="Поставка товара"/>
    <m/>
    <m/>
    <s v="Коммерческие"/>
    <m/>
    <m/>
    <s v="Обычный"/>
    <m/>
    <m/>
    <s v="#Загружено из Битрикс-Коробка#"/>
    <m/>
    <m/>
    <m/>
    <s v="Торговое оборудование Комплектующие;ОФД;Торговое оборудование Сопутствующее;Торговое оборудование Кассы;Торговое оборудование Расходники"/>
    <m/>
    <m/>
    <m/>
    <m/>
    <m/>
    <m/>
    <s v="Не было отгрузок"/>
    <m/>
    <m/>
    <m/>
    <m/>
    <s v="Нет"/>
    <m/>
    <m/>
    <m/>
    <m/>
    <m/>
    <m/>
    <m/>
    <m/>
    <m/>
    <m/>
    <s v="ЦТО"/>
    <m/>
    <m/>
    <s v="Не нужно"/>
    <m/>
    <m/>
    <m/>
    <s v="Контроль оплаты"/>
    <m/>
    <m/>
    <s v="ФН, ОФД. Астрал, Торговое оборудование. Касс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9-02T14:02:46"/>
    <d v="2026-09-02T14:02:46"/>
    <s v="Завершен"/>
    <m/>
    <m/>
    <m/>
    <m/>
    <m/>
    <m/>
    <m/>
    <m/>
    <m/>
    <m/>
    <m/>
    <m/>
    <m/>
    <m/>
    <m/>
    <m/>
    <m/>
    <m/>
    <n v="316634"/>
    <m/>
    <m/>
    <s v="Алена"/>
    <s v="Углова"/>
    <s v="Юрьевна"/>
    <m/>
    <m/>
    <s v="Клиенты"/>
    <s v="ROBOT"/>
    <s v="[p] . [/p]"/>
    <s v="Свой контакт (Менеджер)"/>
    <m/>
    <s v="Да"/>
    <s v="Торокова Мария"/>
    <d v="2023-10-11T15:15:57"/>
    <s v="ROBOT"/>
    <d v="2026-09-01T16:14:40"/>
    <m/>
    <m/>
    <n v="158332815216"/>
    <m/>
    <m/>
    <m/>
    <m/>
    <m/>
    <m/>
    <m/>
    <m/>
    <m/>
    <m/>
    <m/>
    <m/>
    <s v="m4sterovoy@yandex.ru"/>
    <m/>
    <m/>
    <m/>
    <m/>
    <m/>
    <m/>
    <m/>
    <m/>
    <m/>
    <m/>
    <m/>
    <s v="imol|ank_chats_app24_whatsapp|32|79086485626|5629"/>
    <m/>
    <m/>
    <n v="5629"/>
    <s v="Иркутск г"/>
    <d v="2023-10-11T00:00:00"/>
    <s v="Да"/>
    <m/>
    <s v="Иркутская область 0 часов"/>
    <m/>
    <m/>
    <s v="Нет"/>
    <s v="99d44168-831c-49b1-9880-1f024f52cc8a"/>
    <n v="217223"/>
    <m/>
    <s v="ИП Круталевич Елена Юрьевна 380806982866#"/>
    <s v="Клиент"/>
    <s v="менее 50"/>
    <s v="ROBOT"/>
    <m/>
    <s v="Информационные технологии"/>
    <m/>
    <s v="Российский рубль"/>
    <s v="Данные из БУХМАСТЕР: Доверенность до:15.02.2025 Сфера деятельности: Кол-во сотрудников: Где база:УФА СНО:ПСН, УСН15%нулевая Тариф договора: Периодичность запроса первички: Доступ в банк: Нет Адрей банк-клиента: Наличие онлайн-кассы:Нет Адрес онлайн кассы: Платформа офд Касса: Нет Наличие ЭДО:"/>
    <s v="Сирина Карина"/>
    <d v="2024-02-14T12:44:46"/>
    <s v="ROBOT_UT"/>
    <d v="2026-09-01T16:19:44"/>
    <m/>
    <m/>
    <n v="79148955959"/>
    <m/>
    <m/>
    <m/>
    <m/>
    <m/>
    <m/>
    <m/>
    <m/>
    <m/>
    <m/>
    <m/>
    <m/>
    <s v="m4sterovoy@yandex.ru"/>
    <m/>
    <m/>
    <m/>
    <m/>
    <m/>
    <m/>
    <m/>
    <m/>
    <m/>
    <m/>
    <m/>
    <s v="imol|ank_chats_app24_telegram|47|private-813447807h-1628279926093130285|22673"/>
    <m/>
    <m/>
    <n v="22673"/>
    <m/>
    <n v="0"/>
    <s v="m4sterovoy@yandex.ru"/>
    <m/>
    <m/>
    <s v="47.52 Торговля розничная скобяными изделиями, лакокрасочными материалами и стеклом в специализированных магазинах"/>
    <m/>
    <s v="Нет"/>
    <m/>
    <m/>
    <s v="ИП Круталевич Елена Юрьевна"/>
    <s v="Иркутск г"/>
    <n v="380806982866"/>
    <s v="4. УСН: Доходы + НДС"/>
    <m/>
    <m/>
    <m/>
    <s v="m4sterovoy@yandex.ru"/>
    <m/>
    <m/>
    <s v="Звонок"/>
    <m/>
    <s v="Коммерческие"/>
    <s v="ИП"/>
    <n v="100754"/>
    <s v="Иркутская область 0 часов"/>
    <m/>
    <s v="Иркутск"/>
    <s v="БО. Комплексный сервис"/>
    <m/>
    <m/>
    <m/>
    <n v="1"/>
    <s v="Рабочая группа № 6"/>
    <s v="Нет"/>
    <s v="Торговля. Прочая"/>
    <m/>
    <m/>
    <m/>
    <s v="922630c5-afc5-4dd6-8dae-3c2dc33b7523"/>
  </r>
  <r>
    <n v="318330"/>
    <s v="ЦП. 1С. Продажи"/>
    <s v="Y"/>
    <s v="N"/>
    <x v="3"/>
    <m/>
    <m/>
    <m/>
    <m/>
    <m/>
    <s v="Соболев Максим"/>
    <s v="ONE_C"/>
    <s v="ИП Круталевич Елена Юрьевна 380806982866# - Работы по 1С:ЭПД"/>
    <s v="Продажа"/>
    <s v="Звонок"/>
    <m/>
    <n v="7320"/>
    <s v="Российский рубль"/>
    <s v="ИП Круталевич Елена Юрьевна 380806982866#"/>
    <m/>
    <m/>
    <s v="нет"/>
    <d v="2026-08-15T14:38:51"/>
    <s v="Соболев Максим"/>
    <d v="2026-09-02T00:03:45"/>
    <s v="ROBOT_M"/>
    <d v="2026-08-15T00:00:00"/>
    <d v="2026-08-22T00:00:00"/>
    <s v="Линия консультаций и техподдержка 1С"/>
    <n v="3660"/>
    <n v="2"/>
    <m/>
    <m/>
    <m/>
    <m/>
    <m/>
    <n v="508"/>
    <d v="2026-08-28T17:35:28"/>
    <m/>
    <m/>
    <m/>
    <m/>
    <m/>
    <m/>
    <s v="Договор-оферта"/>
    <s v="Нет"/>
    <n v="1"/>
    <m/>
    <m/>
    <m/>
    <s v="Иркутск г"/>
    <s v="ЦП. 1С и ИТС. Коммерция"/>
    <m/>
    <m/>
    <m/>
    <m/>
    <m/>
    <m/>
    <n v="0"/>
    <m/>
    <m/>
    <m/>
    <m/>
    <n v="2"/>
    <m/>
    <s v="ФРДТ-018132"/>
    <m/>
    <s v="ЦП. 1С. Коммерция"/>
    <m/>
    <m/>
    <m/>
    <m/>
    <d v="2026-08-28T00:00:00"/>
    <m/>
    <m/>
    <s v="[CO]ООО НПФ &quot;ФОРУС&quot; 3812023430#"/>
    <s v="Оказание услуг"/>
    <m/>
    <m/>
    <s v="Коммерческие"/>
    <m/>
    <m/>
    <s v="Обычный"/>
    <m/>
    <m/>
    <s v="#Загружено из Битрикс-Коробка#"/>
    <m/>
    <m/>
    <m/>
    <s v="Услуги ЦСВ 1С консультации"/>
    <m/>
    <m/>
    <m/>
    <m/>
    <m/>
    <m/>
    <s v="Не было отгрузок"/>
    <m/>
    <m/>
    <m/>
    <m/>
    <s v="Нет"/>
    <m/>
    <m/>
    <m/>
    <m/>
    <m/>
    <m/>
    <m/>
    <m/>
    <m/>
    <m/>
    <s v="1С Разовые услуги"/>
    <m/>
    <m/>
    <s v="Не нужно"/>
    <m/>
    <m/>
    <m/>
    <s v="Контроль оплаты"/>
    <m/>
    <m/>
    <m/>
    <m/>
    <m/>
    <m/>
    <m/>
    <m/>
    <m/>
    <m/>
    <m/>
    <m/>
    <m/>
    <m/>
    <m/>
    <m/>
    <m/>
    <m/>
    <m/>
    <m/>
    <m/>
    <m/>
    <m/>
    <s v="Обсуждение сделки"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9-02T00:02:55"/>
    <d v="2026-08-31T09:25:48"/>
    <s v="Завершен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7223"/>
    <m/>
    <s v="ИП Круталевич Елена Юрьевна 380806982866#"/>
    <s v="Клиент"/>
    <s v="менее 50"/>
    <s v="ROBOT"/>
    <m/>
    <s v="Информационные технологии"/>
    <m/>
    <s v="Российский рубль"/>
    <s v="Данные из БУХМАСТЕР: Доверенность до:15.02.2025 Сфера деятельности: Кол-во сотрудников: Где база:УФА СНО:ПСН, УСН15%нулевая Тариф договора: Периодичность запроса первички: Доступ в банк: Нет Адрей банк-клиента: Наличие онлайн-кассы:Нет Адрес онлайн кассы: Платформа офд Касса: Нет Наличие ЭДО:"/>
    <s v="Сирина Карина"/>
    <d v="2024-02-14T12:44:46"/>
    <s v="ROBOT_UT"/>
    <d v="2026-09-01T16:19:44"/>
    <m/>
    <m/>
    <n v="79148955959"/>
    <m/>
    <m/>
    <m/>
    <m/>
    <m/>
    <m/>
    <m/>
    <m/>
    <m/>
    <m/>
    <m/>
    <m/>
    <s v="m4sterovoy@yandex.ru"/>
    <m/>
    <m/>
    <m/>
    <m/>
    <m/>
    <m/>
    <m/>
    <m/>
    <m/>
    <m/>
    <m/>
    <s v="imol|ank_chats_app24_telegram|47|private-813447807h-1628279926093130285|22673"/>
    <m/>
    <m/>
    <n v="22673"/>
    <m/>
    <n v="0"/>
    <s v="m4sterovoy@yandex.ru"/>
    <m/>
    <m/>
    <s v="47.52 Торговля розничная скобяными изделиями, лакокрасочными материалами и стеклом в специализированных магазинах"/>
    <m/>
    <s v="Нет"/>
    <m/>
    <m/>
    <s v="ИП Круталевич Елена Юрьевна"/>
    <s v="Иркутск г"/>
    <n v="380806982866"/>
    <s v="4. УСН: Доходы + НДС"/>
    <m/>
    <m/>
    <m/>
    <s v="m4sterovoy@yandex.ru"/>
    <m/>
    <m/>
    <s v="Звонок"/>
    <m/>
    <s v="Коммерческие"/>
    <s v="ИП"/>
    <n v="100754"/>
    <s v="Иркутская область 0 часов"/>
    <m/>
    <s v="Иркутск"/>
    <s v="БО. Комплексный сервис"/>
    <m/>
    <m/>
    <m/>
    <n v="1"/>
    <s v="Рабочая группа № 6"/>
    <s v="Нет"/>
    <s v="Торговля. Прочая"/>
    <m/>
    <m/>
    <m/>
    <s v="922630c5-afc5-4dd6-8dae-3c2dc33b7523"/>
  </r>
  <r>
    <n v="318325"/>
    <s v="ЦП. ФРЕШ. Продажи"/>
    <s v="N"/>
    <s v="N"/>
    <x v="6"/>
    <m/>
    <m/>
    <m/>
    <m/>
    <m/>
    <s v="Соболев Максим"/>
    <m/>
    <s v="Успешная регистрация в сервисе 1С:Предприятие через Интернет."/>
    <s v="Продажа"/>
    <s v="1С Аукцион ФРЕШ"/>
    <s v="http://bigone.demist.ruЧасовой пояс: Europe/Moscow"/>
    <s v="0.00"/>
    <s v="Российский рубль"/>
    <m/>
    <s v="Лазаревская Ольга"/>
    <m/>
    <s v="нет"/>
    <d v="2026-08-14T18:32:38"/>
    <s v="Турусина Екатерина"/>
    <d v="2026-08-31T00:06:54"/>
    <s v="ROBOT_M"/>
    <d v="2026-08-14T00:00:00"/>
    <d v="2026-08-21T00:00:00"/>
    <m/>
    <m/>
    <m/>
    <s v="Клиент из менеджера сервиса: [p]Здравствуйте! [/p] [p]Успешная регистрация в сервисе [b]1С:Предприятие через Интернет[/b].[/p] [p] [b]Дата регистрации:[/b] 14 августа 2026г. [b]Имя абонента:[/b] Ольга [b]Код абонента:[/b] 1395766 [b]Адрес электронной почты:[/b] olgazelenevskaya81@gmail.com [b]Номер телефона:[/b] 89217938552 [b]Адрес сайта регистрации:[/b] [url=https://1cfresh.com]https://1cfresh.com[/url] [b]Версия сайта регистрации:[/b] [url=http://bigone.demist.ru]http://bigone.demist.ru[/url] [b]Часовой пояс:[/b] Europe/Moscow [/p] [p] , команда проекта &quot;1С:Предприятие через Интернет&quot;. [/p] Источник - 1С Аукцион ФРЕШ Дата завершения тестового доступа = 13.09.2026"/>
    <m/>
    <m/>
    <m/>
    <m/>
    <n v="508"/>
    <d v="2026-08-17T18:21:57"/>
    <m/>
    <m/>
    <m/>
    <m/>
    <m/>
    <m/>
    <m/>
    <s v="Нет"/>
    <n v="0"/>
    <s v="olgazelenevskaya81@gmail.com"/>
    <n v="89217938552"/>
    <m/>
    <m/>
    <s v="ЦП. 1С и ИТС. Коммерция"/>
    <m/>
    <m/>
    <m/>
    <m/>
    <m/>
    <m/>
    <m/>
    <s v="Ольга"/>
    <m/>
    <m/>
    <m/>
    <n v="1"/>
    <m/>
    <m/>
    <m/>
    <s v="ЦП. 1С. Коммерция"/>
    <m/>
    <m/>
    <m/>
    <m/>
    <m/>
    <m/>
    <m/>
    <m/>
    <m/>
    <m/>
    <m/>
    <m/>
    <m/>
    <m/>
    <s v="Обычный"/>
    <m/>
    <m/>
    <m/>
    <m/>
    <m/>
    <m/>
    <m/>
    <m/>
    <m/>
    <m/>
    <m/>
    <m/>
    <m/>
    <s v="Не было отгрузок"/>
    <m/>
    <m/>
    <m/>
    <m/>
    <s v="Нет"/>
    <m/>
    <m/>
    <m/>
    <m/>
    <m/>
    <s v="1 395 766"/>
    <m/>
    <m/>
    <m/>
    <s v="Уточнить потребности / Дать тест. доступ"/>
    <m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14T18:32:38"/>
    <d v="2026-08-17T17:47:15"/>
    <m/>
    <m/>
    <m/>
    <m/>
    <m/>
    <m/>
    <m/>
    <m/>
    <m/>
    <m/>
    <m/>
    <m/>
    <m/>
    <m/>
    <m/>
    <m/>
    <m/>
    <m/>
    <m/>
    <n v="397997"/>
    <m/>
    <m/>
    <s v="Ольга"/>
    <s v="Лазаревская"/>
    <m/>
    <m/>
    <m/>
    <s v="Клиенты"/>
    <s v="ROBOT"/>
    <m/>
    <s v="Свой контакт (Менеджер)"/>
    <m/>
    <s v="Да"/>
    <s v="Соболев Максим"/>
    <d v="2026-08-17T17:44:13"/>
    <s v="ROBOT"/>
    <d v="2026-08-17T17:44:13"/>
    <m/>
    <m/>
    <n v="79217938552"/>
    <m/>
    <m/>
    <m/>
    <m/>
    <m/>
    <m/>
    <m/>
    <m/>
    <m/>
    <m/>
    <m/>
    <m/>
    <s v="olgazelenevskaya81@gmail.com"/>
    <m/>
    <m/>
    <m/>
    <m/>
    <m/>
    <m/>
    <m/>
    <m/>
    <m/>
    <m/>
    <m/>
    <m/>
    <m/>
    <m/>
    <m/>
    <m/>
    <d v="2026-08-17T00:00:00"/>
    <s v="Да"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8323"/>
    <s v="ЦП. 1С. Продажи"/>
    <s v="N"/>
    <s v="N"/>
    <x v="8"/>
    <m/>
    <s v="Савинская Евгения Багланова Антонина"/>
    <m/>
    <m/>
    <m/>
    <s v="Багланова Антонина"/>
    <m/>
    <s v="Квиз ЦП.Фреш: Демонстрация УНФ"/>
    <s v="Продажа"/>
    <s v="Квиз"/>
    <s v="marquiz.ru ЦП.Фреш: Демонстрация УНФ"/>
    <s v="0.00"/>
    <s v="Российский рубль"/>
    <m/>
    <s v="Джагарян Эмма Левоновна"/>
    <m/>
    <s v="нет"/>
    <d v="2026-08-14T17:51:13"/>
    <s v="Багланова Антонина"/>
    <d v="2026-08-25T14:53:20"/>
    <s v="ROBOT_M"/>
    <d v="2026-08-14T00:00:00"/>
    <d v="2026-08-21T00:00:00"/>
    <m/>
    <m/>
    <m/>
    <s v="[p] [b]Чем вы занимаетесь?[/b] Торговля (оптовая, розничная) [/p] [p] [b]Какие задачи хотите решить с помощью программы?[/b] Контроль рабочего места кассира, Настроить актуализацию остатков, Маркировать товары с нуля [/p] [p] [b]Сколько человек будет работать в программе?[/b] 1-2 [/p] [p][/p] [p] [b]Местоположение[/b]: Россия, Воронеж [b]Страница[/b]: [url]https://mrqz.me/64a4fe841f5b5f0025ce34e1?utm_source=yandex&amp;utm_medium=cpc&amp;utm_campaign=mk_1cfresh_quiz_unf_1cdlya_h_1c_17_705141204&amp;utm_content=1906099911443884693&amp;utm_term=---autotargeting&amp;etext=2202.73clQIV-TYNcL7gftgvwhA_PiHkeeEpQb0aUACzsAdV2a3htaGVsYXlwemltb2to.fbbab99e3c4feeeaa068aec766d2a001f42a36c0&amp;yclid=5399239619320741887[/url] [/p] [p] [b]Согласия[/b]: Я согласен на обработку персональных данных: Да [/p]"/>
    <m/>
    <m/>
    <m/>
    <m/>
    <n v="26"/>
    <d v="2026-08-25T14:53:19"/>
    <m/>
    <s v="yandex"/>
    <s v="cpc"/>
    <s v="mk_1cfresh_quiz_unf_1cdlya_h_1c_17_705141204"/>
    <n v="1.9060999114438799E+18"/>
    <s v="---autotargeting"/>
    <m/>
    <s v="Нет"/>
    <n v="1"/>
    <s v="emma.grant@mail.ru"/>
    <n v="79001309068"/>
    <m/>
    <m/>
    <s v="ЦП. 1С и ИТС. Коммерция"/>
    <m/>
    <m/>
    <m/>
    <m/>
    <m/>
    <m/>
    <n v="1"/>
    <s v="Эмма"/>
    <s v="[b]Чем вы занимаетесь?[/b] Торговля (оптовая, розничная) [b]Какие задачи хотите решить с помощью программы?[/b] Контроль рабочего места кассира, Настроить актуализацию остатков, Маркировать товары с нуля [b]Сколько человек будет работать в программе?[/b] 1-2 [b]Местоположение[/b]: Россия, Воронеж [b]Страница[/b]: [url=https://mrqz.me/64a4fe841f5b5f0025ce34e1?utm_source=yandex&amp;amp;utm_medium=cpc&amp;amp;utm_campaign=mk_1cfresh_quiz_unf_1cdlya_h_1c_17_705141204&amp;amp;utm_content=1906099911443884693&amp;amp;utm_term=---autotargeting&amp;amp;etext=2202.73clQIV-TYNcL7gftgvwhA_PiHkeeEpQb0aUACzsAdV2a3htaGVsYXlwemltb2to.fbbab99e3c4feeeaa068aec766d2a001f42a36c0&amp;amp;yclid=5399239619320741887]https://mrqz.me/64a4fe841f5b5f0025ce34e1?utm_source=yandex&amp;amp;utm_medium=cpc&amp;amp;utm_campaign=mk_1cfresh_quiz_unf_1cdlya_h_1c_17_705141204&amp;amp;utm_content=1906099911443884693&amp;amp;utm_term=---autotargeting&amp;amp;etext=2202.73clQIV-TYNcL7gftgvwhA_PiHkeeEpQb0aUACzsAdV2a3htaGVsYXlwemltb2to.fbbab99e3c4feeeaa068aec766d2a001f42a36c0&amp;amp;yclid=5399239619320741887[/url] [b]Согласия[/b]: Я согласен на обработку персональных данных: Да"/>
    <m/>
    <m/>
    <n v="7"/>
    <m/>
    <m/>
    <m/>
    <s v="ЦП. 1С. Коммерция"/>
    <m/>
    <m/>
    <m/>
    <m/>
    <m/>
    <m/>
    <m/>
    <m/>
    <m/>
    <m/>
    <m/>
    <m/>
    <m/>
    <m/>
    <s v="Обычный"/>
    <m/>
    <m/>
    <m/>
    <m/>
    <m/>
    <n v="264382"/>
    <m/>
    <m/>
    <m/>
    <m/>
    <m/>
    <m/>
    <m/>
    <s v="Не было отгрузок"/>
    <m/>
    <m/>
    <m/>
    <m/>
    <s v="Нет"/>
    <m/>
    <m/>
    <m/>
    <m/>
    <m/>
    <m/>
    <m/>
    <m/>
    <m/>
    <m/>
    <s v="1С Программы и лицензии"/>
    <s v="1С: УНФ"/>
    <m/>
    <s v="Не нужно"/>
    <m/>
    <m/>
    <m/>
    <s v="Уточнить потребност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Уточнить потребности"/>
    <m/>
    <m/>
    <m/>
    <m/>
    <m/>
    <d v="2026-08-25T14:53:20"/>
    <d v="2026-08-28T15:39:34"/>
    <m/>
    <m/>
    <m/>
    <m/>
    <m/>
    <m/>
    <m/>
    <m/>
    <m/>
    <m/>
    <m/>
    <m/>
    <m/>
    <m/>
    <m/>
    <m/>
    <m/>
    <m/>
    <m/>
    <n v="397893"/>
    <m/>
    <m/>
    <s v="Эмма"/>
    <s v="Джагарян"/>
    <s v="Левоновна"/>
    <m/>
    <m/>
    <s v="Клиенты"/>
    <s v="ROBOT"/>
    <s v="[b]Чем вы занимаетесь?[/b] Торговля (оптовая, розничная) [b]Какие задачи хотите решить с помощью программы?[/b] Контроль рабочего места кассира, Настроить актуализацию остатков, Маркировать товары с нуля [b]Сколько человек будет работать в программе?[/b] 1-2 [b]Местоположение[/b]: Россия, Воронеж [b]Страница[/b]: [url=https://mrqz.me/64a4fe841f5b5f0025ce34e1?utm_source=yandex&amp;amp;utm_medium=cpc&amp;amp;utm_campaign=mk_1cfresh_quiz_unf_1cdlya_h_1c_17_705141204&amp;amp;utm_content=1906099911443884693&amp;amp;utm_term=---autotargeting&amp;amp;etext=2202.73clQIV-TYNcL7gftgvwhA_PiHkeeEpQb0aUACzsAdV2a3htaGVsYXlwemltb2to.fbbab99e3c4feeeaa068aec766d2a001f42a36c0&amp;amp;yclid=5399239619320741887]https://mrqz.me/64a4fe841f5b5f0025ce34e1?utm_source=yandex&amp;amp;utm_medium=cpc&amp;amp;utm_campaign=mk_1cfresh_quiz_unf_1cdlya_h_1c_17_705141204&amp;amp;utm_content=1906099911443884693&amp;amp;utm_term=---autotargeting&amp;amp;etext=2202.73clQIV-TYNcL7gftgvwhA_PiHkeeEpQb0aUACzsAdV2a3htaGVsYXlwemltb2to.fbbab99e3c4feeeaa068aec766d2a001f42a36c0&amp;amp;yclid=5399239619320741887[/url] [b]Согласия[/b]: Я согласен на обработку персональных данных: Да"/>
    <s v="Квиз"/>
    <s v="marquiz.ru ЦП.Фреш: Демонстрация УНФ"/>
    <s v="Да"/>
    <s v="Багланова Антонина"/>
    <d v="2026-08-14T17:44:08"/>
    <s v="ROBOT"/>
    <d v="2026-08-14T17:44:08"/>
    <m/>
    <m/>
    <n v="79001309068"/>
    <m/>
    <m/>
    <m/>
    <m/>
    <m/>
    <m/>
    <m/>
    <m/>
    <m/>
    <m/>
    <m/>
    <m/>
    <m/>
    <s v="emma.grant@mail.ru"/>
    <m/>
    <m/>
    <m/>
    <m/>
    <m/>
    <m/>
    <m/>
    <m/>
    <m/>
    <m/>
    <m/>
    <m/>
    <m/>
    <m/>
    <m/>
    <d v="2026-08-14T00:00:00"/>
    <s v="Да"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8281"/>
    <s v="ЦП. 1С. Продажи"/>
    <s v="N"/>
    <s v="N"/>
    <x v="8"/>
    <m/>
    <m/>
    <m/>
    <m/>
    <m/>
    <s v="Багланова Антонина"/>
    <m/>
    <s v="ООО &quot;МЕДСТАНДАРТ ОПТИКА&quot; 3811458326# 1С Кабинет сотрудника"/>
    <s v="Продажа"/>
    <s v="По рекомендации/ Почкование"/>
    <s v="Передали от Егора Булашкинова"/>
    <s v="0.00"/>
    <s v="Российский рубль"/>
    <s v="ООО &quot;МЕДСТАНДАРТ ОПТИКА&quot; 3811458326#"/>
    <s v="Адушеев Антон"/>
    <m/>
    <s v="нет"/>
    <d v="2026-08-14T14:26:00"/>
    <s v="Багланова Антонина"/>
    <d v="2026-08-24T13:48:49"/>
    <s v="Багланова Антонина"/>
    <d v="2026-08-14T00:00:00"/>
    <d v="2026-08-21T00:00:00"/>
    <m/>
    <m/>
    <m/>
    <m/>
    <m/>
    <m/>
    <m/>
    <m/>
    <n v="27"/>
    <d v="2026-08-18T09:47:07"/>
    <m/>
    <m/>
    <m/>
    <m/>
    <m/>
    <m/>
    <m/>
    <s v="Нет"/>
    <n v="1"/>
    <m/>
    <m/>
    <m/>
    <s v="ИРКУТСК"/>
    <s v="ЦП. 1С и ИТС. Коммерция"/>
    <m/>
    <m/>
    <m/>
    <m/>
    <m/>
    <m/>
    <n v="0"/>
    <m/>
    <m/>
    <m/>
    <m/>
    <n v="6"/>
    <m/>
    <m/>
    <m/>
    <s v="ЦП. 1С. Коммерция"/>
    <m/>
    <m/>
    <m/>
    <m/>
    <m/>
    <m/>
    <m/>
    <m/>
    <m/>
    <m/>
    <m/>
    <s v="Коммерческие"/>
    <m/>
    <m/>
    <s v="Обычный"/>
    <m/>
    <m/>
    <m/>
    <m/>
    <m/>
    <m/>
    <m/>
    <m/>
    <m/>
    <m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:Кабинет сотрудника"/>
    <s v="Уточнить потребност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s v="Зарплата и кадровый учёт"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Уточнить потребности"/>
    <m/>
    <m/>
    <m/>
    <m/>
    <m/>
    <d v="2026-08-24T13:48:38"/>
    <d v="2026-08-28T16:42:48"/>
    <m/>
    <m/>
    <m/>
    <m/>
    <m/>
    <m/>
    <m/>
    <m/>
    <m/>
    <m/>
    <m/>
    <m/>
    <m/>
    <m/>
    <m/>
    <m/>
    <m/>
    <m/>
    <m/>
    <n v="397704"/>
    <m/>
    <m/>
    <s v="Антон"/>
    <s v="Адушеев"/>
    <m/>
    <m/>
    <m/>
    <s v="Клиенты"/>
    <s v="ROBOT"/>
    <m/>
    <s v="По рекомендации/ Почкование"/>
    <s v="От Жени Савинской"/>
    <s v="Да"/>
    <s v="Багланова Антонина"/>
    <d v="2026-08-12T17:12:51"/>
    <s v="Багланова Антонина"/>
    <d v="2026-08-24T13:48:50"/>
    <m/>
    <m/>
    <n v="79025777880"/>
    <m/>
    <m/>
    <m/>
    <m/>
    <m/>
    <m/>
    <m/>
    <m/>
    <m/>
    <m/>
    <m/>
    <m/>
    <s v="328@medstd38.ru"/>
    <m/>
    <m/>
    <m/>
    <m/>
    <m/>
    <m/>
    <m/>
    <m/>
    <m/>
    <m/>
    <m/>
    <m/>
    <m/>
    <m/>
    <m/>
    <s v="Иркутск г"/>
    <d v="2026-08-12T00:00:00"/>
    <s v="Да"/>
    <m/>
    <s v="Иркутская область 0 часов"/>
    <m/>
    <m/>
    <s v="Нет"/>
    <s v="6f889d25-1f37-4b48-9711-78ee3b0b1bd0"/>
    <n v="258054"/>
    <m/>
    <s v="ООО &quot;МЕДСТАНДАРТ ОПТИКА&quot; 3811458326#"/>
    <s v="Клиент"/>
    <s v="менее 50"/>
    <s v="ROBOT"/>
    <m/>
    <s v="Информационные технологии"/>
    <s v="0.00"/>
    <s v="Российский рубль"/>
    <m/>
    <s v="Багланова Антонина"/>
    <d v="2026-08-12T17:38:35"/>
    <s v="ROBOT_M"/>
    <d v="2026-08-20T10:46:18"/>
    <m/>
    <m/>
    <m/>
    <m/>
    <m/>
    <m/>
    <m/>
    <m/>
    <m/>
    <m/>
    <m/>
    <m/>
    <m/>
    <m/>
    <m/>
    <s v="328@medstd38.ru"/>
    <m/>
    <m/>
    <m/>
    <m/>
    <m/>
    <m/>
    <m/>
    <m/>
    <m/>
    <m/>
    <m/>
    <m/>
    <m/>
    <m/>
    <m/>
    <m/>
    <n v="0"/>
    <s v="328@medstd38.ru"/>
    <d v="2018-10-29T00:00:00"/>
    <m/>
    <s v="47.78 Торговля розничная прочая в специализированных магазинах"/>
    <m/>
    <s v="Нет"/>
    <m/>
    <m/>
    <s v="ООО МЕДСТАНДАРТ ОПТИКА 3811458326"/>
    <s v="ИРКУТСК"/>
    <n v="3811458326"/>
    <m/>
    <m/>
    <m/>
    <m/>
    <s v="328@medstd38.ru"/>
    <m/>
    <m/>
    <s v="Свой контакт (Менеджер)"/>
    <m/>
    <s v="Коммерческие"/>
    <s v="ООО"/>
    <n v="128692"/>
    <s v="Иркутская область 0 часов"/>
    <m/>
    <m/>
    <m/>
    <s v="Нет"/>
    <m/>
    <m/>
    <m/>
    <m/>
    <s v="Нет"/>
    <s v="Торговля. Прочая"/>
    <m/>
    <m/>
    <m/>
    <s v="e0689230-a4d2-4692-8072-5b602b5c59a5"/>
  </r>
  <r>
    <n v="318263"/>
    <s v="1С. Комплексные продажи"/>
    <s v="Y"/>
    <s v="N"/>
    <x v="14"/>
    <m/>
    <s v="Федосеев Максим"/>
    <m/>
    <m/>
    <m/>
    <s v="Федосеев Максим"/>
    <s v="ONE_C"/>
    <s v="ООО &quot;БИОМАСС-КАРБОН&quot; 3808299250# Внедрение блока производства. Дорож. карта в разработке"/>
    <s v="Продажа"/>
    <s v="По рекомендации/ Почкование"/>
    <m/>
    <n v="8000"/>
    <s v="Российский рубль"/>
    <s v="ООО &quot;БИОМАСС-КАРБОН&quot; 3808299250#"/>
    <s v="Чевелева Наталья Владимировна"/>
    <m/>
    <s v="нет"/>
    <d v="2026-08-14T12:59:53"/>
    <s v="Федосеев Максим"/>
    <d v="2026-09-01T00:03:02"/>
    <s v="ROBOT_M"/>
    <d v="2026-08-14T00:00:00"/>
    <d v="2026-08-21T00:00:00"/>
    <s v="Оценка требований"/>
    <n v="8000"/>
    <n v="1"/>
    <m/>
    <m/>
    <m/>
    <m/>
    <m/>
    <n v="14748"/>
    <d v="2026-08-28T17:31:18"/>
    <m/>
    <m/>
    <m/>
    <m/>
    <m/>
    <m/>
    <s v="Договор-оферта"/>
    <s v="Нет"/>
    <n v="1"/>
    <m/>
    <m/>
    <m/>
    <s v="ХОМУТОВО"/>
    <s v="ЦП. 1С и ИТС. Коммерция"/>
    <m/>
    <m/>
    <m/>
    <m/>
    <m/>
    <m/>
    <n v="0"/>
    <m/>
    <m/>
    <m/>
    <s v="Небольшой опыт"/>
    <n v="12"/>
    <m/>
    <s v="ФРДТ-018102"/>
    <m/>
    <s v="ЦП. 1С. Коммерция"/>
    <m/>
    <m/>
    <m/>
    <m/>
    <d v="2026-08-14T00:00:00"/>
    <m/>
    <m/>
    <s v="[CO]ООО НПФ &quot;ФОРУС&quot; 3812023430#"/>
    <s v="Оказание услуг"/>
    <m/>
    <m/>
    <s v="Коммерческие"/>
    <m/>
    <m/>
    <s v="Обычный"/>
    <m/>
    <m/>
    <s v="#Загружено из Битрикс-Коробка#"/>
    <m/>
    <m/>
    <m/>
    <s v="Услуги ЦСВ 1С консультации"/>
    <m/>
    <m/>
    <m/>
    <m/>
    <m/>
    <m/>
    <s v="Не было отгрузок"/>
    <m/>
    <m/>
    <m/>
    <m/>
    <s v="Нет"/>
    <m/>
    <m/>
    <m/>
    <m/>
    <m/>
    <m/>
    <m/>
    <m/>
    <m/>
    <m/>
    <s v="АРХИВ_1С Разовые услуги (консультации)"/>
    <m/>
    <m/>
    <s v="Не нужно"/>
    <m/>
    <m/>
    <m/>
    <s v="Отправить счет/договор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s v="Производство"/>
    <s v="[C]Чевелева Наталья Владимировна"/>
    <d v="2026-08-19T00:00:00"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Отправить счет"/>
    <m/>
    <m/>
    <m/>
    <m/>
    <m/>
    <d v="2026-09-01T00:02:31"/>
    <d v="2026-09-02T11:18:28"/>
    <m/>
    <m/>
    <m/>
    <m/>
    <m/>
    <m/>
    <m/>
    <m/>
    <m/>
    <m/>
    <m/>
    <m/>
    <m/>
    <m/>
    <m/>
    <m/>
    <m/>
    <m/>
    <m/>
    <n v="210687"/>
    <m/>
    <m/>
    <s v="Наталья"/>
    <s v="Чевелева"/>
    <s v="Владимировна"/>
    <m/>
    <m/>
    <m/>
    <s v="ROBOT"/>
    <s v="&amp;#91;Автор=WEBITIL&amp;#93;&amp;#91;Редактор=Косов Никита Евгеньевич&amp;#93;."/>
    <m/>
    <m/>
    <s v="Да"/>
    <s v="ROBOT_M"/>
    <d v="2021-07-21T10:44:46"/>
    <s v="Соболев Максим"/>
    <d v="2026-08-17T13:21:47"/>
    <m/>
    <m/>
    <n v="79501013630"/>
    <m/>
    <m/>
    <m/>
    <m/>
    <m/>
    <m/>
    <m/>
    <m/>
    <m/>
    <m/>
    <m/>
    <m/>
    <s v="natalich_75@mail.ru, gl-buh@tvoidom38.ru"/>
    <m/>
    <m/>
    <m/>
    <m/>
    <m/>
    <m/>
    <m/>
    <m/>
    <m/>
    <m/>
    <m/>
    <s v="imol|ank_chats_app24_telegram|32|private-547422568h1268131820915608909|12187"/>
    <m/>
    <m/>
    <n v="12187"/>
    <s v="Большая Речка п."/>
    <d v="2019-08-23T00:00:00"/>
    <s v="Да"/>
    <m/>
    <s v="Иркутская область 0 часов"/>
    <m/>
    <m/>
    <s v="Нет"/>
    <s v="3a524bb5-3a97-11e7-a2dd-0026554f9a58"/>
    <n v="256572"/>
    <m/>
    <s v="ООО &quot;БИОМАСС-КАРБОН&quot; 3808299250#"/>
    <s v="Клиент"/>
    <s v="менее 50"/>
    <s v="ROBOT"/>
    <m/>
    <s v="Информационные технологии"/>
    <s v="0.00"/>
    <s v="Российский рубль"/>
    <m/>
    <s v="Федосеев Максим"/>
    <d v="2026-07-06T17:02:29"/>
    <s v="ROBOT_M"/>
    <d v="2026-08-28T17:34:52"/>
    <m/>
    <m/>
    <n v="79501013630"/>
    <m/>
    <m/>
    <m/>
    <m/>
    <m/>
    <m/>
    <m/>
    <m/>
    <m/>
    <m/>
    <m/>
    <m/>
    <s v="elis_offis@mail.ru"/>
    <m/>
    <m/>
    <m/>
    <m/>
    <m/>
    <m/>
    <m/>
    <m/>
    <m/>
    <m/>
    <m/>
    <m/>
    <m/>
    <m/>
    <m/>
    <m/>
    <n v="0"/>
    <s v="elis_offis@mail.ru"/>
    <d v="2026-07-03T00:00:00"/>
    <m/>
    <s v="16.29.15 Производство топливных гранул и брикетов из отходов деревопереработки"/>
    <m/>
    <s v="Нет"/>
    <m/>
    <m/>
    <s v="БИОМАСС-КАРБОН ООО"/>
    <s v="ХОМУТОВО"/>
    <n v="3808299250"/>
    <m/>
    <m/>
    <m/>
    <m/>
    <s v="elis_offis@mail.ru"/>
    <m/>
    <m/>
    <s v="Звонок"/>
    <m/>
    <s v="Коммерческие"/>
    <s v="ООО"/>
    <n v="127730"/>
    <s v="Иркутская область 0 часов"/>
    <m/>
    <m/>
    <m/>
    <s v="Нет"/>
    <m/>
    <m/>
    <m/>
    <m/>
    <s v="Нет"/>
    <s v="Производство. Лесхоз и деревообработка"/>
    <m/>
    <m/>
    <m/>
    <s v="1d7b1972-8303-45cc-a0d8-6c209a2a2ea9"/>
  </r>
  <r>
    <n v="318207"/>
    <s v="ЦП. 1С. Продажи"/>
    <s v="Y"/>
    <s v="N"/>
    <x v="8"/>
    <m/>
    <m/>
    <m/>
    <m/>
    <m/>
    <s v="Багланова Антонина"/>
    <m/>
    <s v="ООО &quot;СИ ЭМ ЛОГИСТИКС&quot; 0268106145# 1С КП и Сервисы"/>
    <s v="Продажа"/>
    <s v="Звонок"/>
    <m/>
    <s v="0.00"/>
    <s v="Российский рубль"/>
    <s v="ООО &quot;СИ ЭМ ЛОГИСТИКС&quot; 0268106145#"/>
    <s v="Гульсина"/>
    <m/>
    <s v="нет"/>
    <d v="2026-08-14T09:25:42"/>
    <s v="Багланова Антонина"/>
    <d v="2026-08-17T15:28:10"/>
    <m/>
    <d v="2026-08-14T00:00:00"/>
    <d v="2026-08-21T00:00:00"/>
    <m/>
    <m/>
    <m/>
    <m/>
    <m/>
    <m/>
    <m/>
    <m/>
    <n v="27"/>
    <d v="2026-08-14T09:26:11"/>
    <m/>
    <m/>
    <m/>
    <m/>
    <m/>
    <m/>
    <m/>
    <s v="Нет"/>
    <n v="1"/>
    <m/>
    <m/>
    <m/>
    <s v="Стерлитамак г, Уфимский тракт ул"/>
    <s v="ЦП. 1С и ИТС. Коммерция"/>
    <m/>
    <m/>
    <m/>
    <m/>
    <m/>
    <m/>
    <n v="0"/>
    <m/>
    <m/>
    <m/>
    <m/>
    <n v="3"/>
    <m/>
    <m/>
    <m/>
    <s v="ЦП. 1С. Коммерция"/>
    <m/>
    <m/>
    <m/>
    <m/>
    <m/>
    <m/>
    <m/>
    <m/>
    <m/>
    <m/>
    <m/>
    <s v="Коммерческие"/>
    <m/>
    <m/>
    <s v="Обычный"/>
    <m/>
    <m/>
    <m/>
    <m/>
    <m/>
    <m/>
    <m/>
    <m/>
    <m/>
    <m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-ЭПД"/>
    <s v="Уточнить потребност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Уточнить потребности"/>
    <m/>
    <m/>
    <m/>
    <m/>
    <m/>
    <d v="2026-08-14T09:26:12"/>
    <d v="2026-08-20T17:43:26"/>
    <m/>
    <m/>
    <m/>
    <m/>
    <m/>
    <m/>
    <m/>
    <m/>
    <m/>
    <m/>
    <m/>
    <m/>
    <m/>
    <m/>
    <m/>
    <m/>
    <m/>
    <m/>
    <m/>
    <n v="386328"/>
    <m/>
    <m/>
    <s v="Гульсина"/>
    <m/>
    <m/>
    <m/>
    <m/>
    <s v="Клиенты"/>
    <s v="ROBOT"/>
    <m/>
    <s v="Звонок"/>
    <s v="Звонок поступил на номер: ЦКС. Продления Фреш 78-19-96/ 8800-700-22-34 (63)."/>
    <s v="Да"/>
    <s v="Арановская Анна"/>
    <d v="2026-03-11T23:11:15"/>
    <s v="ROBOT"/>
    <d v="2026-08-14T09:12:39"/>
    <m/>
    <m/>
    <n v="79177984470"/>
    <m/>
    <m/>
    <m/>
    <m/>
    <m/>
    <m/>
    <m/>
    <m/>
    <m/>
    <m/>
    <m/>
    <m/>
    <s v="gulsina.ibragimova@cm-logistics.ru"/>
    <m/>
    <m/>
    <m/>
    <m/>
    <m/>
    <m/>
    <m/>
    <m/>
    <m/>
    <m/>
    <m/>
    <m/>
    <m/>
    <m/>
    <m/>
    <s v="Стерлитамак г"/>
    <d v="2026-03-11T00:00:00"/>
    <s v="Да"/>
    <m/>
    <s v="Республика Башкортостан -3 часа"/>
    <m/>
    <m/>
    <s v="Нет"/>
    <s v="7276e637-5333-4d97-a4af-762c035d57eb"/>
    <n v="243817"/>
    <m/>
    <s v="ООО &quot;СИ ЭМ ЛОГИСТИКС&quot; 0268106145#"/>
    <s v="Клиент"/>
    <m/>
    <s v="ROBOT"/>
    <m/>
    <m/>
    <m/>
    <s v="Российский рубль"/>
    <m/>
    <s v="Савинская Евгения"/>
    <d v="2025-09-29T11:23:31"/>
    <s v="ROBOT_M"/>
    <d v="2026-09-02T17:39:18"/>
    <m/>
    <m/>
    <n v="79055233330"/>
    <m/>
    <m/>
    <m/>
    <m/>
    <m/>
    <m/>
    <m/>
    <m/>
    <m/>
    <m/>
    <m/>
    <m/>
    <s v="sterimport@inbox.ru"/>
    <m/>
    <s v="sterimport@inbox.ru"/>
    <m/>
    <m/>
    <m/>
    <m/>
    <m/>
    <m/>
    <m/>
    <m/>
    <m/>
    <m/>
    <m/>
    <m/>
    <m/>
    <m/>
    <n v="0"/>
    <s v="sterimport@inbox.ru"/>
    <d v="2025-08-19T00:00:00"/>
    <m/>
    <s v="49.42 Предоставление услуг по перевозкам"/>
    <m/>
    <s v="Нет"/>
    <m/>
    <m/>
    <s v="СИ ЭМ ЛОГИСТИКС ООО"/>
    <s v="Стерлитамак г, Уфимский тракт ул"/>
    <n v="268106145"/>
    <m/>
    <m/>
    <m/>
    <m/>
    <s v="sterimport@inbox.ru"/>
    <m/>
    <m/>
    <s v="Свой контакт (Менеджер)"/>
    <m/>
    <s v="Коммерческие"/>
    <s v="ООО"/>
    <n v="117986"/>
    <s v="Республика Башкортостан -3 часа"/>
    <m/>
    <m/>
    <m/>
    <s v="Да, компания работает"/>
    <s v="[C]Яценко Вадим Владимирович"/>
    <m/>
    <m/>
    <m/>
    <s v="Нет"/>
    <s v="Услуги. Перевозки, логистика, склад"/>
    <m/>
    <m/>
    <m/>
    <s v="265ebe90-9236-43ec-bfc9-91fee3612820"/>
  </r>
  <r>
    <n v="318206"/>
    <s v="ЦП. 1С. Продажи"/>
    <s v="N"/>
    <s v="N"/>
    <x v="8"/>
    <m/>
    <s v="Савинская Евгения Багланова Антонина"/>
    <m/>
    <m/>
    <m/>
    <s v="Багланова Антонина"/>
    <m/>
    <s v="Список ЭПД от Калуги"/>
    <s v="Продажа"/>
    <s v="Звонок"/>
    <s v="Список ЭПД от Калуги"/>
    <s v="0.00"/>
    <s v="Российский рубль"/>
    <m/>
    <s v="Латыпова Алина"/>
    <m/>
    <s v="нет"/>
    <d v="2026-08-14T09:22:41"/>
    <s v="Шкаруба Кристина"/>
    <d v="2026-08-25T15:08:05"/>
    <s v="ROBOT_M"/>
    <d v="2026-08-14T00:00:00"/>
    <d v="2026-08-21T00:00:00"/>
    <m/>
    <m/>
    <m/>
    <m/>
    <m/>
    <m/>
    <m/>
    <m/>
    <n v="27"/>
    <d v="2026-08-25T15:08:04"/>
    <m/>
    <m/>
    <m/>
    <m/>
    <m/>
    <m/>
    <m/>
    <s v="Нет"/>
    <n v="1"/>
    <s v="ai@megacount.ru"/>
    <n v="79875808882"/>
    <m/>
    <m/>
    <s v="ЦП. 1С и ИТС. Коммерция"/>
    <m/>
    <m/>
    <m/>
    <m/>
    <m/>
    <m/>
    <n v="0"/>
    <s v="Алина"/>
    <m/>
    <m/>
    <m/>
    <n v="1"/>
    <m/>
    <m/>
    <m/>
    <s v="ЦП. 1С. Коммерция"/>
    <m/>
    <m/>
    <m/>
    <m/>
    <m/>
    <m/>
    <m/>
    <m/>
    <m/>
    <m/>
    <m/>
    <m/>
    <m/>
    <m/>
    <s v="Обычный"/>
    <m/>
    <m/>
    <m/>
    <m/>
    <m/>
    <n v="264790"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s v="Уточнить потребност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Уточнить потребности"/>
    <m/>
    <m/>
    <m/>
    <m/>
    <m/>
    <d v="2026-08-25T15:08:05"/>
    <d v="2026-08-27T17:26:45"/>
    <m/>
    <m/>
    <m/>
    <m/>
    <m/>
    <m/>
    <m/>
    <m/>
    <m/>
    <m/>
    <m/>
    <m/>
    <m/>
    <m/>
    <m/>
    <m/>
    <m/>
    <m/>
    <m/>
    <n v="398491"/>
    <m/>
    <m/>
    <s v="Алина"/>
    <s v="Латыпова"/>
    <m/>
    <m/>
    <m/>
    <s v="Клиенты"/>
    <s v="ROBOT"/>
    <m/>
    <s v="Свой контакт (Менеджер)"/>
    <m/>
    <s v="Да"/>
    <s v="Багланова Антонина"/>
    <d v="2026-08-25T15:00:37"/>
    <s v="Багланова Антонина"/>
    <d v="2026-08-25T15:08:33"/>
    <m/>
    <m/>
    <n v="79875808882"/>
    <m/>
    <m/>
    <m/>
    <m/>
    <m/>
    <m/>
    <m/>
    <m/>
    <m/>
    <m/>
    <m/>
    <m/>
    <s v="ai@megacount.ru"/>
    <m/>
    <m/>
    <m/>
    <m/>
    <m/>
    <m/>
    <m/>
    <m/>
    <m/>
    <m/>
    <m/>
    <m/>
    <m/>
    <m/>
    <m/>
    <m/>
    <d v="2026-08-25T00:00:00"/>
    <s v="Да"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8202"/>
    <s v="ЦП. 1С и ФРЕШ. Продления"/>
    <s v="Y"/>
    <s v="N"/>
    <x v="4"/>
    <m/>
    <m/>
    <m/>
    <m/>
    <m/>
    <s v="Багланова Антонина"/>
    <m/>
    <s v="1С КП ПРОФ 11.10.2026 ООО &quot;ЧМ&quot; 0268099770#"/>
    <s v="Первое продление"/>
    <s v="Канбан продаж"/>
    <s v="1С. Продажи"/>
    <s v="0.00"/>
    <s v="Российский рубль"/>
    <s v="ООО &quot;ЧМ&quot; 0268099770#"/>
    <s v="Гульсина"/>
    <m/>
    <s v="нет"/>
    <d v="2026-08-14T09:06:59"/>
    <s v="Багланова Антонина"/>
    <d v="2026-08-14T09:07:34"/>
    <s v="ROBOT_M"/>
    <d v="2026-06-22T00:00:00"/>
    <d v="2026-08-14T00:00:00"/>
    <m/>
    <m/>
    <m/>
    <m/>
    <m/>
    <m/>
    <m/>
    <m/>
    <n v="5"/>
    <d v="2026-08-14T09:07:33"/>
    <m/>
    <m/>
    <m/>
    <m/>
    <m/>
    <m/>
    <m/>
    <s v="Нет"/>
    <m/>
    <m/>
    <m/>
    <s v="[CO]ООО &quot;СИ ЭМ ЛОГИСТИКС&quot; 0268106145#"/>
    <s v="Стерлитамак г"/>
    <s v="ЦП. 1С и ИТС. Коммерция"/>
    <d v="2026-10-11T00:00:00"/>
    <m/>
    <m/>
    <m/>
    <m/>
    <m/>
    <m/>
    <m/>
    <m/>
    <m/>
    <m/>
    <m/>
    <m/>
    <m/>
    <m/>
    <s v="ЦП. 1С. Коммерция"/>
    <m/>
    <m/>
    <m/>
    <m/>
    <m/>
    <m/>
    <m/>
    <m/>
    <m/>
    <m/>
    <m/>
    <s v="Коммерческие"/>
    <m/>
    <m/>
    <s v="Обычный"/>
    <m/>
    <m/>
    <m/>
    <m/>
    <m/>
    <m/>
    <m/>
    <m/>
    <n v="308341"/>
    <n v="3"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 КП ПРОФ"/>
    <s v="Отправить счет/договор"/>
    <s v="Необработанные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s v="В работе"/>
    <m/>
    <s v="Не было оплат"/>
    <m/>
    <s v="1С КП Купон"/>
    <s v="Да"/>
    <s v="Нет"/>
    <m/>
    <m/>
    <s v="Не было отгрузок"/>
    <m/>
    <m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Продление (для хранения сделок)"/>
    <m/>
    <m/>
    <m/>
    <m/>
    <m/>
    <d v="2026-08-14T09:07:01"/>
    <d v="2026-08-14T10:16:51"/>
    <m/>
    <m/>
    <m/>
    <m/>
    <m/>
    <m/>
    <m/>
    <m/>
    <m/>
    <m/>
    <m/>
    <m/>
    <m/>
    <m/>
    <m/>
    <m/>
    <m/>
    <m/>
    <m/>
    <n v="386328"/>
    <m/>
    <m/>
    <s v="Гульсина"/>
    <m/>
    <m/>
    <m/>
    <m/>
    <s v="Клиенты"/>
    <s v="ROBOT"/>
    <m/>
    <s v="Звонок"/>
    <s v="Звонок поступил на номер: ЦКС. Продления Фреш 78-19-96/ 8800-700-22-34 (63)."/>
    <s v="Да"/>
    <s v="Арановская Анна"/>
    <d v="2026-03-11T23:11:15"/>
    <s v="ROBOT"/>
    <d v="2026-08-14T09:12:39"/>
    <m/>
    <m/>
    <n v="79177984470"/>
    <m/>
    <m/>
    <m/>
    <m/>
    <m/>
    <m/>
    <m/>
    <m/>
    <m/>
    <m/>
    <m/>
    <m/>
    <s v="gulsina.ibragimova@cm-logistics.ru"/>
    <m/>
    <m/>
    <m/>
    <m/>
    <m/>
    <m/>
    <m/>
    <m/>
    <m/>
    <m/>
    <m/>
    <m/>
    <m/>
    <m/>
    <m/>
    <s v="Стерлитамак г"/>
    <d v="2026-03-11T00:00:00"/>
    <s v="Да"/>
    <m/>
    <s v="Республика Башкортостан -3 часа"/>
    <m/>
    <m/>
    <s v="Нет"/>
    <s v="7276e637-5333-4d97-a4af-762c035d57eb"/>
    <n v="243822"/>
    <m/>
    <s v="ООО &quot;ЧМ&quot; 0268099770#"/>
    <s v="Клиент"/>
    <s v="менее 50"/>
    <s v="ROBOT"/>
    <m/>
    <s v="Информационные технологии"/>
    <m/>
    <s v="Российский рубль"/>
    <m/>
    <s v="Савинская Евгения"/>
    <d v="2025-09-29T11:41:13"/>
    <s v="ROBOT_M"/>
    <d v="2026-08-14T09:12:39"/>
    <m/>
    <m/>
    <n v="79174316888"/>
    <m/>
    <m/>
    <m/>
    <m/>
    <m/>
    <m/>
    <m/>
    <m/>
    <m/>
    <m/>
    <m/>
    <m/>
    <s v="sterimport@inbox.ru"/>
    <m/>
    <m/>
    <m/>
    <m/>
    <m/>
    <m/>
    <m/>
    <m/>
    <m/>
    <m/>
    <m/>
    <m/>
    <m/>
    <m/>
    <m/>
    <m/>
    <n v="0"/>
    <s v="sterimport@inbox.ru"/>
    <d v="2024-02-01T00:00:00"/>
    <m/>
    <s v="81.22 Деятельность по чистке и уборке жилых зданий и нежилых помещений прочая"/>
    <s v="[CO]ООО &quot;СИ ЭМ ЛОГИСТИКС&quot; 0268106145#"/>
    <s v="Нет"/>
    <m/>
    <m/>
    <s v="ЧМ, ИНН 0268099770 ООО"/>
    <s v="Стерлитамак г"/>
    <n v="268099770"/>
    <m/>
    <m/>
    <m/>
    <m/>
    <s v="sterimport@inbox.ru"/>
    <m/>
    <m/>
    <s v="Свой контакт (Менеджер)"/>
    <m/>
    <s v="Коммерческие"/>
    <s v="ООО"/>
    <n v="117992"/>
    <s v="Республика Башкортостан -3 часа"/>
    <m/>
    <m/>
    <m/>
    <s v="Да, компания работает"/>
    <s v="[C]Яценко Вадим Владимирович"/>
    <m/>
    <m/>
    <m/>
    <s v="Нет"/>
    <s v="Услуги. Прочие"/>
    <m/>
    <m/>
    <m/>
    <s v="13d55738-645b-4a12-8f73-dbc1e84e141a"/>
  </r>
  <r>
    <n v="318173"/>
    <s v="ЦП. УЦ. Продажи"/>
    <s v="N"/>
    <s v="Y"/>
    <x v="7"/>
    <m/>
    <s v="Шкуренко Дарья Соболев Максим"/>
    <m/>
    <m/>
    <m/>
    <s v="Соболев Максим"/>
    <s v="ONE_C"/>
    <s v="1С-Отчётность. ИП Ряжев Евгений Игоревич 384901719693#"/>
    <s v="Продажа"/>
    <s v="Звонок"/>
    <s v="Звонок поступил на номер: ЦП 78-00-00 (62)."/>
    <n v="2100"/>
    <s v="Российский рубль"/>
    <s v="ИП Ряжев Евгений Игоревич 384901719693#"/>
    <s v="Смирнова Татьяна Владимировна"/>
    <m/>
    <s v="нет"/>
    <d v="2026-08-13T17:28:52"/>
    <s v="Соболев Максим"/>
    <d v="2026-08-20T14:35:36"/>
    <s v="ROBOT_M"/>
    <d v="2026-08-13T00:00:00"/>
    <d v="2026-08-20T00:00:00"/>
    <s v="ПО &quot;Астрал-Отчетность&quot; (сроком на 1 год) для группы ИП от 3 до 5 (&lt;&gt;)"/>
    <n v="2100"/>
    <n v="1"/>
    <m/>
    <m/>
    <m/>
    <m/>
    <m/>
    <n v="508"/>
    <d v="2026-08-17T14:26:39"/>
    <m/>
    <m/>
    <m/>
    <m/>
    <m/>
    <m/>
    <s v="Договор-оферта"/>
    <s v="Нет"/>
    <n v="1"/>
    <m/>
    <n v="79996402433"/>
    <m/>
    <m/>
    <s v="ЦП. 1С и ИТС. Коммерция"/>
    <d v="2026-09-24T00:00:00"/>
    <m/>
    <m/>
    <d v="2026-08-17T00:00:00"/>
    <d v="2027-08-17T00:00:00"/>
    <m/>
    <n v="0"/>
    <m/>
    <m/>
    <m/>
    <m/>
    <n v="5"/>
    <s v="/upload/crm/9e5/300qm96w3vu3o0gvjgy73vidqehori0w/Договор-оферта.txt"/>
    <s v="ФРДТ-018212"/>
    <m/>
    <s v="ЦП. 1С. Коммерция"/>
    <m/>
    <m/>
    <m/>
    <m/>
    <d v="2026-08-17T00:00:00"/>
    <m/>
    <m/>
    <s v="[CO]ООО НПФ &quot;ФОРУС&quot; 3812023430#"/>
    <s v="Сервисы"/>
    <s v="Почта России"/>
    <s v="Доступ в сервисе"/>
    <s v="Коммерческие"/>
    <m/>
    <m/>
    <s v="Обычный"/>
    <m/>
    <s v="Да"/>
    <s v="#Загружено из Битрикс-Коробка#"/>
    <d v="2026-08-17T00:00:00"/>
    <m/>
    <n v="264764"/>
    <s v="1С-Отч Конечным пользователям"/>
    <m/>
    <m/>
    <n v="12"/>
    <m/>
    <m/>
    <m/>
    <s v="Не было отгрузок"/>
    <m/>
    <m/>
    <m/>
    <m/>
    <s v="Нет"/>
    <m/>
    <m/>
    <m/>
    <m/>
    <m/>
    <m/>
    <m/>
    <m/>
    <m/>
    <m/>
    <s v="УЦ"/>
    <m/>
    <m/>
    <s v="Не нужно"/>
    <m/>
    <m/>
    <m/>
    <m/>
    <m/>
    <m/>
    <m/>
    <m/>
    <s v="1С-Отчётность"/>
    <s v="Не нужно УЛ"/>
    <s v="Оплаче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Оплачено"/>
    <m/>
    <m/>
    <m/>
    <m/>
    <m/>
    <d v="2026-08-20T14:35:36"/>
    <d v="2026-08-17T12:29:02"/>
    <s v="Завершен"/>
    <m/>
    <m/>
    <m/>
    <m/>
    <m/>
    <m/>
    <m/>
    <m/>
    <m/>
    <m/>
    <m/>
    <m/>
    <m/>
    <m/>
    <m/>
    <m/>
    <m/>
    <m/>
    <n v="285626"/>
    <m/>
    <m/>
    <s v="Татьяна"/>
    <s v="Смирнова"/>
    <s v="Владимировна"/>
    <m/>
    <s v="ГЕНЕРАЛЬНЫЙ ДИРЕКТОР"/>
    <m/>
    <s v="ROBOT"/>
    <s v="[p] &amp;#91;Автор=RobotIntegro&amp;#93;&amp;#91;Редактор=БитриксКоробка&amp;#93; [/p]"/>
    <m/>
    <m/>
    <s v="Да"/>
    <s v="ROBOT_M"/>
    <d v="2022-03-25T10:02:53"/>
    <s v="Дунаевская Светлана"/>
    <d v="2026-08-15T06:44:32"/>
    <m/>
    <m/>
    <n v="79996402433"/>
    <m/>
    <m/>
    <m/>
    <m/>
    <m/>
    <m/>
    <m/>
    <m/>
    <m/>
    <m/>
    <m/>
    <m/>
    <s v="75-777@mail.ru, go.motors@yandex.ru"/>
    <m/>
    <m/>
    <m/>
    <m/>
    <m/>
    <m/>
    <m/>
    <m/>
    <m/>
    <m/>
    <m/>
    <s v="imol|ank_chats_app24_whatsapp|32|79996402433|6019"/>
    <m/>
    <m/>
    <n v="6019"/>
    <m/>
    <d v="2022-03-25T00:00:00"/>
    <s v="Да"/>
    <m/>
    <s v="Иркутская область 0 часов"/>
    <m/>
    <m/>
    <s v="Нет"/>
    <s v="a13d398f-6016-4b87-bd56-232bef174068"/>
    <n v="258080"/>
    <m/>
    <s v="ИП Ряжев Евгений Игоревич 384901719693#"/>
    <s v="Клиент"/>
    <s v="менее 50"/>
    <s v="ROBOT"/>
    <m/>
    <s v="Информационные технологии"/>
    <s v="0.00"/>
    <s v="Российский рубль"/>
    <m/>
    <s v="Соболев Максим"/>
    <d v="2026-08-13T15:42:25"/>
    <s v="Дунаевская Светлана"/>
    <d v="2026-08-20T13:59:02"/>
    <m/>
    <m/>
    <m/>
    <m/>
    <m/>
    <m/>
    <m/>
    <m/>
    <m/>
    <m/>
    <m/>
    <m/>
    <m/>
    <m/>
    <m/>
    <s v="75-777@mail.ru"/>
    <m/>
    <m/>
    <m/>
    <m/>
    <m/>
    <m/>
    <m/>
    <m/>
    <m/>
    <m/>
    <m/>
    <m/>
    <m/>
    <m/>
    <m/>
    <m/>
    <n v="0"/>
    <s v="75-777@mail.ru"/>
    <m/>
    <m/>
    <s v="73.11 Деятельность рекламных агентств"/>
    <s v="[CO]ООО &quot;ГО МОТОРС&quot; 3811160321#"/>
    <s v="Нет"/>
    <m/>
    <m/>
    <s v="ИП Ряжев Евгений Игоревич"/>
    <m/>
    <n v="384901719693"/>
    <m/>
    <m/>
    <m/>
    <m/>
    <s v="75-777@mail.ru"/>
    <m/>
    <m/>
    <s v="Свой контакт (Менеджер)"/>
    <m/>
    <s v="Коммерческие"/>
    <s v="ИП"/>
    <n v="128721"/>
    <s v="Иркутская область 0 часов"/>
    <m/>
    <m/>
    <m/>
    <s v="Нет"/>
    <m/>
    <m/>
    <m/>
    <m/>
    <s v="Нет"/>
    <s v="Услуги. Реклама"/>
    <m/>
    <m/>
    <m/>
    <s v="e76b7fa1-23e7-45ce-8032-3c0b6cbee7d2"/>
  </r>
  <r>
    <n v="318123"/>
    <s v="ЦП. 1С. Продажи"/>
    <s v="N"/>
    <s v="N"/>
    <x v="8"/>
    <m/>
    <m/>
    <m/>
    <m/>
    <m/>
    <s v="Россинский Вадим"/>
    <m/>
    <s v="ИП ШАЙХУТДИНОВ ФАННУР МАНСУРОВИЧ 162211171634#"/>
    <s v="Продажа"/>
    <s v="Свой контакт (Менеджер)"/>
    <m/>
    <s v="0.00"/>
    <s v="Российский рубль"/>
    <s v="ИП Шайхутдинов Фаннур Мансурович 162211171634#"/>
    <m/>
    <m/>
    <s v="нет"/>
    <d v="2026-08-13T12:48:30"/>
    <s v="Россинский Вадим"/>
    <d v="2026-08-17T16:39:41"/>
    <m/>
    <d v="2026-08-13T00:00:00"/>
    <d v="2026-08-20T00:00:00"/>
    <m/>
    <m/>
    <m/>
    <m/>
    <m/>
    <m/>
    <m/>
    <m/>
    <n v="15488"/>
    <d v="2026-08-13T12:50:00"/>
    <m/>
    <m/>
    <m/>
    <m/>
    <m/>
    <m/>
    <m/>
    <s v="Нет"/>
    <n v="1"/>
    <m/>
    <m/>
    <m/>
    <s v="село Старое Казеево"/>
    <s v="ЦП. 1С и ИТС. Коммерция"/>
    <m/>
    <m/>
    <m/>
    <m/>
    <m/>
    <m/>
    <n v="2"/>
    <m/>
    <m/>
    <m/>
    <m/>
    <n v="3"/>
    <m/>
    <m/>
    <m/>
    <s v="ЦП. 1С. Коммерция"/>
    <m/>
    <m/>
    <m/>
    <m/>
    <m/>
    <m/>
    <m/>
    <m/>
    <m/>
    <m/>
    <m/>
    <s v="Коммерческие"/>
    <m/>
    <m/>
    <s v="Обычный"/>
    <m/>
    <m/>
    <m/>
    <m/>
    <m/>
    <m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s v="Уточнить потребност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Уточнить потребности"/>
    <m/>
    <m/>
    <m/>
    <m/>
    <m/>
    <d v="2026-08-13T12:50:01"/>
    <d v="2026-08-17T16:39: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8071"/>
    <m/>
    <s v="ИП Шайхутдинов Фаннур Мансурович 162211171634#"/>
    <s v="Клиент"/>
    <s v="менее 50"/>
    <s v="ROBOT"/>
    <m/>
    <s v="Информационные технологии"/>
    <s v="0.00"/>
    <s v="Российский рубль"/>
    <m/>
    <s v="Россинский Вадим"/>
    <d v="2026-08-13T12:47:09"/>
    <s v="ROBOT_M"/>
    <d v="2026-08-13T13:05:57"/>
    <m/>
    <m/>
    <n v="79961228293"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s v="46.49 Торговля оптовая прочими бытовыми товарами"/>
    <m/>
    <s v="Нет"/>
    <m/>
    <m/>
    <s v="Шайхутдинов Фаннур Мансурович, Инн 162211171634"/>
    <s v="село Старое Казеево"/>
    <n v="162211171634"/>
    <m/>
    <m/>
    <m/>
    <m/>
    <m/>
    <m/>
    <m/>
    <s v="Свой контакт (Менеджер)"/>
    <m/>
    <s v="Коммерческие"/>
    <s v="ИП"/>
    <n v="128717"/>
    <s v="Республика Татарстан - 5 час"/>
    <m/>
    <m/>
    <m/>
    <s v="Нет"/>
    <m/>
    <m/>
    <m/>
    <m/>
    <s v="Нет"/>
    <s v="Торговля. Прочая"/>
    <m/>
    <m/>
    <m/>
    <s v="65ee46e6-4cdc-4b77-b58d-c36053cae56b"/>
  </r>
  <r>
    <n v="318104"/>
    <s v="ЦП. УЦ. Продажи"/>
    <s v="N"/>
    <s v="N"/>
    <x v="3"/>
    <m/>
    <s v="Приходько Екатерина"/>
    <m/>
    <m/>
    <m/>
    <s v="Федосеев Максим"/>
    <s v="ONE_C"/>
    <s v="1С-Отчётность. ООО &quot;АВТО-ВИКТОРИ&quot; 3849022426#"/>
    <s v="Продажа"/>
    <s v="По рекомендации/ Почкование"/>
    <m/>
    <n v="7600"/>
    <s v="Российский рубль"/>
    <s v="ООО &quot;АВТО-ВИКТОРИ&quot; 3849022426#"/>
    <s v="Юрий"/>
    <m/>
    <s v="нет"/>
    <d v="2026-08-13T12:12:59"/>
    <s v="Федосеев Максим"/>
    <d v="2026-08-24T00:06:54"/>
    <s v="ROBOT"/>
    <d v="2026-08-13T00:00:00"/>
    <d v="2026-08-20T00:00:00"/>
    <s v="ПО &quot;Астрал-Отчетность&quot; (сроком на 1 год) 1 юр. лицо (&lt;&gt;)"/>
    <n v="7600"/>
    <n v="1"/>
    <m/>
    <m/>
    <m/>
    <m/>
    <m/>
    <n v="14748"/>
    <d v="2026-08-13T12:18:07"/>
    <m/>
    <m/>
    <m/>
    <m/>
    <m/>
    <m/>
    <s v="Договор-оферта"/>
    <s v="Нет"/>
    <n v="1"/>
    <m/>
    <m/>
    <m/>
    <s v="ИРКУТСК"/>
    <s v="ЦП. 1С и ИТС. Коммерция"/>
    <d v="2026-09-24T00:00:00"/>
    <m/>
    <m/>
    <m/>
    <m/>
    <m/>
    <n v="0"/>
    <m/>
    <m/>
    <m/>
    <m/>
    <n v="1"/>
    <m/>
    <s v="ФРДТ-018023"/>
    <m/>
    <s v="ЦП. 1С. Коммерция"/>
    <m/>
    <m/>
    <m/>
    <m/>
    <d v="2026-08-13T00:00:00"/>
    <m/>
    <m/>
    <s v="[CO]ООО НПФ &quot;ФОРУС&quot; 3812023430#"/>
    <s v="Сервисы"/>
    <m/>
    <m/>
    <s v="Коммерческие"/>
    <m/>
    <m/>
    <s v="Обычный"/>
    <m/>
    <m/>
    <s v="#Загружено из Битрикс-Коробка#"/>
    <m/>
    <m/>
    <m/>
    <s v="1С-Отч Конечным пользователям"/>
    <m/>
    <m/>
    <m/>
    <m/>
    <m/>
    <m/>
    <s v="Не было отгрузок"/>
    <m/>
    <m/>
    <m/>
    <m/>
    <s v="Нет"/>
    <m/>
    <m/>
    <m/>
    <m/>
    <m/>
    <m/>
    <m/>
    <m/>
    <m/>
    <m/>
    <s v="УЦ"/>
    <m/>
    <m/>
    <s v="Не нужно"/>
    <m/>
    <m/>
    <m/>
    <m/>
    <m/>
    <m/>
    <m/>
    <m/>
    <s v="1С-Отчётность"/>
    <m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8-24T00:01:28"/>
    <d v="2026-08-13T12:17:43"/>
    <m/>
    <m/>
    <m/>
    <m/>
    <m/>
    <m/>
    <m/>
    <m/>
    <m/>
    <m/>
    <m/>
    <m/>
    <m/>
    <m/>
    <m/>
    <m/>
    <m/>
    <m/>
    <m/>
    <n v="397757"/>
    <m/>
    <m/>
    <s v="Юрий"/>
    <m/>
    <m/>
    <m/>
    <m/>
    <s v="Клиенты"/>
    <s v="ROBOT"/>
    <m/>
    <s v="Свой контакт (Менеджер)"/>
    <m/>
    <s v="Да"/>
    <s v="Федосеев Максим"/>
    <d v="2026-08-13T11:59:53"/>
    <s v="Дунаевская Светлана"/>
    <d v="2026-08-15T06:44:25"/>
    <m/>
    <m/>
    <n v="79647575931"/>
    <m/>
    <m/>
    <m/>
    <m/>
    <m/>
    <m/>
    <m/>
    <m/>
    <m/>
    <m/>
    <m/>
    <m/>
    <s v="belykhyura@gmail.com"/>
    <m/>
    <m/>
    <m/>
    <m/>
    <m/>
    <m/>
    <m/>
    <m/>
    <m/>
    <m/>
    <m/>
    <m/>
    <m/>
    <m/>
    <m/>
    <s v="Иркутск г"/>
    <d v="2026-08-13T00:00:00"/>
    <s v="Да"/>
    <m/>
    <s v="Иркутская область 0 часов"/>
    <m/>
    <m/>
    <s v="Нет"/>
    <s v="70d2506c-c976-4d07-9830-cb29f2a28cc2"/>
    <n v="258069"/>
    <m/>
    <s v="ООО &quot;АВТО-ВИКТОРИ&quot; 3849022426#"/>
    <s v="Клиент"/>
    <s v="менее 50"/>
    <s v="ROBOT"/>
    <m/>
    <s v="Информационные технологии"/>
    <s v="0.00"/>
    <s v="Российский рубль"/>
    <m/>
    <s v="Федосеев Максим"/>
    <d v="2026-08-13T11:59:54"/>
    <s v="ROBOT_UT"/>
    <d v="2026-08-24T00:06:55"/>
    <m/>
    <m/>
    <n v="79647575931"/>
    <m/>
    <m/>
    <m/>
    <m/>
    <m/>
    <m/>
    <m/>
    <m/>
    <m/>
    <m/>
    <m/>
    <m/>
    <s v="belykhyura@gmail.com"/>
    <m/>
    <m/>
    <m/>
    <m/>
    <m/>
    <m/>
    <m/>
    <m/>
    <m/>
    <m/>
    <m/>
    <m/>
    <m/>
    <m/>
    <m/>
    <m/>
    <n v="0"/>
    <s v="belykhyura@gmail.com"/>
    <d v="2012-05-05T00:00:00"/>
    <m/>
    <s v="46.69 Торговля оптовая прочими машинами и оборудованием"/>
    <m/>
    <s v="Нет"/>
    <m/>
    <m/>
    <s v="АВТО-ВИКТОРИ ООО"/>
    <s v="ИРКУТСК"/>
    <n v="3849022426"/>
    <m/>
    <m/>
    <m/>
    <m/>
    <s v="belykhyura@gmail.com"/>
    <m/>
    <m/>
    <s v="Свой контакт (Менеджер)"/>
    <m/>
    <s v="Коммерческие"/>
    <s v="ООО"/>
    <n v="128713"/>
    <s v="Иркутская область 0 часов"/>
    <m/>
    <m/>
    <m/>
    <s v="Нет"/>
    <m/>
    <m/>
    <m/>
    <m/>
    <s v="Нет"/>
    <s v="Торговля. Прочая"/>
    <m/>
    <m/>
    <m/>
    <s v="2520999a-208c-4133-9412-13c32d47fcd3"/>
  </r>
  <r>
    <n v="318103"/>
    <s v="ЦП. ФРЕШ. Продажи"/>
    <s v="N"/>
    <s v="N"/>
    <x v="3"/>
    <m/>
    <m/>
    <m/>
    <m/>
    <m/>
    <s v="Федосеев Максим"/>
    <s v="ONE_C"/>
    <s v="ФРЕШ. Базовый - ООО &quot;АВТО-ВИКТОРИ&quot; 3849022426#"/>
    <s v="Продажа"/>
    <s v="Звонок"/>
    <s v="Звонок поступил на номер: ЦП 78-00-00 (62)."/>
    <n v="18100"/>
    <s v="Российский рубль"/>
    <s v="ООО &quot;АВТО-ВИКТОРИ&quot; 3849022426#"/>
    <s v="Юрий"/>
    <m/>
    <s v="нет"/>
    <d v="2026-08-13T12:04:28"/>
    <s v="Федосеев Максим"/>
    <d v="2026-08-18T00:01:38"/>
    <s v="ROBOT_M"/>
    <d v="2026-08-13T00:00:00"/>
    <d v="2026-08-20T00:00:00"/>
    <s v="1С:Фреш - 1C:Предприятие 8 через Интернет. Базовый на 12 мес. (&lt;&gt;)"/>
    <n v="18100"/>
    <n v="1"/>
    <m/>
    <m/>
    <m/>
    <m/>
    <m/>
    <n v="14748"/>
    <d v="2026-08-13T12:11:22"/>
    <m/>
    <m/>
    <m/>
    <m/>
    <m/>
    <m/>
    <s v="Договор-оферта"/>
    <s v="Нет"/>
    <n v="1"/>
    <s v="belykhyura@gmail.com"/>
    <n v="79647575931"/>
    <m/>
    <s v="ИРКУТСК"/>
    <s v="ЦП. 1С и ИТС. Коммерция"/>
    <d v="2026-09-12T00:00:00"/>
    <m/>
    <m/>
    <m/>
    <d v="2026-09-12T00:00:00"/>
    <m/>
    <n v="0"/>
    <s v="Юрий"/>
    <m/>
    <m/>
    <m/>
    <n v="7"/>
    <m/>
    <s v="ФРДТ-018021"/>
    <m/>
    <s v="ЦП. 1С. Коммерция"/>
    <m/>
    <m/>
    <m/>
    <m/>
    <d v="2026-08-13T00:00:00"/>
    <m/>
    <m/>
    <s v="[CO]ООО НПФ &quot;ФОРУС&quot; 3812023430#"/>
    <s v="Сервисы"/>
    <m/>
    <m/>
    <s v="Коммерческие"/>
    <m/>
    <m/>
    <s v="Обычный"/>
    <m/>
    <m/>
    <s v="#Загружено из Битрикс-Коробка#"/>
    <m/>
    <m/>
    <n v="264664"/>
    <s v="Фреш Коммерс Базовый"/>
    <m/>
    <m/>
    <m/>
    <m/>
    <m/>
    <m/>
    <s v="Не было отгрузок"/>
    <m/>
    <m/>
    <m/>
    <m/>
    <s v="Нет"/>
    <m/>
    <m/>
    <m/>
    <s v="ФРЕШ. Базовый"/>
    <s v="1С:Бух +ЭТК"/>
    <s v="-"/>
    <m/>
    <m/>
    <m/>
    <s v="Контроль оплаты"/>
    <s v="ФРЕШ и ГРМ"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13T12:05:00"/>
    <d v="2026-08-28T11:59:58"/>
    <m/>
    <m/>
    <m/>
    <m/>
    <m/>
    <m/>
    <m/>
    <m/>
    <m/>
    <m/>
    <m/>
    <m/>
    <m/>
    <m/>
    <m/>
    <m/>
    <m/>
    <m/>
    <m/>
    <n v="397757"/>
    <m/>
    <m/>
    <s v="Юрий"/>
    <m/>
    <m/>
    <m/>
    <m/>
    <s v="Клиенты"/>
    <s v="ROBOT"/>
    <m/>
    <s v="Свой контакт (Менеджер)"/>
    <m/>
    <s v="Да"/>
    <s v="Федосеев Максим"/>
    <d v="2026-08-13T11:59:53"/>
    <s v="Дунаевская Светлана"/>
    <d v="2026-08-15T06:44:25"/>
    <m/>
    <m/>
    <n v="79647575931"/>
    <m/>
    <m/>
    <m/>
    <m/>
    <m/>
    <m/>
    <m/>
    <m/>
    <m/>
    <m/>
    <m/>
    <m/>
    <s v="belykhyura@gmail.com"/>
    <m/>
    <m/>
    <m/>
    <m/>
    <m/>
    <m/>
    <m/>
    <m/>
    <m/>
    <m/>
    <m/>
    <m/>
    <m/>
    <m/>
    <m/>
    <s v="Иркутск г"/>
    <d v="2026-08-13T00:00:00"/>
    <s v="Да"/>
    <m/>
    <s v="Иркутская область 0 часов"/>
    <m/>
    <m/>
    <s v="Нет"/>
    <s v="70d2506c-c976-4d07-9830-cb29f2a28cc2"/>
    <n v="258069"/>
    <m/>
    <s v="ООО &quot;АВТО-ВИКТОРИ&quot; 3849022426#"/>
    <s v="Клиент"/>
    <s v="менее 50"/>
    <s v="ROBOT"/>
    <m/>
    <s v="Информационные технологии"/>
    <s v="0.00"/>
    <s v="Российский рубль"/>
    <m/>
    <s v="Федосеев Максим"/>
    <d v="2026-08-13T11:59:54"/>
    <s v="ROBOT_UT"/>
    <d v="2026-08-24T00:06:55"/>
    <m/>
    <m/>
    <n v="79647575931"/>
    <m/>
    <m/>
    <m/>
    <m/>
    <m/>
    <m/>
    <m/>
    <m/>
    <m/>
    <m/>
    <m/>
    <m/>
    <s v="belykhyura@gmail.com"/>
    <m/>
    <m/>
    <m/>
    <m/>
    <m/>
    <m/>
    <m/>
    <m/>
    <m/>
    <m/>
    <m/>
    <m/>
    <m/>
    <m/>
    <m/>
    <m/>
    <n v="0"/>
    <s v="belykhyura@gmail.com"/>
    <d v="2012-05-05T00:00:00"/>
    <m/>
    <s v="46.69 Торговля оптовая прочими машинами и оборудованием"/>
    <m/>
    <s v="Нет"/>
    <m/>
    <m/>
    <s v="АВТО-ВИКТОРИ ООО"/>
    <s v="ИРКУТСК"/>
    <n v="3849022426"/>
    <m/>
    <m/>
    <m/>
    <m/>
    <s v="belykhyura@gmail.com"/>
    <m/>
    <m/>
    <s v="Свой контакт (Менеджер)"/>
    <m/>
    <s v="Коммерческие"/>
    <s v="ООО"/>
    <n v="128713"/>
    <s v="Иркутская область 0 часов"/>
    <m/>
    <m/>
    <m/>
    <s v="Нет"/>
    <m/>
    <m/>
    <m/>
    <m/>
    <s v="Нет"/>
    <s v="Торговля. Прочая"/>
    <m/>
    <m/>
    <m/>
    <s v="2520999a-208c-4133-9412-13c32d47fcd3"/>
  </r>
  <r>
    <n v="318094"/>
    <s v="ЦП. ФРЕШ. Продажи"/>
    <s v="N"/>
    <s v="N"/>
    <x v="6"/>
    <m/>
    <m/>
    <m/>
    <m/>
    <m/>
    <s v="Россинский Вадим"/>
    <s v="ONE_C"/>
    <s v="ИП Бадмаев Саян Валерьевич 032313598046# - ФРЕШ. Розница"/>
    <s v="Продажа"/>
    <s v="Агент"/>
    <m/>
    <n v="18100"/>
    <s v="Российский рубль"/>
    <s v="ИП Бадмаев Саян Валерьевич 032313598046#"/>
    <m/>
    <m/>
    <s v="нет"/>
    <d v="2026-08-13T11:36:12"/>
    <s v="Россинский Вадим"/>
    <d v="2026-08-27T00:03:35"/>
    <s v="ROBOT_M"/>
    <d v="2026-08-13T00:00:00"/>
    <d v="2026-08-20T00:00:00"/>
    <s v="1C:Фреш-1C:Предприятие 8 через Интернет. 1С:Розница на 12 мес. (&lt;&gt;)"/>
    <n v="18100"/>
    <n v="1"/>
    <m/>
    <m/>
    <m/>
    <m/>
    <m/>
    <n v="5"/>
    <d v="2026-08-13T11:38:49"/>
    <m/>
    <m/>
    <m/>
    <m/>
    <m/>
    <m/>
    <s v="Договор-оферта"/>
    <s v="Нет"/>
    <n v="1"/>
    <s v="Tpcmetall03@mail.ru"/>
    <s v="+7 983 432-23-15"/>
    <m/>
    <s v="г Улан-Удэ"/>
    <s v="ЦП. 1С и ИТС. Коммерция"/>
    <d v="2026-09-12T00:00:00"/>
    <m/>
    <m/>
    <m/>
    <m/>
    <m/>
    <n v="0"/>
    <s v="Саян"/>
    <m/>
    <m/>
    <m/>
    <n v="0"/>
    <m/>
    <s v="ФРДТ-018015"/>
    <m/>
    <s v="ЦП. 1С. Коммерция"/>
    <m/>
    <m/>
    <m/>
    <m/>
    <d v="2026-08-13T00:00:00"/>
    <m/>
    <m/>
    <s v="[CO]ООО НПФ &quot;ФОРУС&quot; 3812023430#"/>
    <s v="Сервисы"/>
    <m/>
    <m/>
    <s v="Коммерческие"/>
    <s v="Агент ЦРД"/>
    <s v="[CO]ИП Нуртынов Леонид Владимирович 030801055096#"/>
    <s v="Обычный"/>
    <m/>
    <m/>
    <s v="#Загружено из Битрикс-Коробка#"/>
    <m/>
    <m/>
    <m/>
    <s v="Фреш Коммерс Базовый"/>
    <m/>
    <m/>
    <m/>
    <m/>
    <m/>
    <m/>
    <s v="Не было отгрузок"/>
    <m/>
    <m/>
    <m/>
    <m/>
    <s v="Нет"/>
    <m/>
    <m/>
    <m/>
    <s v="ФРЕШ. Розница"/>
    <s v="1С:Розница"/>
    <m/>
    <m/>
    <m/>
    <m/>
    <s v="Уточнить потребности / Дать тест. доступ"/>
    <s v="ФРЕШ и ГРМ"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13T11:38: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8066"/>
    <m/>
    <s v="ИП Бадмаев Саян Валерьевич 032313598046#"/>
    <s v="Клиент"/>
    <s v="менее 50"/>
    <s v="ROBOT"/>
    <m/>
    <s v="Информационные технологии"/>
    <s v="0.00"/>
    <s v="Российский рубль"/>
    <m/>
    <s v="Россинский Вадим"/>
    <d v="2026-08-13T11:15:28"/>
    <s v="ROBOT_M"/>
    <d v="2026-08-13T11:55:56"/>
    <m/>
    <m/>
    <n v="79834322315"/>
    <m/>
    <m/>
    <m/>
    <m/>
    <m/>
    <m/>
    <m/>
    <m/>
    <m/>
    <m/>
    <m/>
    <m/>
    <s v="tpcmetall03@mail.ru"/>
    <m/>
    <m/>
    <m/>
    <m/>
    <m/>
    <m/>
    <m/>
    <m/>
    <m/>
    <m/>
    <m/>
    <m/>
    <m/>
    <m/>
    <m/>
    <m/>
    <n v="0"/>
    <m/>
    <m/>
    <m/>
    <s v="41.20 Строительство жилых и нежилых зданий"/>
    <m/>
    <s v="Нет"/>
    <m/>
    <m/>
    <s v="Бадмаев Саян Валерьевич, Инн 032313598046"/>
    <s v="г Улан-Удэ"/>
    <n v="32313598046"/>
    <m/>
    <m/>
    <m/>
    <m/>
    <m/>
    <m/>
    <m/>
    <s v="Свой контакт (Менеджер)"/>
    <m/>
    <s v="Коммерческие"/>
    <s v="ИП"/>
    <n v="128709"/>
    <s v="Республика Бурятия 0 часов"/>
    <m/>
    <m/>
    <m/>
    <s v="Нет"/>
    <m/>
    <m/>
    <m/>
    <m/>
    <s v="Нет"/>
    <s v="Строительство"/>
    <m/>
    <m/>
    <m/>
    <s v="273a6e17-dfbd-460f-84bb-7130052b480a"/>
  </r>
  <r>
    <n v="318072"/>
    <s v="ЦП. 1С и ФРЕШ. Продления"/>
    <s v="Y"/>
    <s v="N"/>
    <x v="4"/>
    <m/>
    <m/>
    <m/>
    <m/>
    <m/>
    <s v="Багланова Антонина"/>
    <m/>
    <s v="1С КП ПРОФ 16.10.2026 ИРКУТСКИЙ ОБЛАСТНОЙ ПРОФСОЮЗ ЖИЗНЕОБЕСПЕЧЕНИЯ 3809015214#"/>
    <s v="Первое продление"/>
    <s v="Канбан продаж"/>
    <s v="1С. Продажи"/>
    <s v="0.00"/>
    <s v="Российский рубль"/>
    <s v="ИРКУТСКИЙ ОБЛАСТНОЙ ПРОФСОЮЗ ЖИЗНЕОБЕСПЕЧЕНИЯ 3809015214#"/>
    <s v="Руденко Инна Владимировна"/>
    <m/>
    <s v="нет"/>
    <d v="2026-08-13T10:44:36"/>
    <s v="Багланова Антонина"/>
    <d v="2026-08-17T09:02:10"/>
    <s v="ROBOT_M"/>
    <d v="2026-07-17T00:00:00"/>
    <d v="2026-08-13T00:00:00"/>
    <m/>
    <m/>
    <m/>
    <m/>
    <m/>
    <m/>
    <m/>
    <m/>
    <n v="5"/>
    <d v="2026-08-17T09:02:08"/>
    <m/>
    <m/>
    <m/>
    <m/>
    <m/>
    <m/>
    <m/>
    <s v="Нет"/>
    <m/>
    <m/>
    <m/>
    <m/>
    <s v="Иркутск г"/>
    <s v="ЦП. 1С и ИТС. Коммерция"/>
    <d v="2026-10-16T00:00:00"/>
    <m/>
    <m/>
    <m/>
    <m/>
    <m/>
    <m/>
    <m/>
    <m/>
    <m/>
    <m/>
    <m/>
    <m/>
    <m/>
    <m/>
    <s v="ЦП. 1С. Коммерция"/>
    <m/>
    <m/>
    <m/>
    <m/>
    <m/>
    <m/>
    <m/>
    <m/>
    <m/>
    <m/>
    <m/>
    <s v="Коммерческие"/>
    <m/>
    <m/>
    <s v="Обычный"/>
    <m/>
    <m/>
    <m/>
    <m/>
    <m/>
    <m/>
    <m/>
    <m/>
    <n v="313440"/>
    <n v="3"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 КП ПРОФ"/>
    <s v="Контроль сделки"/>
    <s v="Необработанные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s v="В работе"/>
    <m/>
    <s v="Не было оплат"/>
    <m/>
    <s v="1С КП Купон"/>
    <s v="Да"/>
    <s v="Нет"/>
    <m/>
    <m/>
    <s v="Не было отгрузок"/>
    <m/>
    <m/>
    <m/>
    <m/>
    <m/>
    <s v="Не запущен"/>
    <m/>
    <m/>
    <m/>
    <m/>
    <m/>
    <m/>
    <m/>
    <s v="Нет"/>
    <s v="БП не запускался. Нет сделки продлений"/>
    <m/>
    <m/>
    <m/>
    <s v="ОбщДвиж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Продление (для хранения сделок)"/>
    <m/>
    <m/>
    <m/>
    <m/>
    <m/>
    <d v="2026-08-13T10:44:36"/>
    <d v="2026-08-27T13:24:50"/>
    <m/>
    <m/>
    <m/>
    <m/>
    <m/>
    <m/>
    <m/>
    <m/>
    <m/>
    <m/>
    <m/>
    <m/>
    <m/>
    <m/>
    <m/>
    <m/>
    <m/>
    <m/>
    <m/>
    <n v="186477"/>
    <m/>
    <m/>
    <s v="Инна"/>
    <s v="Руденко"/>
    <s v="Владимировна"/>
    <m/>
    <m/>
    <m/>
    <s v="ROBOT"/>
    <s v="&amp;#91;Автор=Не авторизован&amp;#93;"/>
    <m/>
    <m/>
    <s v="Да"/>
    <s v="ROBOT_M"/>
    <d v="2021-07-09T13:53:23"/>
    <s v="ROBOT"/>
    <d v="2026-08-14T10:39:53"/>
    <m/>
    <n v="73952214677"/>
    <n v="79025610105"/>
    <m/>
    <m/>
    <m/>
    <m/>
    <m/>
    <m/>
    <m/>
    <m/>
    <m/>
    <m/>
    <m/>
    <m/>
    <s v="rudenko_iv@irkvkx.ru"/>
    <m/>
    <m/>
    <m/>
    <m/>
    <m/>
    <m/>
    <m/>
    <m/>
    <m/>
    <m/>
    <m/>
    <m/>
    <m/>
    <m/>
    <m/>
    <s v="Иркутск г"/>
    <d v="2021-02-27T00:00:00"/>
    <s v="Да"/>
    <m/>
    <s v="Иркутская область 0 часов"/>
    <m/>
    <m/>
    <s v="Нет"/>
    <s v="f3b41cb8-2b0f-4d27-98d3-85867ae05a7f"/>
    <n v="124449"/>
    <m/>
    <s v="ИРКУТСКИЙ ОБЛАСТНОЙ ПРОФСОЮЗ ЖИЗНЕОБЕСПЕЧЕНИЯ 3809015214#"/>
    <s v="Клиент"/>
    <m/>
    <s v="ROBOT"/>
    <m/>
    <m/>
    <m/>
    <s v="Российский рубль"/>
    <m/>
    <s v="ROBOT_M"/>
    <d v="2021-07-07T09:48:07"/>
    <s v="ROBOT_M"/>
    <d v="2026-08-14T10:39:54"/>
    <m/>
    <n v="147904429563"/>
    <m/>
    <m/>
    <m/>
    <m/>
    <m/>
    <m/>
    <m/>
    <m/>
    <m/>
    <m/>
    <m/>
    <m/>
    <m/>
    <s v="oit@irkkx.ru, irkprofjkh@mail.ru"/>
    <m/>
    <m/>
    <m/>
    <m/>
    <m/>
    <m/>
    <m/>
    <m/>
    <m/>
    <m/>
    <m/>
    <m/>
    <m/>
    <m/>
    <m/>
    <m/>
    <n v="1"/>
    <s v="irkprofjkh@mail.ru"/>
    <d v="1999-06-25T00:00:00"/>
    <m/>
    <s v="94.20 Деятельность профессиональных союзов"/>
    <m/>
    <s v="Нет"/>
    <d v="2011-04-26T00:00:00"/>
    <d v="2023-02-20T00:00:00"/>
    <s v="Иркутский областной профсоюз жизнеобеспечения"/>
    <s v="Иркутск г"/>
    <n v="3809015214"/>
    <m/>
    <m/>
    <m/>
    <m/>
    <m/>
    <m/>
    <m/>
    <m/>
    <m/>
    <s v="Коммерческие"/>
    <s v="ОбщДвиж"/>
    <n v="4054"/>
    <s v="Иркутская область 0 часов"/>
    <m/>
    <m/>
    <m/>
    <m/>
    <m/>
    <m/>
    <m/>
    <m/>
    <s v="Нет"/>
    <s v="Фонды, ассоциации, профсоюзы и иные объединения"/>
    <m/>
    <m/>
    <m/>
    <s v="934235d2-51a8-4b59-b034-6adf4edc1985"/>
  </r>
  <r>
    <n v="318061"/>
    <s v="ЦП. ФРЕШ. Продажи"/>
    <s v="Y"/>
    <s v="N"/>
    <x v="6"/>
    <m/>
    <m/>
    <m/>
    <m/>
    <m/>
    <s v="Россинский Вадим"/>
    <s v="ONE_C"/>
    <s v="ООО &quot;СФЕРА&quot; 3811465757# - ФРЕШ. Сервисы"/>
    <s v="Продажа"/>
    <s v="Звонок"/>
    <m/>
    <n v="1400"/>
    <s v="Российский рубль"/>
    <s v="ООО &quot;СФЕРА&quot; 3811465757#"/>
    <m/>
    <m/>
    <s v="нет"/>
    <d v="2026-08-13T09:01:30"/>
    <s v="Россинский Вадим"/>
    <d v="2026-09-01T00:10:46"/>
    <s v="ROBOT"/>
    <d v="2026-08-13T00:00:00"/>
    <d v="2026-08-20T00:00:00"/>
    <s v="1С-ЭДО. ЭПД-200 на 12 месяцев"/>
    <n v="1400"/>
    <n v="1"/>
    <m/>
    <m/>
    <m/>
    <m/>
    <m/>
    <n v="5"/>
    <d v="2026-08-18T16:24:56"/>
    <m/>
    <m/>
    <m/>
    <m/>
    <m/>
    <m/>
    <s v="Договор-оферта"/>
    <s v="Нет"/>
    <n v="1"/>
    <s v="sferairk@list.ru"/>
    <s v="+7 902 170-68-07"/>
    <m/>
    <s v="ИРКУТСК"/>
    <s v="ЦП. 1С и ИТС. Коммерция"/>
    <d v="2026-09-12T00:00:00"/>
    <m/>
    <m/>
    <m/>
    <m/>
    <m/>
    <n v="1"/>
    <m/>
    <m/>
    <m/>
    <m/>
    <n v="2"/>
    <m/>
    <s v="ФРДТ-018012"/>
    <m/>
    <s v="ЦП. 1С. Коммерция"/>
    <m/>
    <m/>
    <m/>
    <m/>
    <d v="2026-08-13T00:00:00"/>
    <m/>
    <m/>
    <s v="[CO]ООО НПФ &quot;ФОРУС&quot; 3812023430#"/>
    <s v="Сервисы"/>
    <m/>
    <m/>
    <s v="Коммерческие"/>
    <m/>
    <m/>
    <s v="Обычный"/>
    <m/>
    <m/>
    <s v="#Загружено из Битрикс-Коробка#"/>
    <m/>
    <m/>
    <m/>
    <s v="1С-ЭДО ЭПД"/>
    <m/>
    <m/>
    <m/>
    <m/>
    <m/>
    <m/>
    <s v="Не было отгрузок"/>
    <m/>
    <m/>
    <m/>
    <m/>
    <s v="Нет"/>
    <m/>
    <m/>
    <m/>
    <s v="ФРЕШ. Сервисы"/>
    <s v="Не требуется указание"/>
    <m/>
    <m/>
    <m/>
    <m/>
    <s v="Уточнить потребности / Дать тест. доступ"/>
    <s v="ФРЕШ и ГРМ"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18T16:24:56"/>
    <d v="2026-08-26T10:52: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5727"/>
    <m/>
    <s v="ООО &quot;СФЕРА&quot; 3811465757#"/>
    <s v="Клиент"/>
    <m/>
    <s v="ROBOT"/>
    <m/>
    <m/>
    <m/>
    <s v="Российский рубль"/>
    <m/>
    <s v="Шелемина Кристина"/>
    <d v="2023-04-27T13:33:38"/>
    <s v="ROBOT_UT"/>
    <d v="2026-09-01T00:10:46"/>
    <m/>
    <m/>
    <n v="79021706807"/>
    <m/>
    <m/>
    <m/>
    <m/>
    <m/>
    <m/>
    <m/>
    <m/>
    <m/>
    <m/>
    <m/>
    <m/>
    <s v="sferairk@list.ru"/>
    <m/>
    <m/>
    <m/>
    <m/>
    <m/>
    <m/>
    <m/>
    <m/>
    <m/>
    <m/>
    <m/>
    <s v="imol|ank_chats_app24_whatsapp|32|79021706807|17289"/>
    <m/>
    <m/>
    <n v="17289"/>
    <m/>
    <n v="0"/>
    <s v="sferairk@list.ru"/>
    <d v="2019-11-15T00:00:00"/>
    <m/>
    <s v="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"/>
    <m/>
    <s v="Нет"/>
    <d v="2023-04-28T00:00:00"/>
    <d v="2025-06-30T00:00:00"/>
    <s v="СФЕРА ООО"/>
    <s v="ИРКУТСК"/>
    <n v="3811465757"/>
    <m/>
    <m/>
    <m/>
    <m/>
    <s v="sferairk@list.ru"/>
    <m/>
    <m/>
    <s v="Свой контакт (Менеджер)"/>
    <m/>
    <s v="Коммерческие"/>
    <s v="ООО"/>
    <n v="95869"/>
    <s v="Иркутская область 0 часов"/>
    <m/>
    <m/>
    <m/>
    <s v="Да, компания работает"/>
    <s v="[C]Макарчук Вера Владимировна"/>
    <m/>
    <m/>
    <m/>
    <s v="Нет"/>
    <s v="Строительство"/>
    <m/>
    <m/>
    <m/>
    <s v="3c1c936e-25c2-4f1c-8065-edf66fe20672"/>
  </r>
  <r>
    <n v="318050"/>
    <s v="1С. Комплексные продажи"/>
    <s v="N"/>
    <s v="N"/>
    <x v="11"/>
    <m/>
    <s v="Савинская Евгения Россинский Вадим"/>
    <m/>
    <m/>
    <m/>
    <s v="Россинский Вадим"/>
    <m/>
    <s v="Квиз ЦП.Фреш: Демонстрация УНФ"/>
    <s v="Продажа"/>
    <s v="Квиз"/>
    <s v="marquiz.ru ЦП.Фреш: Демонстрация УНФ"/>
    <s v="0.00"/>
    <s v="Российский рубль"/>
    <m/>
    <s v="Александр"/>
    <m/>
    <s v="нет"/>
    <d v="2026-08-12T17:53:28"/>
    <s v="Россинский Вадим"/>
    <d v="2026-08-13T09:55:00"/>
    <s v="ROBOT"/>
    <d v="2026-08-12T00:00:00"/>
    <d v="2026-08-19T00:00:00"/>
    <m/>
    <m/>
    <m/>
    <s v="[p] [b]Чем вы занимаетесь?[/b] Торговля (оптовая, розничная) [/p] [p] [b]Какие задачи хотите решить с помощью программы?[/b] Видеть движения средств [/p] [p] [b]Сколько человек будет работать в программе?[/b] 3-5 [/p] [p][/p] [p] [b]Местоположение[/b]: Россия, Улан-Удэ [b]Страница[/b]: [url]https://mrqz.me/64a4fe841f5b5f0025ce34e1?utm_source=yandex&amp;utm_medium=cpc&amp;utm_campaign=mk_1cfresh_quiz_unf_1cdlya_h_1c_17_705141204&amp;utm_content=1906099911443884693&amp;utm_term=---autotargeting&amp;etext=2202.zNuxrEG-ETF6HYV8ISV8B9GoFaELTSOrtc2OJ8cn7k4v5-UOp6EdR9d9DJiO2epUFn3wxtHrYBjSLL1TU9Bh1XNlfj1MzoxWZOeo5f6huADHFRoPy226R8tkVm6tWveueGZibHRibWd0YWdwZWRqcw.26f7e02bb9f5dc4a33a532861075821f960c5c5e&amp;yclid=7636047980427739135[/url] [/p] [p] [b]Согласия[/b]: Я согласен на обработку персональных данных: Да [/p]"/>
    <m/>
    <m/>
    <m/>
    <m/>
    <n v="15488"/>
    <d v="2026-08-13T09:55:00"/>
    <m/>
    <s v="yandex"/>
    <s v="cpc"/>
    <s v="mk_1cfresh_quiz_unf_1cdlya_h_1c_17_705141204"/>
    <n v="1.9060999114438799E+18"/>
    <s v="---autotargeting"/>
    <m/>
    <s v="Нет"/>
    <n v="1"/>
    <s v="kolesov.doz@bk.ru"/>
    <n v="79146388460"/>
    <m/>
    <m/>
    <s v="ЦП. 1С и ИТС. Коммерция"/>
    <m/>
    <m/>
    <m/>
    <m/>
    <m/>
    <m/>
    <m/>
    <s v="Александр"/>
    <s v="[b]Чем вы занимаетесь?[/b] Торговля (оптовая, розничная) [b]Какие задачи хотите решить с помощью программы?[/b] Видеть движения средств [b]Сколько человек будет работать в программе?[/b] 3-5 [b]Местоположение[/b]: Россия, Улан-Удэ [b]Страница[/b]: [url=https://mrqz.me/64a4fe841f5b5f0025ce34e1?utm_source=yandex&amp;amp;utm_medium=cpc&amp;amp;utm_campaign=mk_1cfresh_quiz_unf_1cdlya_h_1c_17_705141204&amp;amp;utm_content=1906099911443884693&amp;amp;utm_term=---autotargeting&amp;amp;etext=2202.zNuxrEG-ETF6HYV8ISV8B9GoFaELTSOrtc2OJ8cn7k4v5-UOp6EdR9d9DJiO2epUFn3wxtHrYBjSLL1TU9Bh1XNlfj1MzoxWZOeo5f6huADHFRoPy226R8tkVm6tWveueGZibHRibWd0YWdwZWRqcw.26f7e02bb9f5dc4a33a532861075821f960c5c5e&amp;amp;yclid=7636047980427739135]https://mrqz.me/64a4fe841f5b5f0025ce34e1?utm_source=yandex&amp;amp;utm_medium=cpc&amp;amp;utm_campaign=mk_1cfresh_quiz_unf_1cdlya_h_1c_17_705141204&amp;amp;utm_content=1906099911443884693&amp;amp;utm_term=---autotargeting&amp;amp;etext=2202.zNuxrEG-ETF6HYV8ISV8B9GoFaELTSOrtc2OJ8cn7k4v5-UOp6EdR9d9DJiO2epUFn3wxtHrYBjSLL1TU9Bh1XNlfj1MzoxWZOeo5f6huADHFRoPy226R8tkVm6tWveueGZibHRibWd0YWdwZWRqcw.26f7e02bb9f5dc4a33a532861075821f960c5c5e&amp;amp;yclid=7636047980427739135[/url] [b]Согласия[/b]: Я согласен на обработку персональных данных: Да"/>
    <m/>
    <m/>
    <n v="0"/>
    <m/>
    <m/>
    <m/>
    <s v="ЦП. 1С. Коммерция"/>
    <m/>
    <m/>
    <m/>
    <m/>
    <m/>
    <m/>
    <m/>
    <m/>
    <m/>
    <m/>
    <m/>
    <m/>
    <m/>
    <m/>
    <s v="Обычный"/>
    <m/>
    <m/>
    <m/>
    <m/>
    <m/>
    <n v="264560"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s v="Необработанные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Необработанные"/>
    <m/>
    <m/>
    <m/>
    <m/>
    <m/>
    <d v="2026-08-12T17:53:28"/>
    <d v="2026-08-12T17:33:05"/>
    <m/>
    <m/>
    <m/>
    <m/>
    <m/>
    <m/>
    <m/>
    <m/>
    <m/>
    <m/>
    <m/>
    <m/>
    <m/>
    <m/>
    <m/>
    <m/>
    <m/>
    <m/>
    <m/>
    <n v="397713"/>
    <m/>
    <m/>
    <s v="Александр"/>
    <m/>
    <m/>
    <m/>
    <m/>
    <s v="Клиенты"/>
    <s v="ROBOT"/>
    <s v="[b]Чем вы занимаетесь?[/b] Торговля (оптовая, розничная) [b]Какие задачи хотите решить с помощью программы?[/b] Видеть движения средств [b]Сколько человек будет работать в программе?[/b] 3-5 [b]Местоположение[/b]: Россия, Улан-Удэ [b]Страница[/b]: [url=https://mrqz.me/64a4fe841f5b5f0025ce34e1?utm_source=yandex&amp;amp;utm_medium=cpc&amp;amp;utm_campaign=mk_1cfresh_quiz_unf_1cdlya_h_1c_17_705141204&amp;amp;utm_content=1906099911443884693&amp;amp;utm_term=---autotargeting&amp;amp;etext=2202.zNuxrEG-ETF6HYV8ISV8B9GoFaELTSOrtc2OJ8cn7k4v5-UOp6EdR9d9DJiO2epUFn3wxtHrYBjSLL1TU9Bh1XNlfj1MzoxWZOeo5f6huADHFRoPy226R8tkVm6tWveueGZibHRibWd0YWdwZWRqcw.26f7e02bb9f5dc4a33a532861075821f960c5c5e&amp;amp;yclid=7636047980427739135]https://mrqz.me/64a4fe841f5b5f0025ce34e1?utm_source=yandex&amp;amp;utm_medium=cpc&amp;amp;utm_campaign=mk_1cfresh_quiz_unf_1cdlya_h_1c_17_705141204&amp;amp;utm_content=1906099911443884693&amp;amp;utm_term=---autotargeting&amp;amp;etext=2202.zNuxrEG-ETF6HYV8ISV8B9GoFaELTSOrtc2OJ8cn7k4v5-UOp6EdR9d9DJiO2epUFn3wxtHrYBjSLL1TU9Bh1XNlfj1MzoxWZOeo5f6huADHFRoPy226R8tkVm6tWveueGZibHRibWd0YWdwZWRqcw.26f7e02bb9f5dc4a33a532861075821f960c5c5e&amp;amp;yclid=7636047980427739135[/url] [b]Согласия[/b]: Я согласен на обработку персональных данных: Да"/>
    <s v="Квиз"/>
    <s v="marquiz.ru ЦП.Фреш: Демонстрация УНФ"/>
    <s v="Да"/>
    <s v="Россинский Вадим"/>
    <d v="2026-08-12T17:53:24"/>
    <s v="ROBOT"/>
    <d v="2026-08-12T17:53:25"/>
    <m/>
    <m/>
    <n v="79146388460"/>
    <m/>
    <m/>
    <m/>
    <m/>
    <m/>
    <m/>
    <m/>
    <m/>
    <m/>
    <m/>
    <m/>
    <m/>
    <m/>
    <s v="kolesov.doz@bk.ru"/>
    <m/>
    <m/>
    <m/>
    <m/>
    <m/>
    <m/>
    <m/>
    <m/>
    <m/>
    <m/>
    <m/>
    <m/>
    <m/>
    <m/>
    <m/>
    <d v="2026-08-12T00:00:00"/>
    <s v="Да"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8041"/>
    <s v="1С. Комплексные продажи"/>
    <s v="N"/>
    <s v="N"/>
    <x v="11"/>
    <m/>
    <m/>
    <m/>
    <m/>
    <m/>
    <s v="Багланова Антонина"/>
    <s v="ONE_C"/>
    <s v="МЕДСТАНДАРТ ОПТИКА/ Переход с Розница. Салон оптики 2.3 на 3.0"/>
    <s v="Продажа"/>
    <s v="По рекомендации/ Почкование"/>
    <s v="От Жени Савинской"/>
    <n v="16000"/>
    <s v="Российский рубль"/>
    <s v="ООО &quot;МЕДСТАНДАРТ ОПТИКА&quot; 3811458326#"/>
    <s v="Адушеев Антон"/>
    <m/>
    <s v="нет"/>
    <d v="2026-08-12T17:14:07"/>
    <s v="Багланова Антонина"/>
    <d v="2026-08-24T13:48:49"/>
    <s v="Багланова Антонина"/>
    <d v="2026-08-12T00:00:00"/>
    <d v="2026-08-19T00:00:00"/>
    <s v="Оценка требований"/>
    <n v="4000"/>
    <n v="4"/>
    <m/>
    <m/>
    <m/>
    <m/>
    <m/>
    <n v="27"/>
    <d v="2026-08-12T17:39:27"/>
    <m/>
    <m/>
    <m/>
    <m/>
    <m/>
    <m/>
    <s v="Договор-оферта"/>
    <s v="Нет"/>
    <n v="0"/>
    <m/>
    <n v="79025777880"/>
    <m/>
    <m/>
    <s v="ЦП. 1С и ИТС. Коммерция"/>
    <m/>
    <m/>
    <m/>
    <m/>
    <m/>
    <m/>
    <m/>
    <s v="Антон"/>
    <m/>
    <m/>
    <m/>
    <n v="11"/>
    <m/>
    <s v="ФРДТ-018299"/>
    <m/>
    <s v="ЦП. 1С. Коммерция"/>
    <m/>
    <m/>
    <m/>
    <m/>
    <d v="2026-08-18T00:00:00"/>
    <m/>
    <m/>
    <s v="[CO]ООО НПФ &quot;ФОРУС&quot; 3812023430#"/>
    <s v="Оказание услуг"/>
    <m/>
    <m/>
    <m/>
    <m/>
    <m/>
    <s v="Обычный"/>
    <m/>
    <m/>
    <m/>
    <m/>
    <m/>
    <n v="264509"/>
    <s v="Услуги ЦСВ 1С консультации"/>
    <m/>
    <m/>
    <m/>
    <m/>
    <m/>
    <m/>
    <s v="Не было отгрузок"/>
    <m/>
    <m/>
    <m/>
    <m/>
    <s v="Нет"/>
    <m/>
    <m/>
    <m/>
    <m/>
    <m/>
    <m/>
    <m/>
    <m/>
    <m/>
    <m/>
    <s v="1С Программы и лицензии"/>
    <s v="1С Отраслевые решения"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s v="ЦСВ"/>
    <m/>
    <s v="Не запущен"/>
    <s v="Управление товарами и ценообразованием, Продажи и CRM, Закупки и поставщики, Интеграции"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24T13:48:38"/>
    <d v="2026-08-24T13:51:07"/>
    <m/>
    <m/>
    <m/>
    <m/>
    <m/>
    <m/>
    <m/>
    <m/>
    <m/>
    <m/>
    <m/>
    <m/>
    <m/>
    <m/>
    <m/>
    <m/>
    <m/>
    <m/>
    <m/>
    <n v="397704"/>
    <m/>
    <m/>
    <s v="Антон"/>
    <s v="Адушеев"/>
    <m/>
    <m/>
    <m/>
    <s v="Клиенты"/>
    <s v="ROBOT"/>
    <m/>
    <s v="По рекомендации/ Почкование"/>
    <s v="От Жени Савинской"/>
    <s v="Да"/>
    <s v="Багланова Антонина"/>
    <d v="2026-08-12T17:12:51"/>
    <s v="Багланова Антонина"/>
    <d v="2026-08-24T13:48:50"/>
    <m/>
    <m/>
    <n v="79025777880"/>
    <m/>
    <m/>
    <m/>
    <m/>
    <m/>
    <m/>
    <m/>
    <m/>
    <m/>
    <m/>
    <m/>
    <m/>
    <s v="328@medstd38.ru"/>
    <m/>
    <m/>
    <m/>
    <m/>
    <m/>
    <m/>
    <m/>
    <m/>
    <m/>
    <m/>
    <m/>
    <m/>
    <m/>
    <m/>
    <m/>
    <s v="Иркутск г"/>
    <d v="2026-08-12T00:00:00"/>
    <s v="Да"/>
    <m/>
    <s v="Иркутская область 0 часов"/>
    <m/>
    <m/>
    <s v="Нет"/>
    <s v="6f889d25-1f37-4b48-9711-78ee3b0b1bd0"/>
    <n v="258054"/>
    <m/>
    <s v="ООО &quot;МЕДСТАНДАРТ ОПТИКА&quot; 3811458326#"/>
    <s v="Клиент"/>
    <s v="менее 50"/>
    <s v="ROBOT"/>
    <m/>
    <s v="Информационные технологии"/>
    <s v="0.00"/>
    <s v="Российский рубль"/>
    <m/>
    <s v="Багланова Антонина"/>
    <d v="2026-08-12T17:38:35"/>
    <s v="ROBOT_M"/>
    <d v="2026-08-20T10:46:18"/>
    <m/>
    <m/>
    <m/>
    <m/>
    <m/>
    <m/>
    <m/>
    <m/>
    <m/>
    <m/>
    <m/>
    <m/>
    <m/>
    <m/>
    <m/>
    <s v="328@medstd38.ru"/>
    <m/>
    <m/>
    <m/>
    <m/>
    <m/>
    <m/>
    <m/>
    <m/>
    <m/>
    <m/>
    <m/>
    <m/>
    <m/>
    <m/>
    <m/>
    <m/>
    <n v="0"/>
    <s v="328@medstd38.ru"/>
    <d v="2018-10-29T00:00:00"/>
    <m/>
    <s v="47.78 Торговля розничная прочая в специализированных магазинах"/>
    <m/>
    <s v="Нет"/>
    <m/>
    <m/>
    <s v="ООО МЕДСТАНДАРТ ОПТИКА 3811458326"/>
    <s v="ИРКУТСК"/>
    <n v="3811458326"/>
    <m/>
    <m/>
    <m/>
    <m/>
    <s v="328@medstd38.ru"/>
    <m/>
    <m/>
    <s v="Свой контакт (Менеджер)"/>
    <m/>
    <s v="Коммерческие"/>
    <s v="ООО"/>
    <n v="128692"/>
    <s v="Иркутская область 0 часов"/>
    <m/>
    <m/>
    <m/>
    <s v="Нет"/>
    <m/>
    <m/>
    <m/>
    <m/>
    <s v="Нет"/>
    <s v="Торговля. Прочая"/>
    <m/>
    <m/>
    <m/>
    <s v="e0689230-a4d2-4692-8072-5b602b5c59a5"/>
  </r>
  <r>
    <n v="318039"/>
    <s v="ЦП. 1СБО. Продажи"/>
    <s v="N"/>
    <s v="N"/>
    <x v="4"/>
    <m/>
    <m/>
    <m/>
    <m/>
    <m/>
    <s v="Соболев Максим"/>
    <m/>
    <s v="CRM-форма, 12.08.2026 12:10:41"/>
    <s v="Продажа"/>
    <s v="CRM-форма"/>
    <s v="Форма контактных данных для открытых линий"/>
    <s v="0.00"/>
    <s v="Российский рубль"/>
    <m/>
    <s v="Ибрагим"/>
    <m/>
    <s v="нет"/>
    <d v="2026-08-12T17:10:41"/>
    <s v="Коптева Елена"/>
    <d v="2026-08-13T17:26:20"/>
    <m/>
    <d v="2026-08-12T00:00:00"/>
    <d v="2026-08-19T00:00:00"/>
    <m/>
    <m/>
    <m/>
    <m/>
    <m/>
    <m/>
    <m/>
    <m/>
    <n v="497"/>
    <d v="2026-08-12T17:19:42"/>
    <m/>
    <m/>
    <m/>
    <m/>
    <m/>
    <m/>
    <m/>
    <s v="Нет"/>
    <n v="2"/>
    <s v="IbSaydumov@alabuga.ru"/>
    <n v="79999121197"/>
    <m/>
    <m/>
    <s v="ЦП. 1С и ИТС. Коммерция"/>
    <d v="2026-09-21T00:00:00"/>
    <m/>
    <m/>
    <m/>
    <m/>
    <m/>
    <n v="0"/>
    <s v="Ибрагим"/>
    <m/>
    <m/>
    <m/>
    <n v="3"/>
    <m/>
    <m/>
    <m/>
    <s v="ЦП. 1С. Коммерция"/>
    <m/>
    <m/>
    <m/>
    <m/>
    <m/>
    <m/>
    <m/>
    <m/>
    <m/>
    <m/>
    <m/>
    <m/>
    <m/>
    <m/>
    <s v="Обычный"/>
    <m/>
    <m/>
    <m/>
    <m/>
    <m/>
    <n v="264519"/>
    <m/>
    <m/>
    <m/>
    <m/>
    <m/>
    <m/>
    <m/>
    <s v="Не было отгрузок"/>
    <m/>
    <m/>
    <m/>
    <m/>
    <s v="Нет"/>
    <s v="-"/>
    <s v="-"/>
    <s v="Необработанные"/>
    <m/>
    <m/>
    <m/>
    <m/>
    <m/>
    <m/>
    <m/>
    <m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s v="Нет"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13T17:19:47"/>
    <d v="2026-08-13T17:25:37"/>
    <m/>
    <m/>
    <m/>
    <m/>
    <m/>
    <m/>
    <m/>
    <m/>
    <m/>
    <m/>
    <m/>
    <m/>
    <m/>
    <m/>
    <m/>
    <m/>
    <m/>
    <m/>
    <m/>
    <n v="397702"/>
    <m/>
    <m/>
    <s v="Ибрагим"/>
    <m/>
    <m/>
    <m/>
    <m/>
    <s v="Клиенты"/>
    <s v="ROBOT"/>
    <m/>
    <s v="Свой контакт (Менеджер)"/>
    <m/>
    <s v="Да"/>
    <s v="Коптева Елена"/>
    <d v="2026-08-12T17:11:58"/>
    <s v="Соболев Максим"/>
    <d v="2026-08-12T17:21:42"/>
    <m/>
    <m/>
    <n v="79999121197"/>
    <m/>
    <m/>
    <m/>
    <m/>
    <m/>
    <m/>
    <m/>
    <m/>
    <m/>
    <m/>
    <m/>
    <m/>
    <s v="IbSaydumov@alabuga.ru"/>
    <m/>
    <m/>
    <m/>
    <m/>
    <m/>
    <m/>
    <m/>
    <m/>
    <m/>
    <m/>
    <m/>
    <m/>
    <m/>
    <m/>
    <m/>
    <m/>
    <d v="2026-08-12T00:00:00"/>
    <s v="Да"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8020"/>
    <s v="ЦП. 1С. Продажи"/>
    <s v="Y"/>
    <s v="N"/>
    <x v="1"/>
    <m/>
    <m/>
    <m/>
    <m/>
    <m/>
    <s v="Соболев Максим"/>
    <s v="ONE_C"/>
    <s v="ИП Смирнова Татьяна Александровна 380414900904# 1С Разовые услуги (консультации)"/>
    <s v="Продажа"/>
    <s v="Звонок"/>
    <s v="Звонок поступил на номер: ЦП 78-00-00 (62)."/>
    <n v="3660"/>
    <s v="Российский рубль"/>
    <s v="ИП Смирнова Татьяна Александровна 380414900904#"/>
    <s v="Смирнова Татьяна Александровна"/>
    <m/>
    <s v="нет"/>
    <d v="2026-08-12T16:01:28"/>
    <s v="Соболев Максим"/>
    <d v="2026-08-18T11:32:29"/>
    <s v="ROBOT"/>
    <d v="2026-08-12T00:00:00"/>
    <d v="2026-08-19T00:00:00"/>
    <s v="Линия консультаций и техподдержка 1С"/>
    <n v="3660"/>
    <n v="1"/>
    <m/>
    <m/>
    <m/>
    <m/>
    <m/>
    <n v="508"/>
    <d v="2026-08-18T10:53:40"/>
    <m/>
    <m/>
    <m/>
    <m/>
    <m/>
    <m/>
    <s v="Договор-оферта"/>
    <s v="Нет"/>
    <n v="1"/>
    <m/>
    <n v="79086649325"/>
    <m/>
    <s v="Братск г"/>
    <s v="ЦП. 1С и ИТС. Коммерция"/>
    <m/>
    <m/>
    <m/>
    <m/>
    <m/>
    <m/>
    <n v="0"/>
    <m/>
    <m/>
    <m/>
    <m/>
    <n v="1"/>
    <m/>
    <s v="ФРДТ-018144"/>
    <m/>
    <s v="ЦП. 1С. Коммерция"/>
    <m/>
    <m/>
    <m/>
    <m/>
    <d v="2026-08-15T00:00:00"/>
    <m/>
    <m/>
    <s v="[CO]ООО НПФ &quot;ФОРУС&quot; 3812023430#"/>
    <s v="Оказание услуг"/>
    <m/>
    <m/>
    <s v="Коммерческие"/>
    <m/>
    <m/>
    <s v="Обычный"/>
    <m/>
    <m/>
    <s v="#Загружено из Битрикс-Коробка#"/>
    <m/>
    <m/>
    <n v="264439"/>
    <s v="Услуги ЦСВ 1С консультации"/>
    <m/>
    <m/>
    <m/>
    <m/>
    <m/>
    <m/>
    <s v="Не было отгрузок"/>
    <m/>
    <m/>
    <m/>
    <m/>
    <s v="Нет"/>
    <m/>
    <m/>
    <m/>
    <m/>
    <m/>
    <m/>
    <m/>
    <m/>
    <m/>
    <m/>
    <s v="АРХИВ_1С Разовые услуги (консультации)"/>
    <m/>
    <m/>
    <s v="Не нужно"/>
    <m/>
    <m/>
    <m/>
    <s v="Отправить счет/договор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Отправить счет"/>
    <m/>
    <m/>
    <m/>
    <m/>
    <m/>
    <d v="2026-08-12T16:01:28"/>
    <d v="2026-08-31T11:13:38"/>
    <s v="Завершен"/>
    <m/>
    <m/>
    <m/>
    <m/>
    <m/>
    <m/>
    <m/>
    <m/>
    <m/>
    <m/>
    <m/>
    <m/>
    <m/>
    <m/>
    <m/>
    <m/>
    <m/>
    <m/>
    <n v="388962"/>
    <m/>
    <m/>
    <s v="Татьяна"/>
    <s v="Смирнова"/>
    <s v="Александровна"/>
    <m/>
    <m/>
    <s v="Клиенты"/>
    <s v="ROBOT"/>
    <m/>
    <s v="Свой контакт (Менеджер)"/>
    <m/>
    <s v="Да"/>
    <s v="Соболев Максим"/>
    <d v="2026-04-27T09:34:41"/>
    <s v="Соболев Максим"/>
    <d v="2026-08-03T13:34:50"/>
    <m/>
    <m/>
    <n v="79025615748"/>
    <m/>
    <m/>
    <m/>
    <m/>
    <m/>
    <m/>
    <m/>
    <m/>
    <m/>
    <m/>
    <m/>
    <m/>
    <s v="smirnova0579@icloud.com, smirnovatanya79@mail.ru"/>
    <m/>
    <m/>
    <m/>
    <m/>
    <m/>
    <m/>
    <m/>
    <m/>
    <m/>
    <m/>
    <m/>
    <m/>
    <m/>
    <m/>
    <m/>
    <s v="Братск г"/>
    <d v="2026-04-27T00:00:00"/>
    <s v="Да"/>
    <m/>
    <s v="Иркутская область 0 часов"/>
    <m/>
    <m/>
    <s v="Нет"/>
    <s v="c7e7b819-4d68-4998-8ca4-ff8a12e43ebb"/>
    <n v="251903"/>
    <m/>
    <s v="ИП Смирнова Татьяна Александровна 380414900904#"/>
    <s v="Клиент"/>
    <s v="менее 50"/>
    <s v="ROBOT"/>
    <m/>
    <s v="Информационные технологии"/>
    <m/>
    <s v="Российский рубль"/>
    <m/>
    <s v="Соболев Максим"/>
    <d v="2026-04-27T09:34:36"/>
    <s v="Дунаевская Светлана"/>
    <d v="2026-08-18T11:32:30"/>
    <m/>
    <m/>
    <m/>
    <m/>
    <m/>
    <m/>
    <m/>
    <m/>
    <m/>
    <m/>
    <m/>
    <m/>
    <m/>
    <m/>
    <m/>
    <s v="smirnovatanya79@mail.ru"/>
    <m/>
    <s v="smirnovatanya79@mail.ru"/>
    <m/>
    <m/>
    <m/>
    <m/>
    <m/>
    <m/>
    <m/>
    <m/>
    <m/>
    <m/>
    <m/>
    <m/>
    <m/>
    <m/>
    <n v="0"/>
    <s v="smirnovatanya79@mail.ru"/>
    <m/>
    <m/>
    <s v="47.52.5 Торговля розничная санитарно-техническим оборудованием в специализированных магазинах"/>
    <m/>
    <s v="Нет"/>
    <m/>
    <m/>
    <s v="ИП Смирнова Татьяна Александровна"/>
    <s v="Братск г"/>
    <n v="380414900904"/>
    <m/>
    <m/>
    <m/>
    <m/>
    <s v="smirnovatanya79@mail.ru"/>
    <m/>
    <m/>
    <s v="Звонок"/>
    <m/>
    <s v="Коммерческие"/>
    <s v="ИП"/>
    <n v="124331"/>
    <s v="Иркутская область 0 часов"/>
    <m/>
    <m/>
    <m/>
    <s v="Нет"/>
    <m/>
    <m/>
    <m/>
    <m/>
    <s v="Нет"/>
    <s v="Торговля. Прочая"/>
    <m/>
    <m/>
    <m/>
    <s v="a560d1b2-7494-4882-b5b4-4dd017a9a39f"/>
  </r>
  <r>
    <n v="318014"/>
    <s v="ЦП. 1С. Продажи"/>
    <s v="N"/>
    <s v="N"/>
    <x v="4"/>
    <m/>
    <s v="Савинская Евгения Россинский Вадим"/>
    <m/>
    <m/>
    <m/>
    <s v="Россинский Вадим"/>
    <m/>
    <s v="Холодный обзвон. Алтайский край. ООО ПК &quot;СПЕЦТЕХНОЖ&quot;"/>
    <s v="Продажа"/>
    <s v="Холодный обзвон"/>
    <s v="ЛИК:Эксперт. Апрель 26. Производственники"/>
    <s v="0.00"/>
    <s v="Российский рубль"/>
    <m/>
    <s v="ЛУНЕВ ПАВЕЛ ЮРЬЕВИЧ"/>
    <m/>
    <s v="нет"/>
    <d v="2026-08-12T15:38:16"/>
    <s v="Шкаруба Кристина"/>
    <d v="2026-08-25T14:55:19"/>
    <s v="Савинская Евгения"/>
    <d v="2026-08-12T00:00:00"/>
    <d v="2026-08-19T00:00:00"/>
    <m/>
    <m/>
    <m/>
    <s v="[p] Обработка металлов и нанесение покрытий на металлы [/p]"/>
    <m/>
    <m/>
    <m/>
    <m/>
    <n v="22154"/>
    <d v="2026-08-12T15:38:16"/>
    <m/>
    <m/>
    <m/>
    <m/>
    <m/>
    <m/>
    <m/>
    <s v="Нет"/>
    <n v="1"/>
    <s v="lunev_py@mail.ru"/>
    <n v="79231624097"/>
    <m/>
    <m/>
    <s v="ЦП. 1С и ИТС. Коммерция"/>
    <m/>
    <m/>
    <m/>
    <m/>
    <m/>
    <m/>
    <m/>
    <s v="ПАВЕЛ"/>
    <s v="Обработка металлов и нанесение покрытий на металлы"/>
    <m/>
    <m/>
    <n v="0"/>
    <m/>
    <m/>
    <m/>
    <s v="ЦП. 1С. Коммерция"/>
    <m/>
    <m/>
    <m/>
    <m/>
    <m/>
    <m/>
    <m/>
    <m/>
    <m/>
    <m/>
    <m/>
    <m/>
    <m/>
    <m/>
    <s v="Обычный"/>
    <m/>
    <m/>
    <m/>
    <m/>
    <m/>
    <n v="236101"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s v="Необработанные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Необработанные"/>
    <m/>
    <m/>
    <m/>
    <m/>
    <m/>
    <d v="2026-08-12T15:38:16"/>
    <d v="2026-08-12T13:12:12"/>
    <m/>
    <m/>
    <m/>
    <m/>
    <m/>
    <m/>
    <m/>
    <m/>
    <m/>
    <m/>
    <m/>
    <m/>
    <m/>
    <m/>
    <m/>
    <m/>
    <m/>
    <m/>
    <m/>
    <n v="397684"/>
    <m/>
    <m/>
    <s v="ПАВЕЛ"/>
    <s v="ЛУНЕВ"/>
    <s v="ЮРЬЕВИЧ"/>
    <m/>
    <s v="ГЕНЕРАЛЬНЫЙ ДИРЕКТОР"/>
    <s v="Клиенты"/>
    <s v="ROBOT"/>
    <s v="Обработка металлов и нанесение покрытий на металлы"/>
    <s v="Холодный обзвон"/>
    <s v="ЛИК:Эксперт. Апрель 26. Производственники"/>
    <s v="Да"/>
    <s v="Шкаруба Кристина"/>
    <d v="2026-08-12T15:37:51"/>
    <s v="ROBOT"/>
    <d v="2026-08-12T15:37:52"/>
    <m/>
    <m/>
    <n v="79231624097"/>
    <m/>
    <m/>
    <m/>
    <m/>
    <m/>
    <m/>
    <m/>
    <m/>
    <m/>
    <m/>
    <m/>
    <m/>
    <s v="lunev_py@mail.ru"/>
    <m/>
    <m/>
    <m/>
    <m/>
    <m/>
    <m/>
    <m/>
    <m/>
    <m/>
    <m/>
    <m/>
    <m/>
    <m/>
    <m/>
    <m/>
    <m/>
    <d v="2026-08-12T00:00:00"/>
    <s v="Да"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8013"/>
    <s v="ЦП. ФРЕШ. Продажи"/>
    <s v="Y"/>
    <s v="N"/>
    <x v="3"/>
    <m/>
    <m/>
    <m/>
    <m/>
    <m/>
    <s v="Россинский Вадим"/>
    <s v="ONE_C"/>
    <s v="ФРЕШ. Сервисы - ИП МАКАРЕНКО СЕРГЕЙ НИКОЛАЕВИЧ 380405070943#"/>
    <s v="Продажа"/>
    <s v="Звонок"/>
    <s v="Звонок поступил на номер: ЦП 78-00-00 (62)."/>
    <n v="5000"/>
    <s v="Российский рубль"/>
    <s v="ИП МАКАРЕНКО СЕРГЕЙ НИКОЛАЕВИЧ 380405070943#"/>
    <s v="Мария"/>
    <m/>
    <s v="нет"/>
    <d v="2026-08-12T15:38:08"/>
    <s v="Россинский Вадим"/>
    <d v="2026-08-17T00:03:37"/>
    <s v="ROBOT_M"/>
    <d v="2026-08-12T00:00:00"/>
    <d v="2026-08-19T00:00:00"/>
    <s v="1С-ЭДО. ЭПД-1000 на 12 месяцев"/>
    <n v="5000"/>
    <n v="1"/>
    <m/>
    <m/>
    <m/>
    <m/>
    <m/>
    <n v="15488"/>
    <d v="2026-08-12T15:47:14"/>
    <m/>
    <m/>
    <m/>
    <m/>
    <m/>
    <m/>
    <s v="Договор-оферта"/>
    <s v="Нет"/>
    <n v="1"/>
    <s v="stm_buh2021@mail.ru"/>
    <n v="79915418025"/>
    <m/>
    <m/>
    <s v="ЦП. 1С и ИТС. Коммерция"/>
    <d v="2026-09-11T00:00:00"/>
    <m/>
    <m/>
    <m/>
    <d v="2026-09-11T00:00:00"/>
    <m/>
    <n v="0"/>
    <m/>
    <m/>
    <m/>
    <m/>
    <n v="1"/>
    <m/>
    <s v="ФРДТ-017979"/>
    <m/>
    <s v="ЦП. 1С. Коммерция"/>
    <m/>
    <m/>
    <m/>
    <m/>
    <d v="2026-08-12T00:00:00"/>
    <m/>
    <m/>
    <s v="[CO]ООО НПФ &quot;ФОРУС&quot; 3812023430#"/>
    <s v="Сервисы"/>
    <m/>
    <m/>
    <m/>
    <m/>
    <m/>
    <s v="Обычный"/>
    <m/>
    <m/>
    <s v="#Загружено из Битрикс-Коробка#"/>
    <m/>
    <m/>
    <n v="264481"/>
    <s v="1С-ЭДО Предоплаченные ТП"/>
    <m/>
    <m/>
    <m/>
    <m/>
    <m/>
    <m/>
    <s v="Не было отгрузок"/>
    <m/>
    <m/>
    <m/>
    <m/>
    <s v="Нет"/>
    <m/>
    <m/>
    <m/>
    <s v="ФРЕШ. Сервисы"/>
    <s v="Не требуется указание"/>
    <n v="280459"/>
    <m/>
    <m/>
    <m/>
    <s v="Контроль оплаты"/>
    <s v="ФРЕШ и ГРМ"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12T15:38:45"/>
    <d v="2026-08-12T15:46:55"/>
    <m/>
    <m/>
    <m/>
    <m/>
    <m/>
    <m/>
    <m/>
    <m/>
    <m/>
    <m/>
    <m/>
    <m/>
    <m/>
    <m/>
    <m/>
    <m/>
    <m/>
    <m/>
    <m/>
    <n v="297969"/>
    <m/>
    <m/>
    <s v="Мария"/>
    <m/>
    <m/>
    <m/>
    <s v="Бухгалтер"/>
    <m/>
    <s v="ROBOT"/>
    <s v="[Редактор=Павлова Ульяна Григорьевна]"/>
    <m/>
    <m/>
    <s v="Да"/>
    <s v="Павлова Ульяна"/>
    <d v="2022-12-07T14:39:32"/>
    <s v="Дунаевская Светлана"/>
    <d v="2026-08-14T06:44:36"/>
    <m/>
    <m/>
    <n v="79915418025"/>
    <m/>
    <m/>
    <m/>
    <m/>
    <m/>
    <m/>
    <m/>
    <m/>
    <m/>
    <m/>
    <m/>
    <m/>
    <s v="stm_buh2021@mail.ru, elizarieva_stm@mail.ru"/>
    <m/>
    <m/>
    <m/>
    <m/>
    <m/>
    <m/>
    <m/>
    <m/>
    <m/>
    <m/>
    <m/>
    <m/>
    <m/>
    <m/>
    <m/>
    <m/>
    <d v="2022-12-07T00:00:00"/>
    <s v="Да"/>
    <m/>
    <s v="Иркутская область 0 часов"/>
    <m/>
    <m/>
    <s v="Нет"/>
    <s v="8148ccd2-31c8-4147-b610-dc7bb4960554"/>
    <n v="214940"/>
    <m/>
    <s v="ИП МАКАРЕНКО СЕРГЕЙ НИКОЛАЕВИЧ 380405070943#"/>
    <s v="Клиент. Группа компаний"/>
    <s v="менее 50"/>
    <s v="ROBOT"/>
    <m/>
    <s v="Информационные технологии"/>
    <m/>
    <s v="Российский рубль"/>
    <m/>
    <s v="Павлова Ульяна"/>
    <d v="2023-12-07T15:22:02"/>
    <s v="Дунаевская Светлана"/>
    <d v="2026-08-12T16:01:30"/>
    <m/>
    <m/>
    <m/>
    <m/>
    <m/>
    <m/>
    <m/>
    <m/>
    <m/>
    <m/>
    <m/>
    <m/>
    <m/>
    <m/>
    <m/>
    <s v="stm_buh2021@mail.ru"/>
    <m/>
    <m/>
    <m/>
    <m/>
    <m/>
    <m/>
    <m/>
    <m/>
    <m/>
    <m/>
    <m/>
    <m/>
    <m/>
    <m/>
    <m/>
    <m/>
    <n v="0"/>
    <m/>
    <m/>
    <m/>
    <s v="49.41 Деятельность автомобильного грузового транспорта"/>
    <s v="[CO]ООО &quot;АВТОСИЛА&quot; 3804112750#"/>
    <s v="Нет"/>
    <d v="2023-12-29T00:00:00"/>
    <d v="2023-12-29T00:00:00"/>
    <s v="ИП МАКАРЕНКО СЕРГЕЙ НИКОЛАЕВИЧ (Братск)"/>
    <s v="ГОРОД Братск"/>
    <n v="380405070943"/>
    <m/>
    <m/>
    <m/>
    <m/>
    <s v="stm_buh2021@mail.ru"/>
    <m/>
    <m/>
    <s v="Свой контакт (Менеджер)"/>
    <m/>
    <s v="Коммерческие"/>
    <s v="ИП"/>
    <n v="100184"/>
    <s v="Иркутская область 0 часов"/>
    <m/>
    <m/>
    <m/>
    <m/>
    <m/>
    <m/>
    <m/>
    <m/>
    <s v="Нет"/>
    <s v="Услуги. Перевозки, логистика, склад"/>
    <m/>
    <m/>
    <m/>
    <s v="ee148726-83ee-47b4-bbe3-9248250a841e"/>
  </r>
  <r>
    <n v="317999"/>
    <s v="ЦП. 1С. Продажи"/>
    <s v="N"/>
    <s v="Y"/>
    <x v="3"/>
    <m/>
    <m/>
    <m/>
    <m/>
    <m/>
    <s v="Багланова Антонина"/>
    <s v="ONE_C"/>
    <s v="ИП Добровольская Софья Андреевна 381112458103# - 1С: УНФ"/>
    <s v="Продажа"/>
    <s v="Звонок"/>
    <s v="Звонок поступил на номер: ЦП 78-00-00 (62)."/>
    <n v="7000"/>
    <s v="Российский рубль"/>
    <s v="ИП Добровольская Софья Андреевна 381112458103#"/>
    <s v="Пестерева Ольга"/>
    <m/>
    <s v="нет"/>
    <d v="2026-08-12T14:42:14"/>
    <s v="Багланова Антонина"/>
    <d v="2026-09-02T00:03:45"/>
    <s v="ROBOT_M"/>
    <d v="2026-08-12T00:00:00"/>
    <d v="2026-08-19T00:00:00"/>
    <s v="1С:Управление нашей фирмой 8. Базовая версия. Электронная поставка"/>
    <n v="7000"/>
    <n v="1"/>
    <m/>
    <m/>
    <m/>
    <m/>
    <m/>
    <n v="27"/>
    <d v="2026-08-28T18:02:29"/>
    <m/>
    <m/>
    <m/>
    <m/>
    <m/>
    <m/>
    <s v="Договор-оферта"/>
    <s v="Нет"/>
    <n v="1"/>
    <m/>
    <n v="79500701801"/>
    <m/>
    <m/>
    <s v="ЦП. 1С и ИТС. Коммерция"/>
    <m/>
    <m/>
    <m/>
    <m/>
    <m/>
    <m/>
    <n v="0"/>
    <m/>
    <m/>
    <m/>
    <m/>
    <n v="7"/>
    <m/>
    <s v="ФРДТ-019170"/>
    <s v="[D]ИП Добровольская Софья Андреевна 381112458103# - 1С Разовые услуги"/>
    <s v="ЦП. 1С. Коммерция"/>
    <m/>
    <m/>
    <m/>
    <m/>
    <d v="2026-08-28T00:00:00"/>
    <m/>
    <m/>
    <s v="[CO]ООО НПФ &quot;ФОРУС&quot; 3812023430#"/>
    <s v="Сублицензионный"/>
    <m/>
    <m/>
    <m/>
    <m/>
    <m/>
    <s v="Обычный"/>
    <m/>
    <m/>
    <s v="#Загружено из Битрикс-Коробка#"/>
    <m/>
    <m/>
    <n v="264428"/>
    <s v="1С 8 УНФ"/>
    <m/>
    <m/>
    <m/>
    <m/>
    <m/>
    <m/>
    <s v="Не было отгрузок"/>
    <m/>
    <m/>
    <m/>
    <m/>
    <s v="Нет"/>
    <m/>
    <m/>
    <m/>
    <m/>
    <m/>
    <m/>
    <m/>
    <m/>
    <m/>
    <m/>
    <s v="1С Программы и лицензии"/>
    <s v="1С: УНФ"/>
    <s v="Эл. Поставка"/>
    <s v="Не нужно"/>
    <m/>
    <m/>
    <m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s v="Управление товарами и ценообразованием, Продажи и CRM, Закупки и поставщики, Интеграции"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9-02T00:02:55"/>
    <d v="2026-09-02T13:03:34"/>
    <m/>
    <s v="Завершен"/>
    <m/>
    <m/>
    <m/>
    <m/>
    <m/>
    <m/>
    <m/>
    <m/>
    <m/>
    <m/>
    <m/>
    <m/>
    <m/>
    <m/>
    <m/>
    <m/>
    <m/>
    <n v="352661"/>
    <m/>
    <m/>
    <s v="Ольга"/>
    <s v="Пестерева"/>
    <m/>
    <m/>
    <m/>
    <s v="Клиенты"/>
    <s v="ROBOT"/>
    <s v="[p] тп 1с о - 3301 [/p]"/>
    <s v="Звонок"/>
    <s v="Звонок поступил на номер: ЦП 78-00-00 (Общий) (62)."/>
    <s v="Да"/>
    <s v="Нечаева Елизавета"/>
    <d v="2024-12-17T14:58:59"/>
    <s v="Дунаевская Светлана"/>
    <d v="2026-08-14T06:44:31"/>
    <m/>
    <m/>
    <n v="79500701801"/>
    <m/>
    <m/>
    <m/>
    <m/>
    <m/>
    <m/>
    <m/>
    <m/>
    <m/>
    <m/>
    <m/>
    <m/>
    <s v="sht.irk@mail.ru"/>
    <m/>
    <m/>
    <s v="oap_0976@mail.ru"/>
    <m/>
    <m/>
    <m/>
    <m/>
    <m/>
    <m/>
    <m/>
    <m/>
    <m/>
    <m/>
    <m/>
    <m/>
    <s v="Иркутск г"/>
    <d v="2024-12-17T00:00:00"/>
    <s v="Да"/>
    <m/>
    <s v="Иркутская область 0 часов"/>
    <m/>
    <m/>
    <s v="Нет"/>
    <s v="8c048559-c33c-4e0f-ad6b-bffe4e5e2ba3"/>
    <n v="257379"/>
    <m/>
    <s v="ИП Добровольская Софья Андреевна 381112458103#"/>
    <s v="Клиент"/>
    <s v="менее 50"/>
    <s v="ROBOT"/>
    <m/>
    <s v="Информационные технологии"/>
    <s v="0.00"/>
    <s v="Российский рубль"/>
    <m/>
    <s v="Приходько Екатерина"/>
    <d v="2026-07-23T14:48:30"/>
    <s v="ROBOT_UT"/>
    <d v="2026-08-28T18:10:53"/>
    <m/>
    <m/>
    <m/>
    <m/>
    <m/>
    <m/>
    <m/>
    <m/>
    <m/>
    <m/>
    <m/>
    <m/>
    <m/>
    <m/>
    <m/>
    <s v="elena-pushkareva@yandex.ru"/>
    <m/>
    <m/>
    <m/>
    <m/>
    <m/>
    <m/>
    <m/>
    <m/>
    <m/>
    <m/>
    <m/>
    <m/>
    <m/>
    <m/>
    <m/>
    <m/>
    <n v="0"/>
    <m/>
    <m/>
    <m/>
    <s v="46.90 Торговля оптовая неспециализированная"/>
    <s v="[CO]ООО &quot;АТК&quot; 3849063084#"/>
    <s v="Нет"/>
    <m/>
    <m/>
    <s v="ИП Добровольская Софья Андреевна, Инн 381112458103"/>
    <s v="г Иркутск"/>
    <n v="381112458103"/>
    <m/>
    <m/>
    <m/>
    <m/>
    <m/>
    <m/>
    <m/>
    <s v="Свой контакт (Менеджер)"/>
    <m/>
    <s v="Коммерческие"/>
    <s v="ИП"/>
    <n v="128204"/>
    <s v="Иркутская область 0 часов"/>
    <m/>
    <m/>
    <m/>
    <s v="Нет"/>
    <m/>
    <m/>
    <m/>
    <m/>
    <s v="Нет"/>
    <s v="Торговля. Прочая"/>
    <m/>
    <m/>
    <m/>
    <s v="457cda7f-30fe-4ebd-b188-f94988cf16c7"/>
  </r>
  <r>
    <n v="317953"/>
    <s v="ЦП. 1С. Продажи"/>
    <s v="N"/>
    <s v="N"/>
    <x v="4"/>
    <m/>
    <m/>
    <m/>
    <m/>
    <m/>
    <s v="Россинский Вадим"/>
    <m/>
    <s v="Холодный обзвон. Приморский край.Торговые ООО &quot;КОМПАС - 25&quot;"/>
    <s v="Продажа"/>
    <s v="Холодный обзвон"/>
    <s v="ЛИК:Эксперт. Май 26. Торговые"/>
    <s v="0.00"/>
    <s v="Российский рубль"/>
    <s v="ООО &quot;КОМПАС - 25&quot; 2538122909#"/>
    <s v="Иванова Ольга Владимировна"/>
    <m/>
    <s v="нет"/>
    <d v="2026-08-12T10:27:36"/>
    <s v="Шкаруба Кристина"/>
    <d v="2026-08-12T10:37:01"/>
    <s v="ROBOT"/>
    <d v="2026-08-12T00:00:00"/>
    <d v="2026-08-19T00:00:00"/>
    <m/>
    <m/>
    <m/>
    <s v="[p] Торговля оптовая книгами, газетами и журналами, писчебумажными и канцелярскими товарами [/p]"/>
    <m/>
    <m/>
    <m/>
    <m/>
    <n v="22154"/>
    <d v="2026-08-12T10:27:36"/>
    <m/>
    <m/>
    <m/>
    <m/>
    <m/>
    <m/>
    <m/>
    <s v="Нет"/>
    <n v="1"/>
    <m/>
    <n v="79147075659"/>
    <m/>
    <m/>
    <s v="ЦП. 1С и ИТС. Коммерция"/>
    <m/>
    <m/>
    <m/>
    <m/>
    <m/>
    <m/>
    <m/>
    <s v="Ольга"/>
    <s v="Торговля оптовая книгами, газетами и журналами, писчебумажными и канцелярскими товарами"/>
    <m/>
    <m/>
    <n v="0"/>
    <m/>
    <m/>
    <m/>
    <s v="ЦП. 1С. Коммерция"/>
    <m/>
    <m/>
    <m/>
    <m/>
    <m/>
    <m/>
    <m/>
    <m/>
    <m/>
    <m/>
    <m/>
    <m/>
    <m/>
    <m/>
    <s v="Обычный"/>
    <m/>
    <m/>
    <m/>
    <m/>
    <m/>
    <n v="248583"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s v="Необработанные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Необработанные"/>
    <m/>
    <m/>
    <m/>
    <m/>
    <m/>
    <d v="2026-08-12T10:27:36"/>
    <d v="2026-08-12T10:23:50"/>
    <m/>
    <m/>
    <m/>
    <m/>
    <m/>
    <m/>
    <m/>
    <m/>
    <m/>
    <m/>
    <m/>
    <m/>
    <m/>
    <m/>
    <m/>
    <m/>
    <m/>
    <m/>
    <m/>
    <n v="397585"/>
    <m/>
    <m/>
    <s v="Ольга"/>
    <s v="Иванова"/>
    <s v="Владимировна"/>
    <m/>
    <m/>
    <s v="Клиенты"/>
    <s v="ROBOT"/>
    <s v="Торговля оптовая книгами, газетами и журналами, писчебумажными и канцелярскими товарами"/>
    <s v="Холодный обзвон"/>
    <s v="ЛИК:Эксперт. Май 26. Торговые"/>
    <s v="Да"/>
    <s v="Шкаруба Кристина"/>
    <d v="2026-08-12T10:25:47"/>
    <s v="ROBOT"/>
    <d v="2026-08-12T10:25:48"/>
    <m/>
    <n v="74232300272"/>
    <n v="79147075659"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8-12T00:00:00"/>
    <s v="Да"/>
    <m/>
    <m/>
    <m/>
    <m/>
    <s v="Нет"/>
    <m/>
    <n v="257956"/>
    <m/>
    <s v="ООО &quot;КОМПАС - 25&quot; 2538122909#"/>
    <s v="Клиент"/>
    <s v="менее 50"/>
    <s v="ROBOT"/>
    <m/>
    <s v="Информационные технологии"/>
    <s v="0.00"/>
    <s v="Российский рубль"/>
    <m/>
    <s v="Россинский Вадим"/>
    <d v="2026-08-12T10:36:56"/>
    <s v="ROBOT_M"/>
    <d v="2026-08-12T10:55: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d v="2008-09-22T00:00:00"/>
    <m/>
    <s v="46.49.3 Торговля оптовая книгами, газетами и журналами, писчебумажными и канцелярскими товарами"/>
    <m/>
    <s v="Нет"/>
    <m/>
    <m/>
    <s v="КОМПАС - 25, ИНН 2538122909 ООО"/>
    <s v="ВЛАДИВОСТОК"/>
    <n v="2538122909"/>
    <m/>
    <m/>
    <m/>
    <m/>
    <m/>
    <m/>
    <m/>
    <s v="Свой контакт (Менеджер)"/>
    <m/>
    <s v="Коммерческие"/>
    <s v="ООО"/>
    <n v="128601"/>
    <s v="Приморский край +2 часа"/>
    <m/>
    <m/>
    <m/>
    <s v="Нет"/>
    <m/>
    <m/>
    <m/>
    <m/>
    <s v="Нет"/>
    <s v="Торговля. Прочая"/>
    <m/>
    <m/>
    <m/>
    <m/>
  </r>
  <r>
    <n v="317919"/>
    <s v="ЦП. 1С. Продажи"/>
    <s v="N"/>
    <s v="N"/>
    <x v="8"/>
    <m/>
    <m/>
    <m/>
    <m/>
    <m/>
    <s v="Соболев Максим"/>
    <s v="ONE_C"/>
    <s v="ООО &quot;ПРИМ МОР АЛЬЯНС&quot; 2537116300#"/>
    <s v="Продажа"/>
    <s v="Свой контакт (Менеджер)"/>
    <m/>
    <n v="1400"/>
    <s v="Российский рубль"/>
    <s v="ООО &quot;ПРИМ МОР АЛЬЯНС&quot; 2537116300#"/>
    <s v="Задорская Мария Евгеньевна"/>
    <m/>
    <s v="нет"/>
    <d v="2026-08-12T10:00:44"/>
    <s v="Соболев Максим"/>
    <d v="2026-08-19T08:59:54"/>
    <s v="Соболев Максим"/>
    <d v="2026-08-12T00:00:00"/>
    <d v="2026-08-19T00:00:00"/>
    <s v="1С-ЭДО. ЭПД-200 на 12 месяцев"/>
    <n v="1400"/>
    <n v="1"/>
    <m/>
    <m/>
    <m/>
    <m/>
    <m/>
    <n v="508"/>
    <d v="2026-08-12T10:16:16"/>
    <m/>
    <m/>
    <m/>
    <m/>
    <m/>
    <m/>
    <s v="Договор-оферта"/>
    <s v="Нет"/>
    <n v="1"/>
    <m/>
    <m/>
    <m/>
    <s v="г Владивосток"/>
    <s v="ЦП. 1С и ИТС. Коммерция"/>
    <m/>
    <m/>
    <m/>
    <m/>
    <m/>
    <m/>
    <n v="0"/>
    <m/>
    <m/>
    <m/>
    <m/>
    <n v="3"/>
    <m/>
    <s v="ФРДТ-017957"/>
    <m/>
    <s v="ЦП. 1С. Коммерция"/>
    <m/>
    <m/>
    <m/>
    <m/>
    <d v="2026-08-17T00:00:00"/>
    <m/>
    <m/>
    <s v="[CO]ООО НПФ &quot;ФОРУС&quot; 3812023430#"/>
    <s v="Сервисы"/>
    <m/>
    <m/>
    <s v="Коммерческие"/>
    <m/>
    <m/>
    <s v="Обычный"/>
    <m/>
    <m/>
    <s v="#Загружено из Битрикс-Коробка#"/>
    <m/>
    <m/>
    <m/>
    <s v="1С-ЭДО Предоплаченные ТП"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s v="Уточнить потребност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Уточнить потребности"/>
    <m/>
    <m/>
    <m/>
    <m/>
    <m/>
    <d v="2026-08-19T09:00:00"/>
    <d v="2026-08-21T11:01:11"/>
    <s v="Завершен"/>
    <m/>
    <m/>
    <m/>
    <s v="Завершен"/>
    <m/>
    <m/>
    <m/>
    <m/>
    <m/>
    <m/>
    <m/>
    <m/>
    <m/>
    <m/>
    <m/>
    <m/>
    <m/>
    <m/>
    <n v="397576"/>
    <m/>
    <m/>
    <s v="Мария"/>
    <s v="Задорская"/>
    <s v="Евгеньевна"/>
    <m/>
    <m/>
    <s v="Клиенты"/>
    <s v="ROBOT"/>
    <s v="[p] Торговля оптовая прочими машинами и оборудованием [/p]"/>
    <s v="Холодный обзвон"/>
    <s v="ЛИК:Эксперт. Май 26. Торговые"/>
    <s v="Да"/>
    <s v="Шкаруба Кристина"/>
    <d v="2026-08-12T09:19:29"/>
    <s v="Дунаевская Светлана"/>
    <d v="2026-08-14T06:44:18"/>
    <m/>
    <m/>
    <n v="79084469330"/>
    <m/>
    <m/>
    <m/>
    <m/>
    <m/>
    <m/>
    <m/>
    <m/>
    <m/>
    <m/>
    <m/>
    <m/>
    <s v="bkeeper8@pf-prim.ru, ps-zip@mail.ru"/>
    <m/>
    <m/>
    <m/>
    <m/>
    <m/>
    <m/>
    <m/>
    <m/>
    <m/>
    <m/>
    <m/>
    <m/>
    <m/>
    <m/>
    <m/>
    <s v="Владивосток г"/>
    <d v="2026-08-12T00:00:00"/>
    <s v="Да"/>
    <m/>
    <s v="Приморский край +2 часа"/>
    <m/>
    <m/>
    <s v="Нет"/>
    <s v="b3fc4388-87a7-4b2b-996b-45d785f0d444"/>
    <n v="257947"/>
    <m/>
    <s v="ООО &quot;ПРИМ МОР АЛЬЯНС&quot; 2537116300#"/>
    <s v="Клиент"/>
    <s v="менее 50"/>
    <s v="ROBOT"/>
    <m/>
    <s v="Информационные технологии"/>
    <s v="0.00"/>
    <s v="Российский рубль"/>
    <m/>
    <s v="Соболев Максим"/>
    <d v="2026-08-12T09:25:46"/>
    <s v="Дунаевская Светлана"/>
    <d v="2026-08-18T11:28:42"/>
    <m/>
    <m/>
    <m/>
    <m/>
    <m/>
    <m/>
    <m/>
    <m/>
    <m/>
    <m/>
    <m/>
    <m/>
    <m/>
    <m/>
    <m/>
    <s v="ps-zip@mail.ru"/>
    <m/>
    <m/>
    <m/>
    <m/>
    <m/>
    <m/>
    <m/>
    <m/>
    <m/>
    <m/>
    <m/>
    <m/>
    <m/>
    <m/>
    <m/>
    <m/>
    <n v="0"/>
    <s v="ps-zip@mail.ru"/>
    <d v="2015-06-11T00:00:00"/>
    <m/>
    <s v="46.69 Торговля оптовая прочими машинами и оборудованием"/>
    <m/>
    <s v="Нет"/>
    <m/>
    <m/>
    <s v="ПРИМ МОР АЛЬЯНС ООО"/>
    <s v="г Владивосток"/>
    <n v="2537116300"/>
    <m/>
    <m/>
    <m/>
    <m/>
    <s v="ps-zip@mail.ru"/>
    <m/>
    <m/>
    <s v="Свой контакт (Менеджер)"/>
    <m/>
    <s v="Коммерческие"/>
    <s v="ООО"/>
    <n v="128592"/>
    <s v="Приморский край +2 часа"/>
    <m/>
    <m/>
    <m/>
    <s v="Нет"/>
    <m/>
    <m/>
    <m/>
    <m/>
    <s v="Нет"/>
    <s v="Торговля. Прочая"/>
    <m/>
    <m/>
    <m/>
    <s v="a851be71-9fd9-418f-8e28-1a323e434dbd"/>
  </r>
  <r>
    <n v="317917"/>
    <s v="ЦП. 1С. Продажи"/>
    <s v="Y"/>
    <s v="N"/>
    <x v="3"/>
    <m/>
    <m/>
    <m/>
    <m/>
    <m/>
    <s v="Соболев Максим"/>
    <s v="ONE_C"/>
    <s v="ИП Круталевич Елена Юрьевна 380806982866# - 1С-ЭПД"/>
    <s v="Продажа"/>
    <s v="Звонок"/>
    <m/>
    <n v="1400"/>
    <s v="Российский рубль"/>
    <s v="ИП Круталевич Елена Юрьевна 380806982866#"/>
    <s v="Углова Алена Юрьевна"/>
    <m/>
    <s v="нет"/>
    <d v="2026-08-12T09:52:30"/>
    <s v="Соболев Максим"/>
    <d v="2026-09-02T14:04:20"/>
    <s v="Иванова Евгения"/>
    <d v="2026-08-12T00:00:00"/>
    <d v="2026-08-19T00:00:00"/>
    <s v="1С-ЭДО. ЭПД-200 на 12 месяцев"/>
    <n v="1400"/>
    <n v="1"/>
    <m/>
    <m/>
    <m/>
    <m/>
    <m/>
    <n v="508"/>
    <d v="2026-08-28T17:15:40"/>
    <m/>
    <m/>
    <m/>
    <m/>
    <m/>
    <m/>
    <s v="Договор-оферта"/>
    <s v="Нет"/>
    <n v="1"/>
    <m/>
    <m/>
    <m/>
    <s v="Иркутск г"/>
    <s v="ЦП. 1С и ИТС. Коммерция"/>
    <m/>
    <m/>
    <m/>
    <m/>
    <m/>
    <m/>
    <n v="0"/>
    <m/>
    <m/>
    <m/>
    <m/>
    <n v="1"/>
    <m/>
    <s v="ФРДТ-017944"/>
    <m/>
    <s v="ЦП. 1С. Коммерция"/>
    <m/>
    <m/>
    <m/>
    <m/>
    <d v="2026-08-28T00:00:00"/>
    <m/>
    <m/>
    <s v="[CO]ООО НПФ &quot;ФОРУС&quot; 3812023430#"/>
    <s v="Сервисы"/>
    <m/>
    <m/>
    <s v="Коммерческие"/>
    <m/>
    <m/>
    <s v="Обычный"/>
    <m/>
    <m/>
    <s v="#Загружено из Битрикс-Коробка#"/>
    <m/>
    <m/>
    <m/>
    <s v="1С-ЭДО ЭПД"/>
    <m/>
    <m/>
    <m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-ЭПД"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9-02T14:02:46"/>
    <d v="2026-09-02T14:02:46"/>
    <s v="Завершен"/>
    <m/>
    <m/>
    <m/>
    <m/>
    <m/>
    <m/>
    <m/>
    <m/>
    <m/>
    <m/>
    <m/>
    <m/>
    <m/>
    <m/>
    <m/>
    <m/>
    <m/>
    <m/>
    <n v="316634"/>
    <m/>
    <m/>
    <s v="Алена"/>
    <s v="Углова"/>
    <s v="Юрьевна"/>
    <m/>
    <m/>
    <s v="Клиенты"/>
    <s v="ROBOT"/>
    <s v="[p] . [/p]"/>
    <s v="Свой контакт (Менеджер)"/>
    <m/>
    <s v="Да"/>
    <s v="Торокова Мария"/>
    <d v="2023-10-11T15:15:57"/>
    <s v="ROBOT"/>
    <d v="2026-09-01T16:14:40"/>
    <m/>
    <m/>
    <n v="158332815216"/>
    <m/>
    <m/>
    <m/>
    <m/>
    <m/>
    <m/>
    <m/>
    <m/>
    <m/>
    <m/>
    <m/>
    <m/>
    <s v="m4sterovoy@yandex.ru"/>
    <m/>
    <m/>
    <m/>
    <m/>
    <m/>
    <m/>
    <m/>
    <m/>
    <m/>
    <m/>
    <m/>
    <s v="imol|ank_chats_app24_whatsapp|32|79086485626|5629"/>
    <m/>
    <m/>
    <n v="5629"/>
    <s v="Иркутск г"/>
    <d v="2023-10-11T00:00:00"/>
    <s v="Да"/>
    <m/>
    <s v="Иркутская область 0 часов"/>
    <m/>
    <m/>
    <s v="Нет"/>
    <s v="99d44168-831c-49b1-9880-1f024f52cc8a"/>
    <n v="217223"/>
    <m/>
    <s v="ИП Круталевич Елена Юрьевна 380806982866#"/>
    <s v="Клиент"/>
    <s v="менее 50"/>
    <s v="ROBOT"/>
    <m/>
    <s v="Информационные технологии"/>
    <m/>
    <s v="Российский рубль"/>
    <s v="Данные из БУХМАСТЕР: Доверенность до:15.02.2025 Сфера деятельности: Кол-во сотрудников: Где база:УФА СНО:ПСН, УСН15%нулевая Тариф договора: Периодичность запроса первички: Доступ в банк: Нет Адрей банк-клиента: Наличие онлайн-кассы:Нет Адрес онлайн кассы: Платформа офд Касса: Нет Наличие ЭДО:"/>
    <s v="Сирина Карина"/>
    <d v="2024-02-14T12:44:46"/>
    <s v="ROBOT_UT"/>
    <d v="2026-09-01T16:19:44"/>
    <m/>
    <m/>
    <n v="79148955959"/>
    <m/>
    <m/>
    <m/>
    <m/>
    <m/>
    <m/>
    <m/>
    <m/>
    <m/>
    <m/>
    <m/>
    <m/>
    <s v="m4sterovoy@yandex.ru"/>
    <m/>
    <m/>
    <m/>
    <m/>
    <m/>
    <m/>
    <m/>
    <m/>
    <m/>
    <m/>
    <m/>
    <s v="imol|ank_chats_app24_telegram|47|private-813447807h-1628279926093130285|22673"/>
    <m/>
    <m/>
    <n v="22673"/>
    <m/>
    <n v="0"/>
    <s v="m4sterovoy@yandex.ru"/>
    <m/>
    <m/>
    <s v="47.52 Торговля розничная скобяными изделиями, лакокрасочными материалами и стеклом в специализированных магазинах"/>
    <m/>
    <s v="Нет"/>
    <m/>
    <m/>
    <s v="ИП Круталевич Елена Юрьевна"/>
    <s v="Иркутск г"/>
    <n v="380806982866"/>
    <s v="4. УСН: Доходы + НДС"/>
    <m/>
    <m/>
    <m/>
    <s v="m4sterovoy@yandex.ru"/>
    <m/>
    <m/>
    <s v="Звонок"/>
    <m/>
    <s v="Коммерческие"/>
    <s v="ИП"/>
    <n v="100754"/>
    <s v="Иркутская область 0 часов"/>
    <m/>
    <s v="Иркутск"/>
    <s v="БО. Комплексный сервис"/>
    <m/>
    <m/>
    <m/>
    <n v="1"/>
    <s v="Рабочая группа № 6"/>
    <s v="Нет"/>
    <s v="Торговля. Прочая"/>
    <m/>
    <m/>
    <m/>
    <s v="922630c5-afc5-4dd6-8dae-3c2dc33b7523"/>
  </r>
  <r>
    <n v="317875"/>
    <s v="ЦП. ФРЕШ. Продажи"/>
    <s v="Y"/>
    <s v="N"/>
    <x v="3"/>
    <m/>
    <m/>
    <m/>
    <m/>
    <m/>
    <s v="Соболев Максим"/>
    <s v="ONE_C"/>
    <s v="ФРЕШ. Базовый - ИП Круталевич Елена Юрьевна 380806982866#"/>
    <s v="Продажа"/>
    <s v="Звонок"/>
    <m/>
    <n v="11600"/>
    <s v="Российский рубль"/>
    <s v="ИП Круталевич Елена Юрьевна 380806982866#"/>
    <s v="Углова Алена Юрьевна"/>
    <m/>
    <s v="нет"/>
    <d v="2026-08-11T17:51:54"/>
    <s v="Соболев Максим"/>
    <d v="2026-09-02T14:04:20"/>
    <s v="Иванова Евгения"/>
    <d v="2026-08-11T00:00:00"/>
    <d v="2026-08-18T00:00:00"/>
    <s v="1C:Фреш-1C:Предприятие 8 через Интернет. Дополнительный сеанс на 12 мес. (&lt;&gt;)"/>
    <n v="11600"/>
    <n v="1"/>
    <m/>
    <m/>
    <m/>
    <m/>
    <m/>
    <n v="508"/>
    <d v="2026-08-28T17:19:23"/>
    <m/>
    <m/>
    <m/>
    <m/>
    <m/>
    <m/>
    <s v="Договор-оферта"/>
    <s v="Нет"/>
    <n v="5"/>
    <s v="m4sterovoy@yandex.ru"/>
    <s v="+7 908 648-56-26"/>
    <m/>
    <s v="Иркутск г"/>
    <s v="ЦП. 1С и ИТС. Коммерция"/>
    <d v="2026-09-25T00:00:00"/>
    <m/>
    <m/>
    <m/>
    <d v="2026-09-25T00:00:00"/>
    <m/>
    <n v="0"/>
    <s v="Углова Алена Юрьевна"/>
    <m/>
    <m/>
    <m/>
    <n v="0"/>
    <m/>
    <s v="ФРДТ-017911"/>
    <m/>
    <s v="ЦП. 1С. Коммерция"/>
    <m/>
    <m/>
    <m/>
    <m/>
    <d v="2026-08-28T00:00:00"/>
    <m/>
    <m/>
    <s v="[CO]ООО НПФ &quot;ФОРУС&quot; 3812023430#"/>
    <s v="Сервисы"/>
    <m/>
    <m/>
    <s v="Коммерческие"/>
    <m/>
    <m/>
    <s v="Обычный"/>
    <m/>
    <m/>
    <s v="#Загружено из Битрикс-Коробка#"/>
    <m/>
    <m/>
    <m/>
    <s v="Фреш Коммерс Доп сеансы и базы;Фреш Коммерс Базовый"/>
    <m/>
    <m/>
    <m/>
    <m/>
    <m/>
    <m/>
    <s v="Не было отгрузок"/>
    <m/>
    <m/>
    <m/>
    <m/>
    <s v="Нет"/>
    <m/>
    <m/>
    <m/>
    <s v="ФРЕШ. Базовый"/>
    <s v="1С:Розница"/>
    <s v="1 398 155"/>
    <m/>
    <m/>
    <m/>
    <s v="Контроль оплаты"/>
    <s v="ФРЕШ и ГРМ"/>
    <m/>
    <m/>
    <s v="Не нужно"/>
    <m/>
    <m/>
    <m/>
    <s v="Необработанные"/>
    <m/>
    <m/>
    <m/>
    <m/>
    <s v="КриптоПро(бессрочная/серверная)"/>
    <s v="Не нужно УЛ"/>
    <s v="Необработанные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Необработанные"/>
    <m/>
    <m/>
    <m/>
    <m/>
    <m/>
    <d v="2026-09-02T14:02:46"/>
    <d v="2026-09-02T14:02:46"/>
    <s v="Завершен"/>
    <m/>
    <m/>
    <m/>
    <m/>
    <m/>
    <m/>
    <m/>
    <m/>
    <m/>
    <m/>
    <m/>
    <m/>
    <m/>
    <m/>
    <m/>
    <m/>
    <m/>
    <m/>
    <n v="316634"/>
    <m/>
    <m/>
    <s v="Алена"/>
    <s v="Углова"/>
    <s v="Юрьевна"/>
    <m/>
    <m/>
    <s v="Клиенты"/>
    <s v="ROBOT"/>
    <s v="[p] . [/p]"/>
    <s v="Свой контакт (Менеджер)"/>
    <m/>
    <s v="Да"/>
    <s v="Торокова Мария"/>
    <d v="2023-10-11T15:15:57"/>
    <s v="ROBOT"/>
    <d v="2026-09-01T16:14:40"/>
    <m/>
    <m/>
    <n v="158332815216"/>
    <m/>
    <m/>
    <m/>
    <m/>
    <m/>
    <m/>
    <m/>
    <m/>
    <m/>
    <m/>
    <m/>
    <m/>
    <s v="m4sterovoy@yandex.ru"/>
    <m/>
    <m/>
    <m/>
    <m/>
    <m/>
    <m/>
    <m/>
    <m/>
    <m/>
    <m/>
    <m/>
    <s v="imol|ank_chats_app24_whatsapp|32|79086485626|5629"/>
    <m/>
    <m/>
    <n v="5629"/>
    <s v="Иркутск г"/>
    <d v="2023-10-11T00:00:00"/>
    <s v="Да"/>
    <m/>
    <s v="Иркутская область 0 часов"/>
    <m/>
    <m/>
    <s v="Нет"/>
    <s v="99d44168-831c-49b1-9880-1f024f52cc8a"/>
    <n v="217223"/>
    <m/>
    <s v="ИП Круталевич Елена Юрьевна 380806982866#"/>
    <s v="Клиент"/>
    <s v="менее 50"/>
    <s v="ROBOT"/>
    <m/>
    <s v="Информационные технологии"/>
    <m/>
    <s v="Российский рубль"/>
    <s v="Данные из БУХМАСТЕР: Доверенность до:15.02.2025 Сфера деятельности: Кол-во сотрудников: Где база:УФА СНО:ПСН, УСН15%нулевая Тариф договора: Периодичность запроса первички: Доступ в банк: Нет Адрей банк-клиента: Наличие онлайн-кассы:Нет Адрес онлайн кассы: Платформа офд Касса: Нет Наличие ЭДО:"/>
    <s v="Сирина Карина"/>
    <d v="2024-02-14T12:44:46"/>
    <s v="ROBOT_UT"/>
    <d v="2026-09-01T16:19:44"/>
    <m/>
    <m/>
    <n v="79148955959"/>
    <m/>
    <m/>
    <m/>
    <m/>
    <m/>
    <m/>
    <m/>
    <m/>
    <m/>
    <m/>
    <m/>
    <m/>
    <s v="m4sterovoy@yandex.ru"/>
    <m/>
    <m/>
    <m/>
    <m/>
    <m/>
    <m/>
    <m/>
    <m/>
    <m/>
    <m/>
    <m/>
    <s v="imol|ank_chats_app24_telegram|47|private-813447807h-1628279926093130285|22673"/>
    <m/>
    <m/>
    <n v="22673"/>
    <m/>
    <n v="0"/>
    <s v="m4sterovoy@yandex.ru"/>
    <m/>
    <m/>
    <s v="47.52 Торговля розничная скобяными изделиями, лакокрасочными материалами и стеклом в специализированных магазинах"/>
    <m/>
    <s v="Нет"/>
    <m/>
    <m/>
    <s v="ИП Круталевич Елена Юрьевна"/>
    <s v="Иркутск г"/>
    <n v="380806982866"/>
    <s v="4. УСН: Доходы + НДС"/>
    <m/>
    <m/>
    <m/>
    <s v="m4sterovoy@yandex.ru"/>
    <m/>
    <m/>
    <s v="Звонок"/>
    <m/>
    <s v="Коммерческие"/>
    <s v="ИП"/>
    <n v="100754"/>
    <s v="Иркутская область 0 часов"/>
    <m/>
    <s v="Иркутск"/>
    <s v="БО. Комплексный сервис"/>
    <m/>
    <m/>
    <m/>
    <n v="1"/>
    <s v="Рабочая группа № 6"/>
    <s v="Нет"/>
    <s v="Торговля. Прочая"/>
    <m/>
    <m/>
    <m/>
    <s v="922630c5-afc5-4dd6-8dae-3c2dc33b7523"/>
  </r>
  <r>
    <n v="317875"/>
    <s v="ЦП. ФРЕШ. Продажи"/>
    <s v="Y"/>
    <s v="N"/>
    <x v="3"/>
    <m/>
    <m/>
    <m/>
    <m/>
    <m/>
    <s v="Соболев Максим"/>
    <s v="ONE_C"/>
    <s v="ФРЕШ. Базовый - ИП Круталевич Елена Юрьевна 380806982866#"/>
    <s v="Продажа"/>
    <s v="Звонок"/>
    <m/>
    <n v="18100"/>
    <s v="Российский рубль"/>
    <s v="ИП Круталевич Елена Юрьевна 380806982866#"/>
    <s v="Углова Алена Юрьевна"/>
    <m/>
    <s v="нет"/>
    <d v="2026-08-11T17:51:54"/>
    <s v="Соболев Максим"/>
    <d v="2026-09-02T14:04:20"/>
    <s v="Иванова Евгения"/>
    <d v="2026-08-11T00:00:00"/>
    <d v="2026-08-18T00:00:00"/>
    <s v="1C:Фреш-1C:Предприятие 8 через Интернет. 1С:Розница на 12 мес. (&lt;&gt;)"/>
    <n v="18100"/>
    <n v="1"/>
    <m/>
    <m/>
    <m/>
    <m/>
    <m/>
    <n v="508"/>
    <d v="2026-08-28T17:19:23"/>
    <m/>
    <m/>
    <m/>
    <m/>
    <m/>
    <m/>
    <s v="Договор-оферта"/>
    <s v="Нет"/>
    <n v="5"/>
    <s v="m4sterovoy@yandex.ru"/>
    <s v="+7 908 648-56-26"/>
    <m/>
    <s v="Иркутск г"/>
    <s v="ЦП. 1С и ИТС. Коммерция"/>
    <d v="2026-09-25T00:00:00"/>
    <m/>
    <m/>
    <m/>
    <d v="2026-09-25T00:00:00"/>
    <m/>
    <n v="0"/>
    <s v="Углова Алена Юрьевна"/>
    <m/>
    <m/>
    <m/>
    <n v="0"/>
    <m/>
    <s v="ФРДТ-017911"/>
    <m/>
    <s v="ЦП. 1С. Коммерция"/>
    <m/>
    <m/>
    <m/>
    <m/>
    <d v="2026-08-28T00:00:00"/>
    <m/>
    <m/>
    <s v="[CO]ООО НПФ &quot;ФОРУС&quot; 3812023430#"/>
    <s v="Сервисы"/>
    <m/>
    <m/>
    <s v="Коммерческие"/>
    <m/>
    <m/>
    <s v="Обычный"/>
    <m/>
    <m/>
    <s v="#Загружено из Битрикс-Коробка#"/>
    <m/>
    <m/>
    <m/>
    <s v="Фреш Коммерс Доп сеансы и базы;Фреш Коммерс Базовый"/>
    <m/>
    <m/>
    <m/>
    <m/>
    <m/>
    <m/>
    <s v="Не было отгрузок"/>
    <m/>
    <m/>
    <m/>
    <m/>
    <s v="Нет"/>
    <m/>
    <m/>
    <m/>
    <s v="ФРЕШ. Базовый"/>
    <s v="1С:Розница"/>
    <s v="1 398 155"/>
    <m/>
    <m/>
    <m/>
    <s v="Контроль оплаты"/>
    <s v="ФРЕШ и ГРМ"/>
    <m/>
    <m/>
    <s v="Не нужно"/>
    <m/>
    <m/>
    <m/>
    <s v="Необработанные"/>
    <m/>
    <m/>
    <m/>
    <m/>
    <s v="КриптоПро(бессрочная/серверная)"/>
    <s v="Не нужно УЛ"/>
    <s v="Необработанные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Необработанные"/>
    <m/>
    <m/>
    <m/>
    <m/>
    <m/>
    <d v="2026-09-02T14:02:46"/>
    <d v="2026-09-02T14:02:46"/>
    <s v="Завершен"/>
    <m/>
    <m/>
    <m/>
    <m/>
    <m/>
    <m/>
    <m/>
    <m/>
    <m/>
    <m/>
    <m/>
    <m/>
    <m/>
    <m/>
    <m/>
    <m/>
    <m/>
    <m/>
    <n v="316634"/>
    <m/>
    <m/>
    <s v="Алена"/>
    <s v="Углова"/>
    <s v="Юрьевна"/>
    <m/>
    <m/>
    <s v="Клиенты"/>
    <s v="ROBOT"/>
    <s v="[p] . [/p]"/>
    <s v="Свой контакт (Менеджер)"/>
    <m/>
    <s v="Да"/>
    <s v="Торокова Мария"/>
    <d v="2023-10-11T15:15:57"/>
    <s v="ROBOT"/>
    <d v="2026-09-01T16:14:40"/>
    <m/>
    <m/>
    <n v="158332815216"/>
    <m/>
    <m/>
    <m/>
    <m/>
    <m/>
    <m/>
    <m/>
    <m/>
    <m/>
    <m/>
    <m/>
    <m/>
    <s v="m4sterovoy@yandex.ru"/>
    <m/>
    <m/>
    <m/>
    <m/>
    <m/>
    <m/>
    <m/>
    <m/>
    <m/>
    <m/>
    <m/>
    <s v="imol|ank_chats_app24_whatsapp|32|79086485626|5629"/>
    <m/>
    <m/>
    <n v="5629"/>
    <s v="Иркутск г"/>
    <d v="2023-10-11T00:00:00"/>
    <s v="Да"/>
    <m/>
    <s v="Иркутская область 0 часов"/>
    <m/>
    <m/>
    <s v="Нет"/>
    <s v="99d44168-831c-49b1-9880-1f024f52cc8a"/>
    <n v="217223"/>
    <m/>
    <s v="ИП Круталевич Елена Юрьевна 380806982866#"/>
    <s v="Клиент"/>
    <s v="менее 50"/>
    <s v="ROBOT"/>
    <m/>
    <s v="Информационные технологии"/>
    <m/>
    <s v="Российский рубль"/>
    <s v="Данные из БУХМАСТЕР: Доверенность до:15.02.2025 Сфера деятельности: Кол-во сотрудников: Где база:УФА СНО:ПСН, УСН15%нулевая Тариф договора: Периодичность запроса первички: Доступ в банк: Нет Адрей банк-клиента: Наличие онлайн-кассы:Нет Адрес онлайн кассы: Платформа офд Касса: Нет Наличие ЭДО:"/>
    <s v="Сирина Карина"/>
    <d v="2024-02-14T12:44:46"/>
    <s v="ROBOT_UT"/>
    <d v="2026-09-01T16:19:44"/>
    <m/>
    <m/>
    <n v="79148955959"/>
    <m/>
    <m/>
    <m/>
    <m/>
    <m/>
    <m/>
    <m/>
    <m/>
    <m/>
    <m/>
    <m/>
    <m/>
    <s v="m4sterovoy@yandex.ru"/>
    <m/>
    <m/>
    <m/>
    <m/>
    <m/>
    <m/>
    <m/>
    <m/>
    <m/>
    <m/>
    <m/>
    <s v="imol|ank_chats_app24_telegram|47|private-813447807h-1628279926093130285|22673"/>
    <m/>
    <m/>
    <n v="22673"/>
    <m/>
    <n v="0"/>
    <s v="m4sterovoy@yandex.ru"/>
    <m/>
    <m/>
    <s v="47.52 Торговля розничная скобяными изделиями, лакокрасочными материалами и стеклом в специализированных магазинах"/>
    <m/>
    <s v="Нет"/>
    <m/>
    <m/>
    <s v="ИП Круталевич Елена Юрьевна"/>
    <s v="Иркутск г"/>
    <n v="380806982866"/>
    <s v="4. УСН: Доходы + НДС"/>
    <m/>
    <m/>
    <m/>
    <s v="m4sterovoy@yandex.ru"/>
    <m/>
    <m/>
    <s v="Звонок"/>
    <m/>
    <s v="Коммерческие"/>
    <s v="ИП"/>
    <n v="100754"/>
    <s v="Иркутская область 0 часов"/>
    <m/>
    <s v="Иркутск"/>
    <s v="БО. Комплексный сервис"/>
    <m/>
    <m/>
    <m/>
    <n v="1"/>
    <s v="Рабочая группа № 6"/>
    <s v="Нет"/>
    <s v="Торговля. Прочая"/>
    <m/>
    <m/>
    <m/>
    <s v="922630c5-afc5-4dd6-8dae-3c2dc33b7523"/>
  </r>
  <r>
    <n v="317873"/>
    <s v="1С. Комплексные продажи"/>
    <s v="N"/>
    <s v="N"/>
    <x v="11"/>
    <m/>
    <m/>
    <m/>
    <m/>
    <m/>
    <s v="Багланова Антонина"/>
    <m/>
    <s v="Лид #264310"/>
    <s v="Продажа"/>
    <s v="Мероприятие стороннее (прочее)"/>
    <s v="Калуга Астрал ЭПД"/>
    <s v="0.00"/>
    <s v="Российский рубль"/>
    <m/>
    <s v="Суфьянова Анна"/>
    <m/>
    <s v="нет"/>
    <d v="2026-08-11T17:47:31"/>
    <s v="Багланова Антонина"/>
    <d v="2026-08-11T17:56:13"/>
    <s v="Багланова Антонина"/>
    <d v="2026-08-11T00:00:00"/>
    <d v="2026-08-18T00:00:00"/>
    <m/>
    <m/>
    <m/>
    <m/>
    <m/>
    <m/>
    <m/>
    <m/>
    <n v="27"/>
    <d v="2026-08-11T17:48:25"/>
    <m/>
    <m/>
    <m/>
    <m/>
    <m/>
    <m/>
    <m/>
    <s v="Нет"/>
    <n v="0"/>
    <s v="korosteleva_anna@mail.ru"/>
    <n v="79649575663"/>
    <m/>
    <m/>
    <s v="ЦП. 1С и ИТС. Коммерция"/>
    <m/>
    <m/>
    <m/>
    <m/>
    <m/>
    <m/>
    <m/>
    <s v="Анна"/>
    <m/>
    <m/>
    <m/>
    <n v="1"/>
    <m/>
    <m/>
    <m/>
    <s v="ЦП. 1С. Коммерция"/>
    <m/>
    <m/>
    <m/>
    <m/>
    <m/>
    <m/>
    <m/>
    <m/>
    <m/>
    <m/>
    <m/>
    <m/>
    <m/>
    <m/>
    <s v="Обычный"/>
    <m/>
    <m/>
    <m/>
    <m/>
    <m/>
    <n v="264310"/>
    <m/>
    <m/>
    <m/>
    <m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-ЭПД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11T17:47:31"/>
    <d v="2026-08-11T17:56:40"/>
    <m/>
    <m/>
    <m/>
    <m/>
    <m/>
    <m/>
    <m/>
    <m/>
    <m/>
    <m/>
    <m/>
    <m/>
    <m/>
    <m/>
    <m/>
    <m/>
    <m/>
    <m/>
    <m/>
    <n v="397569"/>
    <m/>
    <m/>
    <s v="Анна"/>
    <s v="Суфьянова"/>
    <m/>
    <m/>
    <m/>
    <s v="Клиенты"/>
    <s v="ROBOT"/>
    <m/>
    <s v="Мероприятие стороннее (прочее)"/>
    <s v="Калуга Астрал ЭПД"/>
    <s v="Да"/>
    <s v="Багланова Антонина"/>
    <d v="2026-08-11T17:47:00"/>
    <s v="ROBOT"/>
    <d v="2026-08-11T17:47:00"/>
    <m/>
    <m/>
    <n v="79649575663"/>
    <m/>
    <m/>
    <m/>
    <m/>
    <m/>
    <m/>
    <m/>
    <m/>
    <m/>
    <m/>
    <m/>
    <m/>
    <s v="korosteleva_anna@mail.ru"/>
    <m/>
    <m/>
    <m/>
    <m/>
    <m/>
    <m/>
    <m/>
    <m/>
    <m/>
    <m/>
    <m/>
    <m/>
    <m/>
    <m/>
    <m/>
    <m/>
    <d v="2026-08-11T00:00:00"/>
    <s v="Да"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7844"/>
    <s v="1С. Комплексные продажи"/>
    <s v="N"/>
    <s v="N"/>
    <x v="11"/>
    <m/>
    <m/>
    <m/>
    <m/>
    <m/>
    <s v="Багланова Антонина"/>
    <m/>
    <s v="Лид #264323"/>
    <s v="Продажа"/>
    <s v="Холодный обзвон"/>
    <s v="Калуга Астрал ЭПД"/>
    <s v="0.00"/>
    <s v="Российский рубль"/>
    <m/>
    <s v="Рябченко Елена"/>
    <m/>
    <s v="нет"/>
    <d v="2026-08-11T16:23:26"/>
    <s v="Багланова Антонина"/>
    <d v="2026-08-11T16:43:37"/>
    <s v="Багланова Антонина"/>
    <d v="2026-08-11T00:00:00"/>
    <d v="2026-08-18T00:00:00"/>
    <m/>
    <m/>
    <m/>
    <m/>
    <m/>
    <m/>
    <m/>
    <m/>
    <n v="27"/>
    <d v="2026-08-11T16:28:13"/>
    <m/>
    <m/>
    <m/>
    <m/>
    <m/>
    <m/>
    <m/>
    <s v="Нет"/>
    <n v="0"/>
    <s v="glbuch@spf-technology.ru"/>
    <n v="79174659057"/>
    <m/>
    <m/>
    <s v="ЦП. 1С и ИТС. Коммерция"/>
    <m/>
    <m/>
    <m/>
    <m/>
    <m/>
    <m/>
    <m/>
    <s v="Елена"/>
    <m/>
    <m/>
    <m/>
    <n v="1"/>
    <m/>
    <m/>
    <m/>
    <s v="ЦП. 1С. Коммерция"/>
    <m/>
    <m/>
    <m/>
    <m/>
    <m/>
    <m/>
    <m/>
    <m/>
    <m/>
    <m/>
    <m/>
    <m/>
    <m/>
    <m/>
    <s v="Обычный"/>
    <m/>
    <m/>
    <m/>
    <m/>
    <m/>
    <n v="264323"/>
    <m/>
    <m/>
    <m/>
    <m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-ЭПД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11T16:23:26"/>
    <d v="2026-08-11T16:44:17"/>
    <m/>
    <m/>
    <m/>
    <m/>
    <m/>
    <m/>
    <m/>
    <m/>
    <m/>
    <m/>
    <m/>
    <m/>
    <m/>
    <m/>
    <m/>
    <m/>
    <m/>
    <m/>
    <m/>
    <n v="397554"/>
    <m/>
    <m/>
    <s v="Елена"/>
    <s v="Рябченко"/>
    <m/>
    <m/>
    <m/>
    <s v="Клиенты"/>
    <s v="ROBOT"/>
    <m/>
    <s v="Холодный обзвон"/>
    <s v="Калуга Астрал ЭПД"/>
    <s v="Да"/>
    <s v="Багланова Антонина"/>
    <d v="2026-08-11T16:22:05"/>
    <s v="ROBOT"/>
    <d v="2026-08-11T16:22:05"/>
    <m/>
    <m/>
    <n v="79174659057"/>
    <m/>
    <m/>
    <m/>
    <m/>
    <m/>
    <m/>
    <m/>
    <m/>
    <m/>
    <m/>
    <m/>
    <m/>
    <s v="glbuch@spf-technology.ru"/>
    <m/>
    <m/>
    <m/>
    <m/>
    <m/>
    <m/>
    <m/>
    <m/>
    <m/>
    <m/>
    <m/>
    <m/>
    <m/>
    <m/>
    <m/>
    <m/>
    <d v="2026-08-11T00:00:00"/>
    <s v="Да"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7791"/>
    <s v="ЦП. 1С. Продажи"/>
    <s v="N"/>
    <s v="N"/>
    <x v="8"/>
    <m/>
    <m/>
    <m/>
    <m/>
    <m/>
    <s v="Соболев Максим"/>
    <m/>
    <s v="ООО КЗ &quot;НОВЭТЕХ&quot; 2225164192#"/>
    <s v="Продажа"/>
    <s v="Холодный обзвон"/>
    <s v="ЛИК:Эксперт. Апрель 26. Производственники"/>
    <s v="0.00"/>
    <s v="Российский рубль"/>
    <s v="ООО КЗ &quot;НОВЭТЕХ&quot; 2225164192#"/>
    <s v="Босько Юрий Борисович"/>
    <m/>
    <s v="нет"/>
    <d v="2026-08-11T15:02:14"/>
    <s v="Лысенко Анастасия"/>
    <d v="2026-08-12T09:38:37"/>
    <s v="ROBOT"/>
    <d v="2026-08-11T00:00:00"/>
    <d v="2026-08-18T00:00:00"/>
    <m/>
    <m/>
    <m/>
    <s v="[p] Производство радиаторов и котлов центрального отопления [/p]"/>
    <m/>
    <m/>
    <m/>
    <m/>
    <n v="508"/>
    <d v="2026-08-12T09:38:24"/>
    <m/>
    <m/>
    <m/>
    <m/>
    <m/>
    <m/>
    <m/>
    <s v="Нет"/>
    <n v="1"/>
    <s v="89059822335@list.ru"/>
    <n v="79039103441"/>
    <m/>
    <m/>
    <s v="ЦП. 1С и ИТС. Коммерция"/>
    <m/>
    <m/>
    <m/>
    <m/>
    <m/>
    <m/>
    <n v="0"/>
    <s v="ЮРИЙ"/>
    <s v="Производство радиаторов и котлов центрального отопления"/>
    <m/>
    <m/>
    <n v="0"/>
    <m/>
    <m/>
    <m/>
    <s v="ЦП. 1С. Коммерция"/>
    <m/>
    <m/>
    <m/>
    <m/>
    <m/>
    <m/>
    <m/>
    <m/>
    <m/>
    <m/>
    <m/>
    <m/>
    <m/>
    <m/>
    <s v="Обычный"/>
    <m/>
    <m/>
    <m/>
    <m/>
    <m/>
    <n v="235074"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s v="Уточнить потребност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Уточнить потребности"/>
    <m/>
    <m/>
    <m/>
    <m/>
    <m/>
    <d v="2026-08-12T09:38:25"/>
    <d v="2026-08-11T14:49:02"/>
    <m/>
    <m/>
    <m/>
    <m/>
    <m/>
    <m/>
    <m/>
    <m/>
    <m/>
    <m/>
    <m/>
    <m/>
    <m/>
    <m/>
    <m/>
    <m/>
    <m/>
    <m/>
    <m/>
    <n v="397580"/>
    <m/>
    <m/>
    <s v="Юрий"/>
    <s v="Босько"/>
    <s v="Борисович"/>
    <m/>
    <s v="ГЕНЕРАЛЬНЫЙ ДИРЕКТОР"/>
    <s v="Клиенты"/>
    <s v="ROBOT"/>
    <m/>
    <s v="Свой контакт (Менеджер)"/>
    <m/>
    <s v="Да"/>
    <s v="ROBOT_M"/>
    <d v="2026-08-12T09:36:23"/>
    <s v="Дунаевская Светлана"/>
    <d v="2026-08-14T06:44:18"/>
    <m/>
    <m/>
    <n v="79039103441"/>
    <m/>
    <m/>
    <m/>
    <m/>
    <m/>
    <m/>
    <m/>
    <m/>
    <m/>
    <m/>
    <m/>
    <m/>
    <m/>
    <m/>
    <m/>
    <m/>
    <m/>
    <m/>
    <m/>
    <m/>
    <m/>
    <m/>
    <m/>
    <m/>
    <m/>
    <m/>
    <m/>
    <m/>
    <s v="г Барнаул"/>
    <d v="2026-08-12T00:00:00"/>
    <s v="Да"/>
    <m/>
    <s v="Алтайский край (республика Алтай) -1 час"/>
    <m/>
    <m/>
    <s v="Нет"/>
    <s v="8eddea96-5084-4e55-83ac-df300f74a1b3"/>
    <n v="257950"/>
    <m/>
    <s v="ООО КЗ &quot;НОВЭТЕХ&quot; 2225164192#"/>
    <s v="Клиент"/>
    <s v="менее 50"/>
    <s v="ROBOT"/>
    <m/>
    <s v="Информационные технологии"/>
    <s v="0.00"/>
    <s v="Российский рубль"/>
    <m/>
    <s v="Соболев Максим"/>
    <d v="2026-08-12T09:35:23"/>
    <s v="ROBOT_M"/>
    <d v="2026-08-12T09:46:46"/>
    <m/>
    <n v="147704403009"/>
    <m/>
    <m/>
    <m/>
    <m/>
    <m/>
    <m/>
    <m/>
    <m/>
    <m/>
    <m/>
    <m/>
    <m/>
    <m/>
    <s v="novetexkz@mail.ru, novetex@mail.ru, 89059822335@list.ru"/>
    <m/>
    <m/>
    <m/>
    <m/>
    <m/>
    <m/>
    <m/>
    <m/>
    <m/>
    <m/>
    <m/>
    <m/>
    <m/>
    <m/>
    <m/>
    <m/>
    <n v="0"/>
    <m/>
    <d v="2015-10-19T00:00:00"/>
    <m/>
    <s v="25.21 Производство радиаторов и котлов центрального отопления"/>
    <m/>
    <s v="Нет"/>
    <m/>
    <m/>
    <s v="НОВЭТЕХ ООО КЗ"/>
    <s v="г Барнаул"/>
    <n v="2225164192"/>
    <m/>
    <m/>
    <m/>
    <m/>
    <m/>
    <m/>
    <m/>
    <s v="Свой контакт (Менеджер)"/>
    <m/>
    <s v="Коммерческие"/>
    <s v="ООО"/>
    <n v="128594"/>
    <s v="Алтайский край (республика Алтай) -1 час"/>
    <m/>
    <m/>
    <m/>
    <s v="Нет"/>
    <m/>
    <m/>
    <m/>
    <m/>
    <s v="Нет"/>
    <s v="Производство. Металлургия"/>
    <m/>
    <m/>
    <m/>
    <m/>
  </r>
  <r>
    <n v="317757"/>
    <s v="ЦП. 1С. Продажи"/>
    <s v="N"/>
    <s v="Y"/>
    <x v="3"/>
    <m/>
    <s v="Савинская Евгения Соболев Максим"/>
    <m/>
    <m/>
    <m/>
    <s v="Соболев Максим"/>
    <s v="ONE_C"/>
    <s v="ООО &quot;АСТ&quot; 7536189110# - Оценка требований"/>
    <s v="Продажа"/>
    <s v="Квиз"/>
    <s v="marquiz.ru ЦП.Фреш: Демонстрация УНФ"/>
    <n v="24000"/>
    <s v="Российский рубль"/>
    <s v="ООО &quot;АСТ&quot; 7536189110#"/>
    <s v="Ястребова Екатерина Александровна"/>
    <m/>
    <s v="нет"/>
    <d v="2026-08-11T12:28:47"/>
    <s v="Соболев Максим"/>
    <d v="2026-09-02T15:30:03"/>
    <s v="Соболев Максим"/>
    <d v="2026-08-11T00:00:00"/>
    <d v="2026-08-18T00:00:00"/>
    <s v="Оценка требований"/>
    <n v="4000"/>
    <n v="6"/>
    <s v="[p] [b]Чем вы занимаетесь?[/b] Торговля (оптовая, розничная) [/p] [p] [b]Какие задачи хотите решить с помощью программы?[/b] Маркировать товары с нуля, Настроить актуализацию остатков, Автоматически обновлять номенклатуру, Найти удобную систему автоматизации маркировки для сотрудник [/p] [p] [b]Сколько человек будет работать в программе?[/b] 3-5 [/p] [p][/p] [p] [b]Местоположение[/b]: Россия, Чита [b]Страница[/b]: [url]https://mrqz.me/64a4fe841f5b5f0025ce34e1?utm_source=yandex&amp;utm_medium=cpc&amp;utm_campaign=mk_1cfresh_quiz_unf_1cdlya_h_1c_17_705141204&amp;utm_content=1906099911443884693&amp;utm_term=---autotargeting&amp;etext=2202.o5uJ0YPiW_xSKS80C6paz-TvupHgW_boMpJeiIXohjs7YIsW1cLZdNChZLNfr4F8yCmiZZbgHIJVzuTkt0rvgHv1z0ly6BF3gQf5Rlx1X0Y9DEavOx1jQKLxIXNj7qqaZ3hpb2x4cHNjZGtkcWRlcQ.278fe3e3626b7cc0358f7d2232acd42ea894ca96&amp;yclid=9398126758440992767[/url] [/p] [p] [b]Согласия[/b]: Я согласен на обработку персональных данных: Да [/p]"/>
    <m/>
    <m/>
    <m/>
    <m/>
    <n v="508"/>
    <d v="2026-08-18T12:09:51"/>
    <m/>
    <s v="yandex"/>
    <s v="cpc"/>
    <s v="mk_1cfresh_quiz_unf_1cdlya_h_1c_17_705141204"/>
    <n v="1.9060999114438799E+18"/>
    <s v="---autotargeting"/>
    <s v="Договор-оферта"/>
    <s v="Нет"/>
    <n v="1"/>
    <m/>
    <m/>
    <m/>
    <m/>
    <s v="ЦП. 1С и ИТС. Коммерция"/>
    <m/>
    <m/>
    <m/>
    <m/>
    <m/>
    <m/>
    <n v="0"/>
    <m/>
    <s v="[b]Чем вы занимаетесь?[/b] Торговля (оптовая, розничная) [b]Какие задачи хотите решить с помощью программы?[/b] Маркировать товары с нуля, Настроить актуализацию остатков, Автоматически обновлять номенклатуру, Найти удобную систему автоматизации маркировки для сотрудник [b]Сколько человек будет работать в программе?[/b] 3-5 [b]Местоположение[/b]: Россия, Чита [b]Страница[/b]: [url=https://mrqz.me/64a4fe841f5b5f0025ce34e1?utm_source=yandex&amp;amp;utm_medium=cpc&amp;amp;utm_campaign=mk_1cfresh_quiz_unf_1cdlya_h_1c_17_705141204&amp;amp;utm_content=1906099911443884693&amp;amp;utm_term=---autotargeting&amp;amp;etext=2202.o5uJ0YPiW_xSKS80C6paz-TvupHgW_boMpJeiIXohjs7YIsW1cLZdNChZLNfr4F8yCmiZZbgHIJVzuTkt0rvgHv1z0ly6BF3gQf5Rlx1X0Y9DEavOx1jQKLxIXNj7qqaZ3hpb2x4cHNjZGtkcWRlcQ.278fe3e3626b7cc0358f7d2232acd42ea894ca96&amp;amp;yclid=9398126758440992767]https://mrqz.me/64a4fe841f5b5f0025ce34e1?utm_source=yandex&amp;amp;utm_medium=cpc&amp;amp;utm_campaign=mk_1cfresh_quiz_unf_1cdlya_h_1c_17_705141204&amp;amp;utm_content=1906099911443884693&amp;amp;utm_term=---autotargeting&amp;amp;etext=2202.o5uJ0YPiW_xSKS80C6paz-TvupHgW_boMpJeiIXohjs7YIsW1cLZdNChZLNfr4F8yCmiZZbgHIJVzuTkt0rvgHv1z0ly6BF3gQf5Rlx1X0Y9DEavOx1jQKLxIXNj7qqaZ3hpb2x4cHNjZGtkcWRlcQ.278fe3e3626b7cc0358f7d2232acd42ea894ca96&amp;amp;yclid=9398126758440992767[/url] [b]Согласия[/b]: Я согласен на обработку персональных данных: Да"/>
    <m/>
    <m/>
    <n v="18"/>
    <m/>
    <s v="ФРДТ-018022"/>
    <m/>
    <s v="ЦП. 1С. Коммерция"/>
    <m/>
    <m/>
    <m/>
    <m/>
    <d v="2026-08-13T00:00:00"/>
    <m/>
    <m/>
    <s v="[CO]ООО НПФ &quot;ФОРУС&quot; 3812023430#"/>
    <s v="Оказание услуг"/>
    <m/>
    <m/>
    <m/>
    <m/>
    <m/>
    <s v="Обычный"/>
    <m/>
    <m/>
    <s v="#Загружено из Битрикс-Коробка#"/>
    <m/>
    <m/>
    <n v="264207"/>
    <s v="Услуги ЦСВ 1С консультации"/>
    <m/>
    <m/>
    <m/>
    <m/>
    <m/>
    <m/>
    <s v="Не было отгрузок"/>
    <m/>
    <m/>
    <m/>
    <m/>
    <s v="Нет"/>
    <m/>
    <m/>
    <m/>
    <m/>
    <m/>
    <m/>
    <m/>
    <m/>
    <m/>
    <m/>
    <s v="АРХИВ_1С Разовые услуги (консультации)"/>
    <m/>
    <m/>
    <s v="Не нужно"/>
    <m/>
    <m/>
    <m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9-02T15:30:00"/>
    <d v="2026-09-02T16:24:47"/>
    <s v="Завершен"/>
    <m/>
    <m/>
    <m/>
    <m/>
    <m/>
    <m/>
    <m/>
    <m/>
    <m/>
    <m/>
    <m/>
    <m/>
    <m/>
    <m/>
    <m/>
    <m/>
    <m/>
    <m/>
    <n v="397515"/>
    <m/>
    <m/>
    <s v="Екатерина"/>
    <s v="Ястребова"/>
    <s v="Александровна"/>
    <m/>
    <m/>
    <s v="Клиенты"/>
    <s v="ROBOT"/>
    <s v="[p] [b]Чем вы занимаетесь?[/b] Торговля (оптовая, розничная) [/p] [p] [b]Какие задачи хотите решить с помощью программы?[/b] Маркировать товары с нуля, Настроить актуализацию остатков, Автоматически обновлять номенклатуру, Найти удобную систему автоматизации маркировки для сотрудник [/p] [p] [b]Сколько человек будет работать в программе?[/b] 3-5 [/p] [p][/p] [p] [b]Местоположение[/b]: Россия, Чита [b]Страница[/b]: [url]https://mrqz.me/64a4fe841f5b5f0025ce34e1?utm_source=yandex&amp;amp;utm_medium=cpc&amp;amp;utm_campaign=mk_1cfresh_quiz_unf_1cdlya_h_1c_17_705141204&amp;amp;utm_content=1906099911443884693&amp;amp;utm_term=---autotargeting&amp;amp;etext=2202.o5uJ0YPiW_xSKS80C6paz-TvupHgW_boMpJeiIXohjs7YIsW1cLZdNChZLNfr4F8yCmiZZbgHIJVzuTkt0rvgHv1z0ly6BF3gQf5Rlx1X0Y9DEavOx1jQKLxIXNj7qqaZ3hpb2x4cHNjZGtkcWRlcQ.278fe3e3626b7cc0358f7d2232acd42ea894ca96&amp;amp;yclid=9398126758440992767[/url] [/p] [p] [b]Согласия[/b]: Я согласен на обработку персональных данных: Да [/p]"/>
    <s v="Свой контакт (Менеджер)"/>
    <s v="marquiz.ru ЦП.Фреш: Демонстрация УНФ"/>
    <s v="Да"/>
    <s v="Соболев Максим"/>
    <d v="2026-08-11T12:28:36"/>
    <s v="ROBOT"/>
    <d v="2026-08-25T15:32:28"/>
    <m/>
    <m/>
    <n v="79144435374"/>
    <m/>
    <m/>
    <m/>
    <m/>
    <m/>
    <m/>
    <m/>
    <m/>
    <m/>
    <m/>
    <m/>
    <m/>
    <s v="yastrebovaea@bk.ru"/>
    <m/>
    <m/>
    <m/>
    <m/>
    <m/>
    <m/>
    <m/>
    <m/>
    <m/>
    <m/>
    <m/>
    <m/>
    <m/>
    <m/>
    <m/>
    <s v="Чита г, нас. пункт Романовский тракт"/>
    <d v="2026-08-11T00:00:00"/>
    <s v="Да"/>
    <m/>
    <s v="Забайкальский край +1 час"/>
    <m/>
    <m/>
    <s v="Нет"/>
    <s v="8b7d1143-92cb-46a2-93d3-58b63db17130"/>
    <n v="258158"/>
    <m/>
    <s v="ООО &quot;АСТ&quot; 7536189110#"/>
    <s v="Клиент"/>
    <s v="менее 50"/>
    <s v="ROBOT"/>
    <m/>
    <s v="Информационные технологии"/>
    <s v="0.00"/>
    <s v="Российский рубль"/>
    <s v="[p] ast-75.ru [/p]"/>
    <s v="Соболев Максим"/>
    <d v="2026-08-16T12:01:28"/>
    <s v="ROBOT_M"/>
    <d v="2026-08-25T15:32:28"/>
    <m/>
    <n v="78003335595"/>
    <n v="237738320481"/>
    <m/>
    <m/>
    <m/>
    <m/>
    <m/>
    <m/>
    <m/>
    <m/>
    <m/>
    <m/>
    <m/>
    <m/>
    <s v="ast-75@bk.ru"/>
    <m/>
    <m/>
    <m/>
    <m/>
    <m/>
    <m/>
    <m/>
    <m/>
    <m/>
    <m/>
    <m/>
    <m/>
    <m/>
    <m/>
    <m/>
    <m/>
    <n v="0"/>
    <s v="ast-75@bk.ru"/>
    <d v="2021-11-01T00:00:00"/>
    <m/>
    <s v="45.19 Торговля прочими автотранспортными средствами"/>
    <m/>
    <s v="Нет"/>
    <m/>
    <m/>
    <s v="АСТ ООО"/>
    <s v="г Чита"/>
    <n v="7536189110"/>
    <m/>
    <m/>
    <m/>
    <m/>
    <s v="ast-75@bk.ru"/>
    <m/>
    <m/>
    <s v="Свой контакт (Менеджер)"/>
    <m/>
    <s v="Коммерческие"/>
    <s v="ООО"/>
    <n v="128798"/>
    <s v="Забайкальский край +1 час"/>
    <m/>
    <m/>
    <m/>
    <s v="Нет"/>
    <m/>
    <m/>
    <m/>
    <m/>
    <s v="Нет"/>
    <s v="Торговля. Автотранспорт и ГСМ"/>
    <m/>
    <m/>
    <s v="Офлайн-розница (собственные магазины)"/>
    <s v="e70e2d5a-7885-4e40-a921-076a1ac89aaf"/>
  </r>
  <r>
    <n v="317756"/>
    <s v="ЦП. 1С. Продажи"/>
    <s v="N"/>
    <s v="Y"/>
    <x v="4"/>
    <m/>
    <m/>
    <m/>
    <m/>
    <m/>
    <s v="Россинский Вадим"/>
    <m/>
    <s v="Красный гость №74 - Продукты и сервисы 1С и ИТС"/>
    <s v="Продажа"/>
    <s v="Онлайн-чат"/>
    <s v="Онлайн-чат"/>
    <s v="0.00"/>
    <s v="Российский рубль"/>
    <s v="АО &quot;ГОРДО ДЕВЕЛОПМЕНТ&quot; 3812534178#"/>
    <s v="Киреев Андрей Михайлович"/>
    <m/>
    <s v="нет"/>
    <d v="2026-08-11T12:18:23"/>
    <s v="Россинский Вадим"/>
    <d v="2026-08-11T13:59:53"/>
    <m/>
    <d v="2026-08-11T00:00:00"/>
    <d v="2026-08-18T00:00:00"/>
    <m/>
    <m/>
    <m/>
    <m/>
    <m/>
    <m/>
    <m/>
    <m/>
    <n v="15488"/>
    <d v="2026-08-11T12:18:23"/>
    <m/>
    <m/>
    <m/>
    <m/>
    <m/>
    <m/>
    <m/>
    <s v="Нет"/>
    <n v="1"/>
    <s v="770598@list.ru"/>
    <n v="79025770598"/>
    <m/>
    <s v="ИРКУТСК"/>
    <s v="ЦП. 1С и ИТС. Коммерция"/>
    <m/>
    <m/>
    <m/>
    <m/>
    <m/>
    <m/>
    <m/>
    <m/>
    <m/>
    <m/>
    <m/>
    <n v="1"/>
    <m/>
    <m/>
    <m/>
    <s v="ЦП. 1С. Коммерция"/>
    <m/>
    <m/>
    <m/>
    <m/>
    <m/>
    <m/>
    <m/>
    <m/>
    <m/>
    <m/>
    <m/>
    <s v="Коммерческие"/>
    <m/>
    <m/>
    <s v="Обычный"/>
    <m/>
    <m/>
    <m/>
    <m/>
    <m/>
    <n v="264212"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s v="Необработанные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НА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Необработанные"/>
    <m/>
    <m/>
    <m/>
    <m/>
    <m/>
    <d v="2026-08-11T12:18:23"/>
    <d v="2026-08-11T13:54:11"/>
    <m/>
    <m/>
    <m/>
    <m/>
    <m/>
    <m/>
    <m/>
    <m/>
    <m/>
    <m/>
    <m/>
    <m/>
    <m/>
    <m/>
    <m/>
    <m/>
    <m/>
    <m/>
    <m/>
    <n v="317362"/>
    <m/>
    <m/>
    <s v="Андрей"/>
    <s v="Киреев"/>
    <s v="Михайлович"/>
    <m/>
    <m/>
    <s v="Клиенты"/>
    <s v="ROBOT"/>
    <m/>
    <s v="Свой контакт (Менеджер)"/>
    <m/>
    <s v="Да"/>
    <s v="Бадун Евгений"/>
    <d v="2023-10-20T18:18:28"/>
    <s v="Дунаевская Светлана"/>
    <d v="2026-08-13T06:44:24"/>
    <m/>
    <m/>
    <n v="79025770598"/>
    <m/>
    <m/>
    <m/>
    <m/>
    <m/>
    <m/>
    <m/>
    <m/>
    <m/>
    <m/>
    <m/>
    <m/>
    <s v="770598@list.ru"/>
    <m/>
    <m/>
    <m/>
    <m/>
    <m/>
    <m/>
    <m/>
    <m/>
    <m/>
    <m/>
    <s v="imol|livechat|18|56194|5374"/>
    <s v="imol|ank_chats_app24_telegram|32|private-787049899h-1149020329417856777|5375"/>
    <m/>
    <m/>
    <s v="5374, 5375"/>
    <s v="Иркутск г"/>
    <d v="2023-10-20T00:00:00"/>
    <s v="Да"/>
    <m/>
    <s v="Иркутская область 0 часов"/>
    <m/>
    <m/>
    <s v="Нет"/>
    <s v="3543030f-ceee-11e7-b311-0026554f9a58"/>
    <n v="195524"/>
    <m/>
    <s v="АО &quot;ГОРДО ДЕВЕЛОПМЕНТ&quot; 3812534178#"/>
    <s v="Клиент"/>
    <m/>
    <s v="ROBOT"/>
    <m/>
    <m/>
    <m/>
    <s v="Российский рубль"/>
    <m/>
    <s v="ROBOT_M"/>
    <d v="2022-01-25T08:59:31"/>
    <s v="ROBOT_M"/>
    <d v="2026-08-11T13:15:34"/>
    <m/>
    <n v="73952648884"/>
    <m/>
    <m/>
    <m/>
    <m/>
    <m/>
    <m/>
    <m/>
    <m/>
    <m/>
    <m/>
    <m/>
    <m/>
    <m/>
    <s v="vt@jaywick.ru, it@vsit38.ru"/>
    <m/>
    <m/>
    <m/>
    <m/>
    <m/>
    <m/>
    <m/>
    <m/>
    <m/>
    <m/>
    <m/>
    <m/>
    <m/>
    <m/>
    <m/>
    <m/>
    <n v="0"/>
    <m/>
    <d v="2020-11-17T00:00:00"/>
    <m/>
    <s v="70.22 Консультирование по вопросам коммерческой деятельности и управления"/>
    <m/>
    <s v="Нет"/>
    <d v="2022-01-28T00:00:00"/>
    <d v="2024-12-12T00:00:00"/>
    <s v="Гордо Девелопмент АО"/>
    <s v="ИРКУТСК"/>
    <n v="3812534178"/>
    <m/>
    <m/>
    <s v="Баланс — 7,5 млн Выручка — 14 млн Чистая прибыль — 5,7 млн"/>
    <m/>
    <s v="info@zhs38.ru"/>
    <m/>
    <m/>
    <s v="Свой контакт (Менеджер)"/>
    <m/>
    <s v="Коммерческие"/>
    <s v="НАО"/>
    <n v="90572"/>
    <s v="Иркутская область 0 часов"/>
    <m/>
    <m/>
    <m/>
    <m/>
    <m/>
    <m/>
    <m/>
    <m/>
    <s v="Нет"/>
    <s v="Услуги. Прочие"/>
    <m/>
    <m/>
    <m/>
    <s v="0d5be8ae-5433-4ae1-8cf9-eb9933927a90"/>
  </r>
  <r>
    <n v="317722"/>
    <s v="ЦП. ФРЕШ. Продажи"/>
    <s v="N"/>
    <s v="N"/>
    <x v="6"/>
    <m/>
    <m/>
    <m/>
    <m/>
    <m/>
    <s v="Россинский Вадим"/>
    <m/>
    <s v="ООО&quot;СИБАВТОЗАПЧАСТЬ38&quot; 3827049576#"/>
    <s v="Продажа"/>
    <s v="Почта электронная"/>
    <m/>
    <s v="0.00"/>
    <s v="Российский рубль"/>
    <s v="ООО&quot;СИБАВТОЗАПЧАСТЬ38&quot; 3827049576#"/>
    <s v="Скопивцева Людмила Евгеньевна"/>
    <m/>
    <s v="нет"/>
    <d v="2026-08-11T10:44:28"/>
    <s v="Россинский Вадим"/>
    <d v="2026-08-11T15:35:16"/>
    <s v="ROBOT_M"/>
    <d v="2026-08-11T00:00:00"/>
    <d v="2026-08-18T00:00:00"/>
    <m/>
    <m/>
    <m/>
    <m/>
    <m/>
    <m/>
    <m/>
    <m/>
    <n v="5"/>
    <d v="2026-08-11T15:35:13"/>
    <m/>
    <m/>
    <m/>
    <m/>
    <m/>
    <m/>
    <m/>
    <s v="Нет"/>
    <n v="2"/>
    <m/>
    <m/>
    <m/>
    <s v="С. МАМОНЫ,"/>
    <s v="ЦП. 1С и ИТС. Коммерция"/>
    <d v="2026-09-10T00:00:00"/>
    <m/>
    <m/>
    <m/>
    <m/>
    <m/>
    <n v="0"/>
    <m/>
    <m/>
    <m/>
    <m/>
    <n v="0"/>
    <m/>
    <m/>
    <m/>
    <s v="ЦП. 1С. Коммерция"/>
    <m/>
    <m/>
    <m/>
    <m/>
    <m/>
    <m/>
    <m/>
    <m/>
    <m/>
    <m/>
    <m/>
    <s v="Коммерческие"/>
    <m/>
    <m/>
    <s v="Обычный"/>
    <m/>
    <m/>
    <m/>
    <m/>
    <m/>
    <m/>
    <m/>
    <m/>
    <m/>
    <m/>
    <m/>
    <m/>
    <m/>
    <s v="Не было отгрузок"/>
    <m/>
    <m/>
    <m/>
    <m/>
    <s v="Нет"/>
    <m/>
    <m/>
    <m/>
    <m/>
    <m/>
    <m/>
    <m/>
    <m/>
    <m/>
    <s v="Необработанные"/>
    <s v="ФРЕШ и ГРМ"/>
    <m/>
    <m/>
    <s v="Не нужно"/>
    <m/>
    <m/>
    <m/>
    <s v="Уточнить потребност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Уточнить потребности"/>
    <m/>
    <m/>
    <m/>
    <m/>
    <m/>
    <d v="2026-08-11T15:35:14"/>
    <d v="2026-08-11T15:54:19"/>
    <m/>
    <m/>
    <m/>
    <m/>
    <m/>
    <m/>
    <m/>
    <m/>
    <m/>
    <m/>
    <m/>
    <m/>
    <m/>
    <m/>
    <m/>
    <m/>
    <m/>
    <m/>
    <m/>
    <n v="223798"/>
    <m/>
    <m/>
    <s v="Людмила"/>
    <s v="Скопивцева"/>
    <s v="Евгеньевна"/>
    <m/>
    <m/>
    <m/>
    <s v="ROBOT"/>
    <s v="[p] &amp;#91;Автор=RobotIntegro&amp;#93;&amp;#91;Редактор=Лубсанова Анжелика Александровна&amp;#93; [/p]"/>
    <s v="Звонок"/>
    <s v="Звонок поступил на номер: ЦП 78-00-00 (62)."/>
    <s v="Да"/>
    <s v="ROBOT_M"/>
    <d v="2021-08-02T18:31:36"/>
    <s v="Дунаевская Светлана"/>
    <d v="2026-08-14T06:44:39"/>
    <m/>
    <m/>
    <n v="158395278582"/>
    <m/>
    <m/>
    <m/>
    <m/>
    <m/>
    <m/>
    <m/>
    <m/>
    <m/>
    <m/>
    <m/>
    <m/>
    <s v="transservis5@mail.ru"/>
    <m/>
    <m/>
    <m/>
    <m/>
    <m/>
    <m/>
    <m/>
    <m/>
    <m/>
    <m/>
    <m/>
    <s v="imol|ank_chats_app24_whatsapp|32|79149185391|18844"/>
    <m/>
    <m/>
    <n v="18844"/>
    <s v="село Мамоны"/>
    <d v="2019-08-12T00:00:00"/>
    <s v="Да"/>
    <m/>
    <s v="Иркутская область 0 часов"/>
    <m/>
    <m/>
    <s v="Нет"/>
    <s v="0db6ca15-2d01-11e8-a128-000c292f7de4"/>
    <n v="171905"/>
    <m/>
    <s v="ООО&quot;СИБАВТОЗАПЧАСТЬ38&quot; 3827049576#"/>
    <s v="Клиент"/>
    <m/>
    <s v="ROBOT"/>
    <m/>
    <m/>
    <m/>
    <s v="Российский рубль"/>
    <m/>
    <s v="ROBOT_M"/>
    <d v="2021-08-04T00:31:52"/>
    <s v="ROBOT_M"/>
    <d v="2026-08-11T16:53:27"/>
    <m/>
    <n v="73952438575"/>
    <m/>
    <m/>
    <m/>
    <m/>
    <m/>
    <m/>
    <m/>
    <m/>
    <m/>
    <m/>
    <m/>
    <m/>
    <m/>
    <s v="ta-belozerova@mail.ru"/>
    <m/>
    <m/>
    <m/>
    <m/>
    <m/>
    <m/>
    <m/>
    <m/>
    <m/>
    <m/>
    <m/>
    <m/>
    <m/>
    <m/>
    <m/>
    <m/>
    <n v="0"/>
    <s v="ta-belozerova@mail.ru"/>
    <d v="2015-12-04T00:00:00"/>
    <m/>
    <s v="45.31.1 Торговля оптовая автомобильными деталями, узлами и принадлежностями, кроме деятельности агентов"/>
    <m/>
    <s v="Нет"/>
    <m/>
    <m/>
    <s v="СИБАВТОЗАПЧАСТЬ38 ООО"/>
    <s v="С. МАМОНЫ,"/>
    <n v="3827049576"/>
    <m/>
    <m/>
    <m/>
    <m/>
    <s v="ta-belozerova@mail.ru"/>
    <m/>
    <m/>
    <m/>
    <m/>
    <s v="Коммерческие"/>
    <s v="ООО"/>
    <n v="128556"/>
    <s v="Иркутская область 0 часов"/>
    <m/>
    <m/>
    <m/>
    <m/>
    <m/>
    <m/>
    <m/>
    <m/>
    <s v="Нет"/>
    <s v="Торговля. Автотранспорт и ГСМ"/>
    <m/>
    <m/>
    <m/>
    <s v="0a44c003-f5a5-4ee8-8726-c390ede3ff98"/>
  </r>
  <r>
    <n v="317666"/>
    <s v="ЦП. 1С. Продажи"/>
    <s v="N"/>
    <s v="N"/>
    <x v="8"/>
    <m/>
    <m/>
    <m/>
    <m/>
    <m/>
    <s v="Россинский Вадим"/>
    <m/>
    <s v="Астрал Лид. Артур Кутуев"/>
    <s v="Продажа"/>
    <s v="Мероприятие стороннее (прочее)"/>
    <s v="Астрал"/>
    <s v="0.00"/>
    <s v="Российский рубль"/>
    <m/>
    <s v="Кутуев Артур"/>
    <m/>
    <s v="нет"/>
    <d v="2026-08-10T17:49:10"/>
    <s v="Россинский Вадим"/>
    <d v="2026-08-10T17:49:31"/>
    <s v="ROBOT_M"/>
    <d v="2026-08-10T00:00:00"/>
    <d v="2026-08-17T00:00:00"/>
    <m/>
    <m/>
    <m/>
    <s v="[p] 27408895089 [/p]"/>
    <m/>
    <m/>
    <m/>
    <m/>
    <n v="15488"/>
    <d v="2026-08-10T17:49:29"/>
    <m/>
    <m/>
    <m/>
    <m/>
    <m/>
    <m/>
    <m/>
    <s v="Нет"/>
    <n v="1"/>
    <m/>
    <n v="79153034931"/>
    <m/>
    <m/>
    <s v="ЦП. 1С и ИТС. Коммерция"/>
    <m/>
    <m/>
    <m/>
    <m/>
    <m/>
    <m/>
    <n v="0"/>
    <s v="Артур"/>
    <s v="[p] 27408895089 [/p]"/>
    <m/>
    <m/>
    <n v="0"/>
    <m/>
    <m/>
    <m/>
    <s v="ЦП. 1С. Коммерция"/>
    <m/>
    <m/>
    <m/>
    <m/>
    <m/>
    <m/>
    <m/>
    <m/>
    <m/>
    <m/>
    <m/>
    <m/>
    <m/>
    <m/>
    <s v="Обычный"/>
    <m/>
    <m/>
    <m/>
    <m/>
    <m/>
    <n v="264146"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s v="Уточнить потребност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Уточнить потребности"/>
    <m/>
    <m/>
    <m/>
    <m/>
    <m/>
    <d v="2026-08-10T17:49:30"/>
    <d v="2026-08-10T17:49:41"/>
    <m/>
    <m/>
    <m/>
    <m/>
    <m/>
    <m/>
    <m/>
    <m/>
    <m/>
    <m/>
    <m/>
    <m/>
    <m/>
    <m/>
    <m/>
    <m/>
    <m/>
    <m/>
    <m/>
    <n v="397491"/>
    <m/>
    <m/>
    <s v="Артур"/>
    <s v="Кутуев"/>
    <m/>
    <m/>
    <m/>
    <s v="Клиенты"/>
    <s v="ROBOT"/>
    <s v="[p] 27408895089 [/p]"/>
    <s v="Мероприятие стороннее (прочее)"/>
    <s v="Астрал"/>
    <s v="Да"/>
    <s v="Россинский Вадим"/>
    <d v="2026-08-10T17:49:07"/>
    <s v="ROBOT"/>
    <d v="2026-08-10T17:49:07"/>
    <m/>
    <m/>
    <n v="79153034931"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8-10T00:00:00"/>
    <s v="Да"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7631"/>
    <s v="1С. Комплексные продажи"/>
    <s v="N"/>
    <s v="N"/>
    <x v="4"/>
    <m/>
    <s v="Савинская Евгения Россинский Вадим"/>
    <m/>
    <m/>
    <m/>
    <s v="Россинский Вадим"/>
    <m/>
    <s v="Сделка #317631"/>
    <s v="Продажа"/>
    <s v="Визит в офис"/>
    <m/>
    <s v="0.00"/>
    <s v="Российский рубль"/>
    <m/>
    <s v="Леонтьев Никита"/>
    <m/>
    <s v="нет"/>
    <d v="2026-08-10T15:42:08"/>
    <s v="Россинский Вадим"/>
    <d v="2026-08-31T18:00:06"/>
    <s v="Россинский Вадим"/>
    <d v="2026-08-10T00:00:00"/>
    <d v="2026-08-17T00:00:00"/>
    <m/>
    <m/>
    <m/>
    <m/>
    <m/>
    <m/>
    <m/>
    <m/>
    <n v="15488"/>
    <d v="2026-08-10T15:42:08"/>
    <m/>
    <m/>
    <m/>
    <m/>
    <m/>
    <m/>
    <m/>
    <s v="Нет"/>
    <n v="0"/>
    <m/>
    <m/>
    <m/>
    <m/>
    <s v="ЦП. 1С и ИТС. Коммерция"/>
    <m/>
    <m/>
    <m/>
    <m/>
    <m/>
    <m/>
    <m/>
    <m/>
    <m/>
    <m/>
    <m/>
    <n v="3"/>
    <m/>
    <m/>
    <m/>
    <s v="ЦП. 1С. Коммерция"/>
    <m/>
    <m/>
    <m/>
    <m/>
    <m/>
    <m/>
    <m/>
    <m/>
    <m/>
    <m/>
    <m/>
    <m/>
    <m/>
    <m/>
    <s v="Обычный"/>
    <m/>
    <m/>
    <m/>
    <m/>
    <m/>
    <m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31T18:00:00"/>
    <d v="2026-08-17T16:31:49"/>
    <m/>
    <m/>
    <m/>
    <m/>
    <m/>
    <m/>
    <m/>
    <m/>
    <m/>
    <m/>
    <m/>
    <m/>
    <m/>
    <m/>
    <m/>
    <m/>
    <m/>
    <m/>
    <m/>
    <n v="393801"/>
    <m/>
    <m/>
    <s v="Никита"/>
    <s v="Леонтьев"/>
    <m/>
    <m/>
    <m/>
    <s v="Клиенты"/>
    <s v="ROBOT"/>
    <m/>
    <s v="Свой контакт (Менеджер)"/>
    <m/>
    <s v="Да"/>
    <s v="Россинский Вадим"/>
    <d v="2026-06-15T14:01:21"/>
    <s v="ROBOT_M"/>
    <d v="2026-07-27T08:26:07"/>
    <m/>
    <m/>
    <n v="79025680060"/>
    <m/>
    <m/>
    <m/>
    <m/>
    <m/>
    <m/>
    <m/>
    <m/>
    <m/>
    <m/>
    <m/>
    <m/>
    <s v="nixleo@yandex.ru"/>
    <m/>
    <m/>
    <m/>
    <m/>
    <m/>
    <m/>
    <m/>
    <m/>
    <m/>
    <m/>
    <m/>
    <s v="imol|ank_chats_app24_max|59|private-185707810|24555"/>
    <m/>
    <m/>
    <n v="24555"/>
    <m/>
    <d v="2026-06-15T00:00:00"/>
    <s v="Да"/>
    <m/>
    <s v="Иркутская область 0 часов"/>
    <m/>
    <m/>
    <s v="Нет"/>
    <s v="b8506e60-58ab-493b-b662-9ad8a0de097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7628"/>
    <s v="ЦП. 1С. Продажи"/>
    <s v="Y"/>
    <s v="N"/>
    <x v="4"/>
    <m/>
    <m/>
    <m/>
    <m/>
    <m/>
    <s v="Россинский Вадим"/>
    <s v="ONE_C"/>
    <s v="Заказ на сайте its.1c.ru ORD260810-1786335246"/>
    <s v="Продажа"/>
    <s v="1С Сайт its.1c.ru"/>
    <m/>
    <n v="1400"/>
    <s v="Российский рубль"/>
    <s v="ООО &quot;АНИКО&quot; 3812116685#"/>
    <s v="Заволженская Ирина Викторовна"/>
    <m/>
    <s v="нет"/>
    <d v="2026-08-10T15:28:04"/>
    <s v="Россинский Вадим"/>
    <d v="2026-08-10T16:41:49"/>
    <m/>
    <d v="2026-08-10T00:00:00"/>
    <d v="2026-08-17T00:00:00"/>
    <s v="1С-ЭДО. ЭПД-200 на 12 месяцев"/>
    <n v="1400"/>
    <n v="1"/>
    <s v="[p] Заказ на сайте [url=https://its.1c.ru]its.1c.ru[/url] ORD260810-1786335246 [/p] [p] a:hover, a:active{color:#16489b;text-decoration:underline} #mail-message-wrapper a:hover, #mail-message-wrapper a:active{color:#16489b;text-decoration:underline} [b]Новый заказ на сайте [/b][url=https://its.1c.ru][b]its.1c.ru[/b][/url] [/p] [p] Уважаемый партнер! [/p] [p] [/p] [p] Вы получили новый заказ на сайте [url=https://its.1c.ru]its.1c.ru[/url]: [/p] [p] Номер заказа: ORD260810-1786335246 Источник: [url=https://its.1c.ru]its.1c.ru[/url] Время отправки: 2026-08-10 12:14:06 Контактное лицо: Ирина Телефон: &amp;#43;79148703252 E-mail: [url=mailto:irixa78@mail.ru]irixa78@mail.ru[/url] ИНН/ЕДРПОУ: Регион (город): Иркутская область, Иркутск Комментарий: Заказ на 1С-ЭПД [/p] [p] Внимательно ознакомьтесь с правилами обработки заказа в [url=https://its.1c.ru/db/partnerits#content:1636:hdoc]справочнике партнера[/url]. [/p] [p] 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[*]В течение 1 рабочего часа с момента получения заказа свяжитесь с клиентом, уточните заказ и поставьте отметку о том, что вы приняли заказ в работу.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 [/p] [p] Вопросы по обработке заказа присылайте на электронную почту [url=mailto:web-its@1c.ru]web-its@1c.ru[/url]. [/p] [p] [/p] [p][/p] [p] С уважением, администрация сайта [url=https://its.1c.ru/]its.1c.ru[/url]. [/p]"/>
    <m/>
    <m/>
    <m/>
    <m/>
    <n v="15488"/>
    <d v="2026-08-10T15:28:04"/>
    <m/>
    <m/>
    <m/>
    <m/>
    <m/>
    <m/>
    <s v="Договор-оферта"/>
    <s v="Нет"/>
    <n v="1"/>
    <s v="irixa78@mail.ru"/>
    <n v="79148703252"/>
    <s v="[CO]ООО &quot;ЭЛИТБАЙКАЛ&quot; 3810340804#"/>
    <s v="Иркутск г"/>
    <s v="ЦП. 1С и ИТС. Коммерция"/>
    <m/>
    <m/>
    <m/>
    <m/>
    <m/>
    <m/>
    <m/>
    <s v="Ирина"/>
    <s v="Заказ на сайте its.1c.ru ORD260810-1786335246 a:hover, a:active {color:#16489b;text-decoration:underline} #mail-message-wrapper a:hover, #mail-message-wrapper a:active {color:#16489b;text-decoration:underline} [b]Новый заказ на сайте its.1c.ru[/b] [p]Уважаемый партнер![/p] [p]Вы получили новый заказ на сайте its.1c.ru:[/p] Номер заказа: ORD260810-1786335246 Источник: its.1c.ru Время отправки: 2026-08-10 12:14:06 Контактное лицо: Ирина Телефон: &amp;amp;#43;79148703252 E-mail: [url=mailto:irixa78@mail.ru]irixa78@mail.ru[/url] ИНН/ЕДРПОУ: Регион (город): Иркутская область, Иркутск Комментарий: Заказ на 1С-ЭПД [p]Внимательно ознакомьтесь с правилами обработки заказа в [url=https://its.1c.ru/db/partnerits#content:1636:hdoc]справочнике партнера[/url].[/p] [list=1] [*]Ваши заказы доступны на странице [url=https://its.1c.ru/partner/order/admin]its.1c.ru/partner/order/admin[/url]. Для входа используйте логин/пароль Портала 1С:ИТС сотрудника партнерской организации. [*]В течение 1 рабочего часа с момента получения заказа свяжитесь с клиентом, уточните заказ и поставьте отметку о том, что вы приняли заказ в работу. [*]При невыполнении п.2 заказ может быть передан другому партнеру или вы можете быть исключены из списка выбора партнеров на 24 часа (бан). В случае повторных нарушений регламента срок бана может быть увеличен. [/list] [p]Вопросы по обработке заказа присылайте на электронную почту [url=mailto:web-its@1c.ru]web-its@1c.ru[/url].[/p] [p]С уважением, администрация сайта [url=https://its.1c.ru/]its.1c.ru[/url].[p] [/p][/p]"/>
    <m/>
    <m/>
    <n v="2"/>
    <m/>
    <s v="ФРДТ-017797"/>
    <m/>
    <s v="ЦП. 1С. Коммерция"/>
    <m/>
    <m/>
    <m/>
    <m/>
    <d v="2026-08-10T00:00:00"/>
    <m/>
    <m/>
    <s v="[CO]ООО НПФ &quot;ФОРУС&quot; 3812023430#"/>
    <s v="Сервисы"/>
    <m/>
    <m/>
    <s v="Коммерческие"/>
    <m/>
    <m/>
    <s v="Обычный"/>
    <m/>
    <m/>
    <m/>
    <m/>
    <m/>
    <n v="264035"/>
    <s v="1С-ЭДО Предоплаченные ТП"/>
    <m/>
    <m/>
    <m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-ЭПД"/>
    <s v="Необработанные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Необработанные"/>
    <m/>
    <m/>
    <m/>
    <m/>
    <m/>
    <d v="2026-08-10T15:28:04"/>
    <d v="2026-08-21T14:56:03"/>
    <m/>
    <m/>
    <m/>
    <m/>
    <m/>
    <m/>
    <m/>
    <m/>
    <m/>
    <m/>
    <m/>
    <m/>
    <m/>
    <m/>
    <m/>
    <m/>
    <m/>
    <m/>
    <m/>
    <n v="208315"/>
    <m/>
    <m/>
    <s v="Ирина"/>
    <s v="Заволженская"/>
    <s v="Викторовна"/>
    <m/>
    <m/>
    <m/>
    <s v="ROBOT"/>
    <s v="[Автор=WEBITIL][Редактор=Мясоедова Александра] [Автор=БитриксКоробка]"/>
    <s v="1С Сайт its.1c.ru"/>
    <m/>
    <s v="Да"/>
    <s v="ROBOT_M"/>
    <d v="2021-07-10T00:47:27"/>
    <s v="ROBOT"/>
    <d v="2026-06-19T11:44:33"/>
    <m/>
    <m/>
    <n v="79148703252"/>
    <m/>
    <m/>
    <m/>
    <m/>
    <m/>
    <m/>
    <m/>
    <m/>
    <m/>
    <m/>
    <m/>
    <m/>
    <s v="irixa78@mail.ru"/>
    <m/>
    <m/>
    <m/>
    <m/>
    <m/>
    <m/>
    <m/>
    <m/>
    <m/>
    <m/>
    <m/>
    <m/>
    <m/>
    <m/>
    <m/>
    <s v="МАРКОВА рп"/>
    <d v="2020-08-12T00:00:00"/>
    <s v="Да"/>
    <m/>
    <s v="Иркутская область 0 часов"/>
    <m/>
    <m/>
    <s v="Нет"/>
    <s v="92a9ee80-0d9a-48ab-be1f-96d3eb4eee25"/>
    <n v="128013"/>
    <m/>
    <s v="ООО &quot;АНИКО&quot; 3812116685#"/>
    <s v="Клиент. Группа компаний"/>
    <m/>
    <s v="ROBOT"/>
    <m/>
    <m/>
    <m/>
    <s v="Российский рубль"/>
    <m/>
    <s v="ROBOT_M"/>
    <d v="2021-07-07T12:33:32"/>
    <s v="Вязовских Татьяна"/>
    <d v="2026-08-10T16:43:52"/>
    <m/>
    <m/>
    <m/>
    <m/>
    <m/>
    <m/>
    <m/>
    <m/>
    <m/>
    <m/>
    <m/>
    <m/>
    <m/>
    <m/>
    <m/>
    <s v="irixa78@mail.ru"/>
    <m/>
    <m/>
    <m/>
    <m/>
    <m/>
    <m/>
    <m/>
    <m/>
    <m/>
    <m/>
    <m/>
    <m/>
    <m/>
    <m/>
    <m/>
    <m/>
    <n v="0"/>
    <m/>
    <d v="2015-11-10T00:00:00"/>
    <m/>
    <s v="96.04 Деятельность физкультурно- оздоровительная"/>
    <s v="[CO]ООО &quot;ЭЛИТБАЙКАЛ&quot; 3810340804#"/>
    <s v="Нет"/>
    <d v="2016-03-09T00:00:00"/>
    <d v="2025-04-18T00:00:00"/>
    <s v="АНИКО ООО"/>
    <s v="Иркутск г"/>
    <n v="3812116685"/>
    <m/>
    <m/>
    <m/>
    <m/>
    <m/>
    <m/>
    <m/>
    <m/>
    <m/>
    <s v="Коммерческие"/>
    <s v="ООО"/>
    <n v="39169"/>
    <s v="Иркутская область 0 часов"/>
    <m/>
    <m/>
    <m/>
    <s v="Да, компания работает"/>
    <s v="[C]Заволженская Ирина Викторовна"/>
    <m/>
    <m/>
    <m/>
    <s v="Нет"/>
    <s v="Здравоохранение"/>
    <m/>
    <m/>
    <m/>
    <s v="59bdbf5b-bab1-11e5-bac5-0026554f9a58"/>
  </r>
  <r>
    <n v="317568"/>
    <s v="ЦП. 1С. Продажи"/>
    <s v="N"/>
    <s v="N"/>
    <x v="8"/>
    <m/>
    <m/>
    <m/>
    <m/>
    <m/>
    <s v="Россинский Вадим"/>
    <m/>
    <s v="Холодный обзвон. Алтайский край. ООО &quot;АХТАМАР&quot;"/>
    <s v="Продажа"/>
    <s v="Холодный обзвон"/>
    <s v="ЛИК:Эксперт. Апрель 26. Производственники"/>
    <s v="0.00"/>
    <s v="Российский рубль"/>
    <s v="ИП Щербинина Оксана Александровна 220800264882#"/>
    <s v="Марина Ивановна"/>
    <m/>
    <s v="нет"/>
    <d v="2026-08-10T12:01:59"/>
    <s v="Шкаруба Кристина"/>
    <d v="2026-08-27T10:00:08"/>
    <s v="Россинский Вадим"/>
    <d v="2026-08-10T00:00:00"/>
    <d v="2026-08-17T00:00:00"/>
    <m/>
    <m/>
    <m/>
    <s v="[p] Производство прочей мебели [/p]"/>
    <m/>
    <m/>
    <m/>
    <m/>
    <n v="15488"/>
    <d v="2026-08-11T17:53:49"/>
    <m/>
    <m/>
    <m/>
    <m/>
    <m/>
    <m/>
    <m/>
    <s v="Нет"/>
    <n v="1"/>
    <m/>
    <n v="79130205840"/>
    <m/>
    <m/>
    <s v="ЦП. 1С и ИТС. Коммерция"/>
    <m/>
    <m/>
    <m/>
    <m/>
    <m/>
    <m/>
    <n v="0"/>
    <s v="САМВЕЛ"/>
    <s v="Производство прочей мебели"/>
    <m/>
    <m/>
    <n v="7"/>
    <m/>
    <m/>
    <m/>
    <s v="ЦП. 1С. Коммерция"/>
    <m/>
    <m/>
    <m/>
    <m/>
    <m/>
    <m/>
    <m/>
    <m/>
    <m/>
    <m/>
    <m/>
    <m/>
    <m/>
    <m/>
    <s v="Обычный"/>
    <m/>
    <m/>
    <m/>
    <m/>
    <m/>
    <n v="236141"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s v="Уточнить потребност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Уточнить потребности"/>
    <m/>
    <m/>
    <m/>
    <m/>
    <m/>
    <d v="2026-08-27T10:00:00"/>
    <d v="2026-08-31T16:31:52"/>
    <m/>
    <m/>
    <m/>
    <m/>
    <m/>
    <m/>
    <m/>
    <m/>
    <m/>
    <m/>
    <m/>
    <m/>
    <m/>
    <m/>
    <m/>
    <m/>
    <m/>
    <m/>
    <m/>
    <n v="398375"/>
    <m/>
    <m/>
    <s v="Ивановна"/>
    <s v="Марина"/>
    <m/>
    <m/>
    <m/>
    <s v="Клиенты"/>
    <s v="ROBOT"/>
    <m/>
    <s v="Свой контакт (Менеджер)"/>
    <m/>
    <s v="Да"/>
    <s v="Россинский Вадим"/>
    <d v="2026-08-24T15:02:35"/>
    <s v="ROBOT_UT"/>
    <d v="2026-08-28T06:44:36"/>
    <m/>
    <m/>
    <n v="79130205840"/>
    <m/>
    <m/>
    <m/>
    <m/>
    <m/>
    <m/>
    <m/>
    <m/>
    <m/>
    <m/>
    <m/>
    <m/>
    <s v="marinuska74@mail.ru"/>
    <m/>
    <m/>
    <m/>
    <m/>
    <m/>
    <m/>
    <m/>
    <m/>
    <m/>
    <m/>
    <m/>
    <m/>
    <m/>
    <m/>
    <m/>
    <s v="г Новоалтайск"/>
    <d v="2026-08-24T00:00:00"/>
    <s v="Да"/>
    <m/>
    <s v="Алтайский край (республика Алтай) -1 час"/>
    <m/>
    <m/>
    <s v="Нет"/>
    <s v="c514b018-afda-4d17-af37-6a13f0242cf0"/>
    <n v="258415"/>
    <m/>
    <s v="ИП Щербинина Оксана Александровна 220800264882#"/>
    <s v="Клиент"/>
    <s v="менее 50"/>
    <s v="ROBOT"/>
    <m/>
    <s v="Информационные технологии"/>
    <s v="0.00"/>
    <s v="Российский рубль"/>
    <m/>
    <s v="Россинский Вадим"/>
    <d v="2026-08-24T15:01:41"/>
    <s v="ROBOT_M"/>
    <d v="2026-08-24T15:14:13"/>
    <m/>
    <m/>
    <m/>
    <m/>
    <m/>
    <m/>
    <m/>
    <m/>
    <m/>
    <m/>
    <m/>
    <m/>
    <m/>
    <m/>
    <m/>
    <s v="altgazon@mail.ru"/>
    <m/>
    <m/>
    <m/>
    <m/>
    <m/>
    <m/>
    <m/>
    <m/>
    <m/>
    <m/>
    <m/>
    <m/>
    <m/>
    <m/>
    <m/>
    <m/>
    <n v="0"/>
    <m/>
    <m/>
    <m/>
    <s v="01.30 Выращивание рассады"/>
    <m/>
    <s v="Нет"/>
    <m/>
    <m/>
    <s v="Щербинина Оксана Александровна, Инн 220800264882"/>
    <s v="г Новоалтайск"/>
    <n v="220800264882"/>
    <m/>
    <m/>
    <m/>
    <m/>
    <m/>
    <m/>
    <m/>
    <s v="Свой контакт (Менеджер)"/>
    <m/>
    <s v="Коммерческие"/>
    <s v="ИП"/>
    <n v="129020"/>
    <s v="Алтайский край (республика Алтай) -1 час"/>
    <m/>
    <m/>
    <m/>
    <s v="Нет"/>
    <m/>
    <m/>
    <m/>
    <m/>
    <s v="Нет"/>
    <s v="Производство. Сельское хозяйство"/>
    <m/>
    <m/>
    <m/>
    <s v="8db28e34-2723-4935-aa4d-8f9c0f36104d"/>
  </r>
  <r>
    <n v="317562"/>
    <s v="ЦП. 1С. Продажи"/>
    <s v="Y"/>
    <s v="N"/>
    <x v="3"/>
    <m/>
    <m/>
    <m/>
    <m/>
    <m/>
    <s v="Федосеев Максим"/>
    <s v="ONE_C"/>
    <s v="ООО &quot;ФОРКС&quot; 3810323990# - 1С Лицензии"/>
    <s v="Продажа"/>
    <s v="Звонок"/>
    <s v="Звонок поступил на номер: ЦП 78-00-00 (62)."/>
    <n v="126800"/>
    <s v="Российский рубль"/>
    <s v="ООО &quot;ФОРКС&quot; 3810323990#"/>
    <s v="Новиков Александр"/>
    <m/>
    <s v="нет"/>
    <d v="2026-08-10T11:18:59"/>
    <s v="Федосеев Максим"/>
    <d v="2026-09-01T13:21:56"/>
    <s v="Манушкина Дарья"/>
    <d v="2026-08-10T00:00:00"/>
    <d v="2026-08-17T00:00:00"/>
    <s v="1С:Предприятие 8.3 ПРОФ. Лицензия на сервер (x86-64). Электронная поставка (&lt;&gt;)"/>
    <n v="126800"/>
    <n v="1"/>
    <m/>
    <m/>
    <m/>
    <m/>
    <m/>
    <n v="14748"/>
    <d v="2026-08-10T11:24:57"/>
    <m/>
    <m/>
    <m/>
    <m/>
    <m/>
    <m/>
    <s v="Договор-оферта"/>
    <s v="Нет"/>
    <n v="1"/>
    <m/>
    <n v="73952434322"/>
    <m/>
    <s v="Иркутск г"/>
    <s v="ЦП. 1С и ИТС. Коммерция"/>
    <m/>
    <m/>
    <m/>
    <m/>
    <m/>
    <m/>
    <n v="0"/>
    <m/>
    <m/>
    <m/>
    <s v="Небольшой опыт"/>
    <n v="22"/>
    <m/>
    <s v="ФРДТ-017765"/>
    <m/>
    <s v="ЦП. 1С. Коммерция"/>
    <m/>
    <m/>
    <m/>
    <m/>
    <d v="2026-08-10T00:00:00"/>
    <m/>
    <m/>
    <s v="[CO]ООО НПФ &quot;ФОРУС&quot; 3812023430#"/>
    <s v="Сублицензионный"/>
    <m/>
    <m/>
    <s v="Коммерческие"/>
    <m/>
    <m/>
    <s v="Обычный"/>
    <m/>
    <m/>
    <s v="#Загружено из Битрикс-Коробка#"/>
    <m/>
    <m/>
    <n v="264011"/>
    <s v="1С СервЛиц ПРОФ;1С КлЛиц ПРОФ"/>
    <m/>
    <m/>
    <m/>
    <m/>
    <m/>
    <m/>
    <s v="Не было отгрузок"/>
    <m/>
    <m/>
    <m/>
    <m/>
    <s v="Нет"/>
    <m/>
    <m/>
    <m/>
    <m/>
    <m/>
    <m/>
    <m/>
    <m/>
    <m/>
    <m/>
    <s v="1С Программы и лицензии"/>
    <s v="1С Лицензии"/>
    <s v="Эл. Поставка"/>
    <s v="Не нужно"/>
    <m/>
    <m/>
    <m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9-01T13:18:35"/>
    <d v="2026-09-02T12:16:46"/>
    <m/>
    <m/>
    <m/>
    <m/>
    <m/>
    <m/>
    <m/>
    <m/>
    <m/>
    <m/>
    <m/>
    <m/>
    <m/>
    <m/>
    <m/>
    <m/>
    <m/>
    <m/>
    <m/>
    <n v="348939"/>
    <m/>
    <m/>
    <s v="Александр"/>
    <s v="Новиков"/>
    <m/>
    <m/>
    <m/>
    <m/>
    <s v="ROBOT"/>
    <m/>
    <s v="CRM-форма"/>
    <s v="Форма контактных данных для открытых линий"/>
    <s v="Да"/>
    <s v="Цыбенов Аюр"/>
    <d v="2024-11-05T16:49:26"/>
    <s v="ROBOT"/>
    <d v="2026-09-02T09:52:39"/>
    <m/>
    <n v="73811063825"/>
    <m/>
    <m/>
    <m/>
    <m/>
    <m/>
    <n v="158688547696"/>
    <m/>
    <m/>
    <m/>
    <m/>
    <m/>
    <m/>
    <m/>
    <s v="admin@filters.com.ru, a.novikov@umgar.ru"/>
    <m/>
    <m/>
    <s v="a.novikov@umgar.ru"/>
    <m/>
    <m/>
    <m/>
    <m/>
    <m/>
    <m/>
    <m/>
    <s v="imol|livechat|18|113351|11798, imol|livechat|18|262531|24531"/>
    <m/>
    <m/>
    <m/>
    <s v="11798, 24531"/>
    <s v="Иркутск г"/>
    <d v="2024-11-05T00:00:00"/>
    <s v="Да"/>
    <m/>
    <s v="Иркутская область 0 часов"/>
    <m/>
    <m/>
    <s v="Нет"/>
    <s v="46daff68-4bce-4a39-a7d0-92c7e781aa7a"/>
    <n v="131109"/>
    <m/>
    <s v="ООО &quot;ФОРКС&quot; 3810323990#"/>
    <s v="Клиент"/>
    <m/>
    <s v="ROBOT"/>
    <m/>
    <m/>
    <m/>
    <s v="Российский рубль"/>
    <m/>
    <s v="ROBOT_M"/>
    <d v="2021-07-08T04:08:53"/>
    <s v="ROBOT_M"/>
    <d v="2026-09-01T14:56:20"/>
    <m/>
    <n v="664691635072"/>
    <n v="714990753487"/>
    <m/>
    <m/>
    <m/>
    <m/>
    <m/>
    <m/>
    <m/>
    <m/>
    <m/>
    <m/>
    <m/>
    <m/>
    <s v="kyv@filters.com.ru, skopa@filters.com.ru, vskopa@forkc.ru"/>
    <m/>
    <m/>
    <m/>
    <m/>
    <m/>
    <m/>
    <m/>
    <m/>
    <m/>
    <m/>
    <m/>
    <m/>
    <m/>
    <m/>
    <m/>
    <m/>
    <n v="0"/>
    <s v="vskopa@forkc.ru"/>
    <d v="2012-02-09T00:00:00"/>
    <m/>
    <s v="46.90 Торговля оптовая неспециализированная"/>
    <m/>
    <s v="Нет"/>
    <d v="2017-10-13T00:00:00"/>
    <d v="2024-09-30T00:00:00"/>
    <s v="ФОРКС ООО"/>
    <s v="Иркутск г"/>
    <n v="3810323990"/>
    <m/>
    <m/>
    <m/>
    <m/>
    <s v="e.shkarovskyi@stofilter.ru"/>
    <m/>
    <m/>
    <m/>
    <m/>
    <s v="Коммерческие"/>
    <s v="ООО"/>
    <n v="45198"/>
    <s v="Иркутская область 0 часов"/>
    <m/>
    <m/>
    <m/>
    <m/>
    <m/>
    <m/>
    <m/>
    <m/>
    <s v="Нет"/>
    <s v="Торговля. Прочая"/>
    <m/>
    <m/>
    <m/>
    <s v="24452e5f-98fc-11e7-93fb-0026554f9a58"/>
  </r>
  <r>
    <n v="317562"/>
    <s v="ЦП. 1С. Продажи"/>
    <s v="Y"/>
    <s v="N"/>
    <x v="3"/>
    <m/>
    <m/>
    <m/>
    <m/>
    <m/>
    <s v="Федосеев Максим"/>
    <s v="ONE_C"/>
    <s v="ООО &quot;ФОРКС&quot; 3810323990# - 1С Лицензии"/>
    <s v="Продажа"/>
    <s v="Звонок"/>
    <s v="Звонок поступил на номер: ЦП 78-00-00 (62)."/>
    <n v="114300"/>
    <s v="Российский рубль"/>
    <s v="ООО &quot;ФОРКС&quot; 3810323990#"/>
    <s v="Новиков Александр"/>
    <m/>
    <s v="нет"/>
    <d v="2026-08-10T11:18:59"/>
    <s v="Федосеев Максим"/>
    <d v="2026-09-01T13:21:56"/>
    <s v="Манушкина Дарья"/>
    <d v="2026-08-10T00:00:00"/>
    <d v="2026-08-17T00:00:00"/>
    <s v="1С:Предприятие 8 ПРОФ. Клиентская лицензия на 20 рабочих мест. Электронная поставка (&lt;&gt;)"/>
    <n v="114300"/>
    <n v="1"/>
    <m/>
    <m/>
    <m/>
    <m/>
    <m/>
    <n v="14748"/>
    <d v="2026-08-10T11:24:57"/>
    <m/>
    <m/>
    <m/>
    <m/>
    <m/>
    <m/>
    <s v="Договор-оферта"/>
    <s v="Нет"/>
    <n v="1"/>
    <m/>
    <n v="73952434322"/>
    <m/>
    <s v="Иркутск г"/>
    <s v="ЦП. 1С и ИТС. Коммерция"/>
    <m/>
    <m/>
    <m/>
    <m/>
    <m/>
    <m/>
    <n v="0"/>
    <m/>
    <m/>
    <m/>
    <s v="Небольшой опыт"/>
    <n v="22"/>
    <m/>
    <s v="ФРДТ-017765"/>
    <m/>
    <s v="ЦП. 1С. Коммерция"/>
    <m/>
    <m/>
    <m/>
    <m/>
    <d v="2026-08-10T00:00:00"/>
    <m/>
    <m/>
    <s v="[CO]ООО НПФ &quot;ФОРУС&quot; 3812023430#"/>
    <s v="Сублицензионный"/>
    <m/>
    <m/>
    <s v="Коммерческие"/>
    <m/>
    <m/>
    <s v="Обычный"/>
    <m/>
    <m/>
    <s v="#Загружено из Битрикс-Коробка#"/>
    <m/>
    <m/>
    <n v="264011"/>
    <s v="1С СервЛиц ПРОФ;1С КлЛиц ПРОФ"/>
    <m/>
    <m/>
    <m/>
    <m/>
    <m/>
    <m/>
    <s v="Не было отгрузок"/>
    <m/>
    <m/>
    <m/>
    <m/>
    <s v="Нет"/>
    <m/>
    <m/>
    <m/>
    <m/>
    <m/>
    <m/>
    <m/>
    <m/>
    <m/>
    <m/>
    <s v="1С Программы и лицензии"/>
    <s v="1С Лицензии"/>
    <s v="Эл. Поставка"/>
    <s v="Не нужно"/>
    <m/>
    <m/>
    <m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9-01T13:18:35"/>
    <d v="2026-09-02T12:16:46"/>
    <m/>
    <m/>
    <m/>
    <m/>
    <m/>
    <m/>
    <m/>
    <m/>
    <m/>
    <m/>
    <m/>
    <m/>
    <m/>
    <m/>
    <m/>
    <m/>
    <m/>
    <m/>
    <m/>
    <n v="348939"/>
    <m/>
    <m/>
    <s v="Александр"/>
    <s v="Новиков"/>
    <m/>
    <m/>
    <m/>
    <m/>
    <s v="ROBOT"/>
    <m/>
    <s v="CRM-форма"/>
    <s v="Форма контактных данных для открытых линий"/>
    <s v="Да"/>
    <s v="Цыбенов Аюр"/>
    <d v="2024-11-05T16:49:26"/>
    <s v="ROBOT"/>
    <d v="2026-09-02T09:52:39"/>
    <m/>
    <n v="73811063825"/>
    <m/>
    <m/>
    <m/>
    <m/>
    <m/>
    <n v="158688547696"/>
    <m/>
    <m/>
    <m/>
    <m/>
    <m/>
    <m/>
    <m/>
    <s v="admin@filters.com.ru, a.novikov@umgar.ru"/>
    <m/>
    <m/>
    <s v="a.novikov@umgar.ru"/>
    <m/>
    <m/>
    <m/>
    <m/>
    <m/>
    <m/>
    <m/>
    <s v="imol|livechat|18|113351|11798, imol|livechat|18|262531|24531"/>
    <m/>
    <m/>
    <m/>
    <s v="11798, 24531"/>
    <s v="Иркутск г"/>
    <d v="2024-11-05T00:00:00"/>
    <s v="Да"/>
    <m/>
    <s v="Иркутская область 0 часов"/>
    <m/>
    <m/>
    <s v="Нет"/>
    <s v="46daff68-4bce-4a39-a7d0-92c7e781aa7a"/>
    <n v="131109"/>
    <m/>
    <s v="ООО &quot;ФОРКС&quot; 3810323990#"/>
    <s v="Клиент"/>
    <m/>
    <s v="ROBOT"/>
    <m/>
    <m/>
    <m/>
    <s v="Российский рубль"/>
    <m/>
    <s v="ROBOT_M"/>
    <d v="2021-07-08T04:08:53"/>
    <s v="ROBOT_M"/>
    <d v="2026-09-01T14:56:20"/>
    <m/>
    <n v="664691635072"/>
    <n v="714990753487"/>
    <m/>
    <m/>
    <m/>
    <m/>
    <m/>
    <m/>
    <m/>
    <m/>
    <m/>
    <m/>
    <m/>
    <m/>
    <s v="kyv@filters.com.ru, skopa@filters.com.ru, vskopa@forkc.ru"/>
    <m/>
    <m/>
    <m/>
    <m/>
    <m/>
    <m/>
    <m/>
    <m/>
    <m/>
    <m/>
    <m/>
    <m/>
    <m/>
    <m/>
    <m/>
    <m/>
    <n v="0"/>
    <s v="vskopa@forkc.ru"/>
    <d v="2012-02-09T00:00:00"/>
    <m/>
    <s v="46.90 Торговля оптовая неспециализированная"/>
    <m/>
    <s v="Нет"/>
    <d v="2017-10-13T00:00:00"/>
    <d v="2024-09-30T00:00:00"/>
    <s v="ФОРКС ООО"/>
    <s v="Иркутск г"/>
    <n v="3810323990"/>
    <m/>
    <m/>
    <m/>
    <m/>
    <s v="e.shkarovskyi@stofilter.ru"/>
    <m/>
    <m/>
    <m/>
    <m/>
    <s v="Коммерческие"/>
    <s v="ООО"/>
    <n v="45198"/>
    <s v="Иркутская область 0 часов"/>
    <m/>
    <m/>
    <m/>
    <m/>
    <m/>
    <m/>
    <m/>
    <m/>
    <s v="Нет"/>
    <s v="Торговля. Прочая"/>
    <m/>
    <m/>
    <m/>
    <s v="24452e5f-98fc-11e7-93fb-0026554f9a58"/>
  </r>
  <r>
    <n v="317540"/>
    <s v="ЦП. ФРЕШ. Продажи"/>
    <s v="Y"/>
    <s v="N"/>
    <x v="3"/>
    <m/>
    <s v="Савинская Евгения Россинский Вадим"/>
    <m/>
    <m/>
    <m/>
    <s v="Россинский Вадим"/>
    <s v="ONE_C"/>
    <s v="ФРЕШ. Сервисы - ООО &quot;ИГП&quot; 3811185742#"/>
    <s v="Продажа"/>
    <s v="CRM-форма"/>
    <s v="ОСТАЛЬНЫЕ СЕРВИСЫ 1С - (ФОРУС)"/>
    <n v="1400"/>
    <s v="Российский рубль"/>
    <s v="ООО &quot;ИГП&quot; 3811185742#"/>
    <s v="Медведева Надежда"/>
    <m/>
    <s v="нет"/>
    <d v="2026-08-10T10:17:42"/>
    <s v="Россинский Вадим"/>
    <d v="2026-08-27T17:03:44"/>
    <s v="ROBOT"/>
    <d v="2026-08-10T00:00:00"/>
    <d v="2026-08-17T00:00:00"/>
    <s v="1С-ЭДО. ЭПД-200 на 12 месяцев"/>
    <n v="1400"/>
    <n v="1"/>
    <m/>
    <m/>
    <m/>
    <m/>
    <m/>
    <n v="15488"/>
    <d v="2026-08-10T12:17:57"/>
    <m/>
    <s v="telegram"/>
    <s v="group_forusepd"/>
    <m/>
    <m/>
    <m/>
    <s v="Договор-оферта"/>
    <s v="Нет"/>
    <n v="1"/>
    <s v="irkutskgeoproekt@mail.ru"/>
    <n v="79086525875"/>
    <m/>
    <m/>
    <s v="ЦП. 1С и ИТС. Коммерция"/>
    <d v="2026-09-09T00:00:00"/>
    <m/>
    <m/>
    <m/>
    <d v="2026-09-09T00:00:00"/>
    <m/>
    <n v="0"/>
    <s v="Надежда"/>
    <m/>
    <m/>
    <m/>
    <n v="6"/>
    <m/>
    <s v="ФРДТ-017748"/>
    <m/>
    <s v="ЦП. 1С. Коммерция"/>
    <m/>
    <m/>
    <m/>
    <m/>
    <d v="2026-08-13T00:00:00"/>
    <m/>
    <m/>
    <s v="[CO]ООО НПФ &quot;ФОРУС&quot; 3812023430#"/>
    <s v="Сервисы"/>
    <m/>
    <m/>
    <m/>
    <m/>
    <m/>
    <s v="Обычный"/>
    <m/>
    <m/>
    <s v="#Загружено из Битрикс-Коробка#"/>
    <m/>
    <m/>
    <n v="263782"/>
    <s v="1С-ЭДО ЭПД"/>
    <m/>
    <m/>
    <m/>
    <m/>
    <m/>
    <m/>
    <s v="Не было отгрузок"/>
    <m/>
    <m/>
    <m/>
    <m/>
    <s v="Нет"/>
    <m/>
    <m/>
    <m/>
    <s v="ФРЕШ. Сервисы"/>
    <s v="1С:Бух +ЭТК"/>
    <n v="836595"/>
    <m/>
    <m/>
    <m/>
    <s v="Контроль оплаты"/>
    <s v="ФРЕШ и ГРМ"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13T11:14:26"/>
    <d v="2026-08-13T11:20:43"/>
    <m/>
    <m/>
    <m/>
    <m/>
    <m/>
    <m/>
    <m/>
    <m/>
    <m/>
    <m/>
    <m/>
    <m/>
    <m/>
    <m/>
    <m/>
    <m/>
    <m/>
    <m/>
    <m/>
    <n v="397428"/>
    <m/>
    <m/>
    <s v="Надежда"/>
    <s v="Медведева"/>
    <m/>
    <m/>
    <m/>
    <s v="Клиенты"/>
    <s v="ROBOT"/>
    <m/>
    <s v="Свой контакт (Менеджер)"/>
    <m/>
    <s v="Да"/>
    <s v="Россинский Вадим"/>
    <d v="2026-08-10T10:19:48"/>
    <s v="ROBOT"/>
    <d v="2026-08-18T16:35:57"/>
    <m/>
    <m/>
    <n v="79086525875"/>
    <m/>
    <m/>
    <m/>
    <m/>
    <m/>
    <m/>
    <m/>
    <m/>
    <m/>
    <m/>
    <m/>
    <m/>
    <s v="medvedeva_nn@igp38.ru"/>
    <m/>
    <m/>
    <m/>
    <m/>
    <m/>
    <m/>
    <m/>
    <m/>
    <m/>
    <m/>
    <m/>
    <m/>
    <m/>
    <m/>
    <m/>
    <s v="Иркутск г"/>
    <d v="2026-08-10T00:00:00"/>
    <s v="Да"/>
    <m/>
    <s v="Иркутская область 0 часов"/>
    <m/>
    <m/>
    <s v="Нет"/>
    <s v="49cdcba0-7e19-45b7-ad56-00fc4f338cf3"/>
    <n v="176138"/>
    <m/>
    <s v="ООО &quot;ИГП&quot; 3811185742#"/>
    <s v="Клиент"/>
    <m/>
    <s v="ROBOT"/>
    <m/>
    <m/>
    <m/>
    <s v="Российский рубль"/>
    <s v="."/>
    <s v="ROBOT_M"/>
    <d v="2021-09-03T11:56:29"/>
    <s v="ROBOT_UT"/>
    <d v="2026-08-27T17:03:44"/>
    <m/>
    <n v="73952482765"/>
    <n v="79148855223"/>
    <m/>
    <m/>
    <m/>
    <m/>
    <m/>
    <m/>
    <m/>
    <m/>
    <m/>
    <m/>
    <m/>
    <m/>
    <s v="irkutskgeoproekt@mail.ru, evjen777@bk.ru, trubanova@igp.ru"/>
    <m/>
    <s v="irkutskgeoproekt@mail.ru"/>
    <m/>
    <m/>
    <m/>
    <m/>
    <m/>
    <m/>
    <m/>
    <m/>
    <m/>
    <m/>
    <m/>
    <m/>
    <m/>
    <m/>
    <n v="0"/>
    <s v="irkutskgeoproekt@mail.ru"/>
    <d v="2014-12-08T00:00:00"/>
    <m/>
    <s v="71.12.45 Инженерные изыскания в строительстве"/>
    <m/>
    <s v="Нет"/>
    <d v="2023-10-06T00:00:00"/>
    <d v="2025-07-16T00:00:00"/>
    <s v="ИГП ООО"/>
    <s v="Иркутск г"/>
    <n v="3811185742"/>
    <m/>
    <m/>
    <m/>
    <m/>
    <s v="irkutskgeoproekt@mail.ru"/>
    <m/>
    <m/>
    <s v="Свой контакт (Менеджер)"/>
    <m/>
    <s v="Коммерческие"/>
    <s v="ООО"/>
    <n v="95604"/>
    <s v="Иркутская область 0 часов"/>
    <m/>
    <m/>
    <m/>
    <s v="Да, компания работает"/>
    <s v="[C]Макарчук Вера Владимировна"/>
    <m/>
    <m/>
    <m/>
    <s v="Нет"/>
    <s v="Строительство"/>
    <m/>
    <m/>
    <m/>
    <s v="32f4bd59-44bc-11e6-8a17-0026554f9a58"/>
  </r>
  <r>
    <n v="317386"/>
    <s v="ЦП. УЦ. Продажи"/>
    <s v="Y"/>
    <s v="N"/>
    <x v="15"/>
    <m/>
    <s v="Приходько Екатерина"/>
    <m/>
    <m/>
    <m/>
    <s v="Федорова Анастасия"/>
    <s v="ONE_C"/>
    <s v="1С:Подпись. ООО &quot;ТСГ-БАЙКАЛ&quot; 3810081035#"/>
    <s v="Продажа"/>
    <s v="Свой контакт (Менеджер)"/>
    <m/>
    <n v="1500"/>
    <s v="Российский рубль"/>
    <s v="ООО &quot;ТСГ-БАЙКАЛ&quot; 3810081035#"/>
    <m/>
    <m/>
    <s v="нет"/>
    <d v="2026-08-07T15:06:12"/>
    <s v="Федорова Анастасия"/>
    <d v="2026-09-02T00:02:46"/>
    <s v="ROBOT_M"/>
    <d v="2026-08-07T00:00:00"/>
    <d v="2026-08-26T00:00:00"/>
    <s v="1С:Подпись.ЭПД"/>
    <n v="1500"/>
    <n v="1"/>
    <m/>
    <m/>
    <m/>
    <m/>
    <m/>
    <n v="5"/>
    <d v="2026-08-26T13:41:21"/>
    <m/>
    <m/>
    <m/>
    <m/>
    <m/>
    <m/>
    <s v="Договор-оферта"/>
    <s v="Нет"/>
    <n v="1"/>
    <m/>
    <m/>
    <m/>
    <s v="Иркутская область, Иркутск"/>
    <s v="ЦП. 1С и ИТС. Коммерция"/>
    <d v="2026-09-09T00:00:00"/>
    <m/>
    <m/>
    <d v="2026-08-14T00:00:00"/>
    <d v="2027-08-14T00:00:00"/>
    <m/>
    <n v="0"/>
    <m/>
    <m/>
    <m/>
    <m/>
    <n v="1"/>
    <s v="/upload/crm/3ef/n0wysmvb0t59xzsvz3irmyy4yvdmcbgn/Договор-оферта.txt"/>
    <s v="ФРДТ-017683"/>
    <m/>
    <s v="ЦП. 1С. Коммерция"/>
    <m/>
    <m/>
    <m/>
    <m/>
    <d v="2026-08-07T00:00:00"/>
    <m/>
    <m/>
    <s v="[CO]ООО НПФ &quot;ФОРУС&quot; 3812023430#"/>
    <s v="Сервисы"/>
    <s v="Почта России"/>
    <s v="Доступ в сервисе"/>
    <s v="Коммерческие"/>
    <m/>
    <m/>
    <s v="Обычный"/>
    <m/>
    <s v="Да"/>
    <s v="#Загружено из Битрикс-Коробка#ФЛ Александрова Наталья Владимировна"/>
    <d v="2026-08-11T00:00:00"/>
    <m/>
    <m/>
    <s v="1С:Подпись"/>
    <m/>
    <m/>
    <n v="12"/>
    <m/>
    <n v="1500"/>
    <d v="2026-08-21T00:00:00"/>
    <s v="Не было отгрузок"/>
    <m/>
    <m/>
    <m/>
    <m/>
    <s v="Нет"/>
    <m/>
    <m/>
    <m/>
    <m/>
    <m/>
    <m/>
    <m/>
    <m/>
    <m/>
    <m/>
    <s v="УЦ"/>
    <m/>
    <m/>
    <s v="Не нужно"/>
    <m/>
    <m/>
    <m/>
    <m/>
    <m/>
    <m/>
    <m/>
    <m/>
    <s v="1С:Подпись"/>
    <s v="Форус"/>
    <s v="Возврат документов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n v="1500"/>
    <d v="2026-08-21T00:00:00"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Возврат документов"/>
    <m/>
    <m/>
    <m/>
    <m/>
    <m/>
    <d v="2026-08-28T09:17:00"/>
    <d v="2026-08-27T15:20: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6054"/>
    <m/>
    <s v="ООО &quot;ТСГ-БАЙКАЛ&quot; 3810081035#"/>
    <s v="Клиент"/>
    <m/>
    <s v="ROBOT"/>
    <m/>
    <m/>
    <m/>
    <s v="Российский рубль"/>
    <s v="Заказ на сайте its.1c.ru ORD240116-1705367190 a:link, a:visited {color:#16489b;text-decoration:none} a:hover, a:active {color:#16489b;text-decoration:underline} #mail-message-wrapper a:link, a:visited {color:#16489b;text-decoration:none} #mail-message-wrapper a:hover, a:active {c"/>
    <s v="Алексеева Наталья"/>
    <d v="2024-01-16T10:17:16"/>
    <s v="ROBOT_UT"/>
    <d v="2026-09-02T16:11:27"/>
    <m/>
    <n v="73952488200"/>
    <n v="79025131301"/>
    <m/>
    <m/>
    <m/>
    <m/>
    <m/>
    <m/>
    <m/>
    <m/>
    <m/>
    <m/>
    <m/>
    <m/>
    <s v="lubov.piskovaya@gmail.com"/>
    <m/>
    <m/>
    <m/>
    <m/>
    <m/>
    <m/>
    <m/>
    <m/>
    <m/>
    <m/>
    <m/>
    <m/>
    <m/>
    <m/>
    <m/>
    <m/>
    <n v="0"/>
    <m/>
    <d v="2019-08-02T00:00:00"/>
    <m/>
    <s v="52.29 Деятельность вспомогательная прочая, связанная с перевозками"/>
    <m/>
    <s v="Нет"/>
    <m/>
    <m/>
    <s v="ТСГ-Байкал ООО"/>
    <s v="Иркутская область, Иркутск"/>
    <n v="3810081035"/>
    <m/>
    <m/>
    <m/>
    <m/>
    <m/>
    <m/>
    <m/>
    <s v="1С Сайт its.1c.ru"/>
    <m/>
    <s v="Коммерческие"/>
    <s v="ООО"/>
    <n v="99883"/>
    <s v="Иркутская область 0 часов"/>
    <m/>
    <m/>
    <m/>
    <m/>
    <m/>
    <m/>
    <m/>
    <m/>
    <s v="Нет"/>
    <s v="Услуги. Перевозки, логистика, склад"/>
    <m/>
    <m/>
    <m/>
    <s v="5b7b0a9e-8915-471d-b790-3439942a63c1"/>
  </r>
  <r>
    <n v="317355"/>
    <s v="ЦП. 1С. Продажи"/>
    <s v="Y"/>
    <s v="N"/>
    <x v="0"/>
    <m/>
    <m/>
    <m/>
    <m/>
    <m/>
    <s v="Россинский Вадим"/>
    <s v="ONE_C"/>
    <s v="ООО &quot;НАТУРАЛЬНАЯ КОСМЕТИКА БАЙКАЛА&quot; 3812019071# - 1С КП Базовый"/>
    <s v="Продажа"/>
    <s v="Звонок"/>
    <s v="Звонок поступил на номер: ЦП 78-00-00 (62)."/>
    <n v="15334"/>
    <s v="Российский рубль"/>
    <s v="ООО &quot;НАТУРАЛЬНАЯ КОСМЕТИКА БАЙКАЛА&quot; 3812019071#"/>
    <s v="Гришкевич Евгений Владимирович"/>
    <m/>
    <s v="нет"/>
    <d v="2026-08-07T12:32:08"/>
    <s v="Россинский Вадим"/>
    <d v="2026-08-21T14:50:29"/>
    <s v="ROBOT_UT"/>
    <d v="2026-08-07T00:00:00"/>
    <d v="2026-08-14T00:00:00"/>
    <s v="1С:КП Базовый на 6 месяцев"/>
    <n v="15334"/>
    <n v="1"/>
    <m/>
    <m/>
    <m/>
    <m/>
    <m/>
    <n v="5"/>
    <d v="2026-08-10T09:26:01"/>
    <m/>
    <m/>
    <m/>
    <m/>
    <m/>
    <m/>
    <s v="Договор-оферта"/>
    <s v="Нет"/>
    <n v="1"/>
    <m/>
    <n v="79021714541"/>
    <m/>
    <s v="Иркутск г"/>
    <s v="ЦП. 1С и ИТС. Коммерция"/>
    <m/>
    <m/>
    <m/>
    <d v="2026-08-10T00:00:00"/>
    <d v="2027-02-09T00:00:00"/>
    <m/>
    <m/>
    <s v="Евгений"/>
    <m/>
    <m/>
    <m/>
    <n v="4"/>
    <s v="/upload/crm/1dc/s62sy3rjjaeh6lviivgs9c1fs4rjdgb7/Договор-оферта.txt"/>
    <s v="ФРДТ-017700"/>
    <s v="[D]ООО &quot;НАТУРАЛЬНАЯ КОСМЕТИКА БАЙКАЛА&quot; 3812019071# - 1С Разовые услуги (консультации)"/>
    <s v="ЦП. 1С. Коммерция"/>
    <m/>
    <m/>
    <m/>
    <m/>
    <d v="2026-08-07T00:00:00"/>
    <m/>
    <m/>
    <s v="[CO]ООО НПФ &quot;ФОРУС&quot; 3812023430#"/>
    <s v="Сервисы"/>
    <m/>
    <m/>
    <s v="Коммерческие"/>
    <m/>
    <m/>
    <s v="Обычный"/>
    <m/>
    <s v="Да"/>
    <s v="#Загружено из Битрикс-Коробка#"/>
    <d v="2026-08-07T00:00:00"/>
    <m/>
    <n v="263821"/>
    <s v="ИТС КП Базовый"/>
    <m/>
    <m/>
    <n v="6"/>
    <m/>
    <n v="15334"/>
    <d v="2026-08-14T00:00:00"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 КП Базовый"/>
    <s v="Контроль сделк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n v="15334"/>
    <d v="2026-08-14T00:00:00"/>
    <s v="Не было отгрузок"/>
    <m/>
    <s v="Оформлена подписка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сделки"/>
    <m/>
    <m/>
    <m/>
    <m/>
    <m/>
    <d v="2026-08-17T00:03:32"/>
    <d v="2026-09-01T11:57:43"/>
    <m/>
    <s v="Завершен"/>
    <m/>
    <m/>
    <m/>
    <m/>
    <m/>
    <m/>
    <m/>
    <m/>
    <m/>
    <m/>
    <m/>
    <m/>
    <m/>
    <m/>
    <m/>
    <m/>
    <m/>
    <n v="397353"/>
    <m/>
    <m/>
    <s v="Евгений"/>
    <s v="Гришкевич"/>
    <s v="Владимирович"/>
    <m/>
    <m/>
    <s v="Клиенты"/>
    <s v="ROBOT"/>
    <m/>
    <s v="Свой контакт (Менеджер)"/>
    <m/>
    <s v="Да"/>
    <s v="Россинский Вадим"/>
    <d v="2026-08-07T12:33:32"/>
    <s v="ROBOT"/>
    <d v="2026-08-20T11:06:40"/>
    <m/>
    <m/>
    <n v="79021714541"/>
    <m/>
    <m/>
    <m/>
    <m/>
    <m/>
    <m/>
    <m/>
    <m/>
    <m/>
    <m/>
    <m/>
    <m/>
    <m/>
    <m/>
    <m/>
    <m/>
    <m/>
    <m/>
    <m/>
    <m/>
    <m/>
    <m/>
    <m/>
    <m/>
    <m/>
    <m/>
    <m/>
    <m/>
    <s v="Иркутск г"/>
    <d v="2026-08-07T00:00:00"/>
    <s v="Да"/>
    <m/>
    <s v="Иркутская область 0 часов"/>
    <m/>
    <m/>
    <s v="Нет"/>
    <s v="40d574f5-0a2d-4022-9807-5fcfcd414dd2"/>
    <n v="137235"/>
    <m/>
    <s v="ООО &quot;НАТУРАЛЬНАЯ КОСМЕТИКА БАЙКАЛА&quot; 3812019071#"/>
    <s v="Клиент"/>
    <m/>
    <s v="ROBOT"/>
    <m/>
    <m/>
    <m/>
    <s v="Российский рубль"/>
    <m/>
    <s v="ROBOT_M"/>
    <d v="2021-07-08T09:06:53"/>
    <s v="ROBOT_UT"/>
    <d v="2026-08-21T14:41:08"/>
    <m/>
    <m/>
    <n v="79025609220"/>
    <m/>
    <m/>
    <m/>
    <m/>
    <m/>
    <m/>
    <m/>
    <m/>
    <m/>
    <m/>
    <m/>
    <m/>
    <s v="vdoh.irkutsk@gmail.com"/>
    <m/>
    <s v="vdoh.irkutsk@gmail.com"/>
    <m/>
    <m/>
    <m/>
    <m/>
    <m/>
    <m/>
    <m/>
    <m/>
    <m/>
    <m/>
    <m/>
    <m/>
    <m/>
    <m/>
    <n v="0"/>
    <s v="vdoh.irkutsk@gmail.com"/>
    <d v="2017-06-09T00:00:00"/>
    <m/>
    <s v="47.75 Торговля розничная косметическими и товарами личной гигиены в специализированных магазинах"/>
    <m/>
    <s v="Нет"/>
    <d v="2019-03-14T00:00:00"/>
    <d v="2020-11-27T00:00:00"/>
    <s v="НАТУРАЛЬНАЯ КОСМЕТИКА БАЙКАЛА ООО"/>
    <s v="Иркутск г"/>
    <n v="3812019071"/>
    <m/>
    <m/>
    <m/>
    <m/>
    <m/>
    <m/>
    <m/>
    <m/>
    <m/>
    <s v="Коммерческие"/>
    <s v="ООО"/>
    <n v="79977"/>
    <s v="Иркутская область 0 часов"/>
    <m/>
    <m/>
    <m/>
    <m/>
    <m/>
    <m/>
    <m/>
    <m/>
    <s v="Нет"/>
    <s v="Торговля. Прочая"/>
    <m/>
    <m/>
    <m/>
    <s v="20cbf191-c66f-4fde-8d74-1aee4b62db7d"/>
  </r>
  <r>
    <n v="317346"/>
    <s v="1С. Комплексные продажи"/>
    <s v="N"/>
    <s v="N"/>
    <x v="16"/>
    <m/>
    <m/>
    <m/>
    <m/>
    <m/>
    <s v="Россинский Вадим"/>
    <m/>
    <s v="Внедрение УНФ ООО КФЦ"/>
    <s v="Продажа"/>
    <s v="Звонок"/>
    <m/>
    <s v="0.00"/>
    <s v="Российский рубль"/>
    <s v="ООО &quot;КРОВЕЛЬНО-ФАСАДНЫЙ ЦЕНТР&quot; 2703098265#"/>
    <m/>
    <m/>
    <s v="нет"/>
    <d v="2026-08-07T11:49:17"/>
    <s v="Россинский Вадим"/>
    <d v="2026-08-07T11:56:36"/>
    <s v="ROBOT"/>
    <d v="2026-08-07T00:00:00"/>
    <d v="2026-08-14T00:00:00"/>
    <m/>
    <m/>
    <m/>
    <m/>
    <m/>
    <m/>
    <m/>
    <m/>
    <n v="15488"/>
    <d v="2026-08-07T11:56:36"/>
    <m/>
    <m/>
    <m/>
    <m/>
    <m/>
    <m/>
    <m/>
    <s v="Нет"/>
    <n v="0"/>
    <m/>
    <m/>
    <m/>
    <m/>
    <s v="ЦП. 1С и ИТС. Коммерция"/>
    <m/>
    <m/>
    <m/>
    <m/>
    <m/>
    <m/>
    <m/>
    <m/>
    <m/>
    <m/>
    <m/>
    <n v="0"/>
    <m/>
    <m/>
    <m/>
    <s v="ЦП. 1С. Коммерция"/>
    <m/>
    <m/>
    <m/>
    <m/>
    <m/>
    <m/>
    <m/>
    <m/>
    <m/>
    <m/>
    <m/>
    <m/>
    <m/>
    <m/>
    <s v="Обычный"/>
    <m/>
    <m/>
    <m/>
    <m/>
    <m/>
    <m/>
    <m/>
    <m/>
    <m/>
    <m/>
    <m/>
    <m/>
    <m/>
    <s v="Не было отгрузок"/>
    <m/>
    <m/>
    <m/>
    <m/>
    <s v="Нет"/>
    <m/>
    <m/>
    <m/>
    <m/>
    <m/>
    <m/>
    <m/>
    <m/>
    <m/>
    <m/>
    <s v="1С Программы и лицензии"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s v="Продажи и CRM, Закупки и поставщики, Финансовый учёт и отчётность"/>
    <s v="[C]Федореева Ирина Игоревна"/>
    <d v="2026-07-20T00:00:00"/>
    <d v="2026-08-07T00:00:00"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07T11:49: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7831"/>
    <m/>
    <s v="ООО &quot;КРОВЕЛЬНО-ФАСАДНЫЙ ЦЕНТР&quot; 2703098265#"/>
    <s v="Клиент"/>
    <s v="менее 50"/>
    <s v="ROBOT"/>
    <m/>
    <s v="Информационные технологии"/>
    <s v="0.00"/>
    <s v="Российский рубль"/>
    <m/>
    <s v="Россинский Вадим"/>
    <d v="2026-08-07T11:53:24"/>
    <s v="ROBOT_M"/>
    <d v="2026-08-07T12:04: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d v="2019-01-22T00:00:00"/>
    <m/>
    <s v="46.73 Торговля оптовая лесоматериалами, строительными материалами и санитарно-техническим оборудованием"/>
    <m/>
    <s v="Нет"/>
    <m/>
    <m/>
    <s v="КРОВЕЛЬНО-ФАСАДНЫЙ ЦЕНТР ООО"/>
    <s v="КОМСОМОЛЬСК-НА-АМУРЕ"/>
    <n v="2703098265"/>
    <m/>
    <m/>
    <m/>
    <m/>
    <m/>
    <m/>
    <m/>
    <s v="Свой контакт (Менеджер)"/>
    <m/>
    <s v="Коммерческие"/>
    <s v="ООО"/>
    <n v="128484"/>
    <s v="Хабаровский край +2 часа"/>
    <m/>
    <m/>
    <m/>
    <s v="Нет"/>
    <m/>
    <m/>
    <m/>
    <m/>
    <s v="Нет"/>
    <s v="Торговля. Прочая"/>
    <m/>
    <m/>
    <m/>
    <m/>
  </r>
  <r>
    <n v="316962"/>
    <s v="ЦП. 1С. Продажи"/>
    <s v="Y"/>
    <s v="N"/>
    <x v="8"/>
    <m/>
    <m/>
    <m/>
    <m/>
    <m/>
    <s v="Россинский Вадим"/>
    <m/>
    <s v="ИП Демидов Владимир Евгеньевич 246211297377# 1С Разовые услуги (консультации)"/>
    <s v="Продажа"/>
    <s v="По рекомендации/ Почкование"/>
    <s v="От БО"/>
    <s v="0.00"/>
    <s v="Российский рубль"/>
    <s v="ИП Демидов Владимир Евгеньевич 246211297377#"/>
    <s v="Лучечко Максим Алексеевич"/>
    <m/>
    <s v="нет"/>
    <d v="2026-08-06T17:54:32"/>
    <s v="Россинский Вадим"/>
    <d v="2026-08-07T16:25:07"/>
    <m/>
    <d v="2026-08-06T00:00:00"/>
    <d v="2026-08-13T00:00:00"/>
    <m/>
    <m/>
    <m/>
    <m/>
    <m/>
    <m/>
    <m/>
    <m/>
    <n v="15488"/>
    <d v="2026-08-06T17:55:34"/>
    <m/>
    <m/>
    <m/>
    <m/>
    <m/>
    <m/>
    <m/>
    <s v="Нет"/>
    <n v="1"/>
    <m/>
    <m/>
    <m/>
    <m/>
    <s v="ЦП. 1С и ИТС. Коммерция"/>
    <m/>
    <m/>
    <m/>
    <m/>
    <m/>
    <m/>
    <n v="0"/>
    <m/>
    <m/>
    <m/>
    <m/>
    <n v="1"/>
    <m/>
    <m/>
    <m/>
    <s v="ЦП. 1С. Коммерция"/>
    <m/>
    <m/>
    <m/>
    <m/>
    <m/>
    <m/>
    <m/>
    <m/>
    <m/>
    <m/>
    <m/>
    <s v="Коммерческие"/>
    <m/>
    <m/>
    <s v="Обычный"/>
    <m/>
    <m/>
    <m/>
    <m/>
    <m/>
    <m/>
    <m/>
    <m/>
    <m/>
    <m/>
    <m/>
    <m/>
    <m/>
    <s v="Не было отгрузок"/>
    <m/>
    <m/>
    <m/>
    <m/>
    <s v="Нет"/>
    <m/>
    <m/>
    <m/>
    <m/>
    <m/>
    <m/>
    <m/>
    <m/>
    <m/>
    <m/>
    <s v="АРХИВ_1С Разовые услуги (консультации)"/>
    <m/>
    <m/>
    <s v="Не нужно"/>
    <m/>
    <m/>
    <m/>
    <s v="Уточнить потребност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Уточнить потребности"/>
    <m/>
    <m/>
    <m/>
    <m/>
    <m/>
    <d v="2026-08-06T17:55:36"/>
    <d v="2026-08-07T16:07:21"/>
    <m/>
    <m/>
    <m/>
    <m/>
    <m/>
    <m/>
    <m/>
    <m/>
    <m/>
    <m/>
    <m/>
    <m/>
    <m/>
    <m/>
    <m/>
    <m/>
    <m/>
    <m/>
    <m/>
    <n v="204129"/>
    <m/>
    <m/>
    <s v="Максим"/>
    <s v="Лучечко"/>
    <s v="Алексеевич"/>
    <m/>
    <m/>
    <m/>
    <s v="ROBOT"/>
    <s v="[Автор=RobotIntegro][Редактор=БитриксКоробка]"/>
    <m/>
    <m/>
    <s v="Да"/>
    <s v="ROBOT_M"/>
    <d v="2021-07-09T20:25:24"/>
    <s v="Мутина Светлана"/>
    <d v="2026-03-30T11:20:13"/>
    <m/>
    <m/>
    <n v="158671776376"/>
    <m/>
    <m/>
    <m/>
    <m/>
    <m/>
    <m/>
    <m/>
    <m/>
    <m/>
    <m/>
    <m/>
    <m/>
    <s v="delta-m24@mail.ru"/>
    <m/>
    <m/>
    <m/>
    <m/>
    <m/>
    <m/>
    <m/>
    <m/>
    <m/>
    <m/>
    <m/>
    <m/>
    <m/>
    <m/>
    <m/>
    <m/>
    <d v="2019-01-22T00:00:00"/>
    <s v="Да"/>
    <m/>
    <s v="Красноярский край -1 час"/>
    <m/>
    <m/>
    <s v="Нет"/>
    <s v="de7373be-ada7-11e4-85ea-0026554f9a58"/>
    <n v="131222"/>
    <m/>
    <s v="ИП Демидов Владимир Евгеньевич 246211297377#"/>
    <s v="Клиент"/>
    <m/>
    <s v="ROBOT"/>
    <m/>
    <m/>
    <m/>
    <s v="Российский рубль"/>
    <s v="."/>
    <s v="ROBOT_M"/>
    <d v="2021-07-08T04:13:57"/>
    <s v="ROBOT"/>
    <d v="2026-08-06T20:22:54"/>
    <m/>
    <m/>
    <n v="158120111337"/>
    <m/>
    <m/>
    <m/>
    <m/>
    <m/>
    <m/>
    <m/>
    <m/>
    <m/>
    <m/>
    <m/>
    <m/>
    <m/>
    <m/>
    <m/>
    <m/>
    <m/>
    <m/>
    <m/>
    <m/>
    <m/>
    <m/>
    <m/>
    <m/>
    <s v="imol|ank_chats_app24_max|51|private-254551924|25322"/>
    <m/>
    <m/>
    <n v="25322"/>
    <m/>
    <n v="0"/>
    <m/>
    <m/>
    <m/>
    <s v="46.49 Торговля оптовая прочими бытовыми товарами"/>
    <m/>
    <s v="Нет"/>
    <d v="2016-04-30T00:00:00"/>
    <d v="2023-09-30T00:00:00"/>
    <s v="ИП Демидов Владимир Евгеньевич"/>
    <m/>
    <n v="246211297377"/>
    <s v="13. АУСН: Доходы"/>
    <m/>
    <m/>
    <m/>
    <s v="delta-m24@mail.ru"/>
    <m/>
    <m/>
    <m/>
    <m/>
    <s v="Коммерческие"/>
    <s v="ИП"/>
    <n v="40022"/>
    <s v="Красноярский край -1 час"/>
    <m/>
    <s v="Красноярск"/>
    <s v="БО. Отчетность без сотрудников"/>
    <m/>
    <m/>
    <m/>
    <m/>
    <s v="Рабочая группа № 3"/>
    <s v="Нет"/>
    <s v="Торговля. Прочая"/>
    <m/>
    <m/>
    <m/>
    <s v="c61f048a-fa0c-11e5-965a-0026554f9a58"/>
  </r>
  <r>
    <n v="316854"/>
    <s v="ЦП. УЦ. Продажи"/>
    <s v="N"/>
    <s v="N"/>
    <x v="3"/>
    <m/>
    <s v="Устинова Анастасия"/>
    <m/>
    <m/>
    <m/>
    <s v="Федосеев Максим"/>
    <s v="ONE_C"/>
    <s v="1С-Отчётность. ИП Лешков Алексей Николаевич 382705709293#"/>
    <s v="Продажа"/>
    <s v="По рекомендации/ Почкование"/>
    <m/>
    <n v="2800"/>
    <s v="Российский рубль"/>
    <s v="ИП Лешков Алексей Николаевич 382705709293#"/>
    <s v="Татьяна"/>
    <m/>
    <s v="нет"/>
    <d v="2026-08-06T14:26:00"/>
    <s v="Федосеев Максим"/>
    <d v="2026-08-17T00:04:14"/>
    <s v="ROBOT_M"/>
    <d v="2026-08-06T00:00:00"/>
    <d v="2026-08-13T00:00:00"/>
    <s v="ТП Основной для ИП ПО &quot;Астрал-Отчетность&quot; (сроком на 1 год) (&lt;&gt;)"/>
    <n v="2800"/>
    <n v="1"/>
    <m/>
    <m/>
    <m/>
    <m/>
    <m/>
    <n v="14748"/>
    <d v="2026-08-06T14:34:28"/>
    <m/>
    <m/>
    <m/>
    <m/>
    <m/>
    <m/>
    <s v="Договор-оферта"/>
    <s v="Нет"/>
    <n v="2"/>
    <m/>
    <m/>
    <m/>
    <s v="село Хомутово"/>
    <s v="ЦП. 1С и ИТС. Коммерция"/>
    <d v="2026-09-17T00:00:00"/>
    <m/>
    <m/>
    <m/>
    <m/>
    <m/>
    <n v="0"/>
    <m/>
    <m/>
    <m/>
    <m/>
    <n v="2"/>
    <m/>
    <s v="ФРДТ-017575"/>
    <m/>
    <s v="ЦП. 1С. Коммерция"/>
    <m/>
    <m/>
    <m/>
    <m/>
    <d v="2026-08-06T00:00:00"/>
    <m/>
    <m/>
    <s v="[CO]ООО НПФ &quot;ФОРУС&quot; 3812023430#"/>
    <s v="Сервисы"/>
    <m/>
    <m/>
    <s v="Коммерческие"/>
    <m/>
    <m/>
    <s v="Обычный"/>
    <m/>
    <m/>
    <s v="#Загружено из Битрикс-Коробка#"/>
    <m/>
    <m/>
    <m/>
    <s v="1С-Отч Конечным пользователям"/>
    <m/>
    <m/>
    <m/>
    <m/>
    <m/>
    <m/>
    <s v="Не было отгрузок"/>
    <m/>
    <m/>
    <m/>
    <m/>
    <s v="Нет"/>
    <m/>
    <m/>
    <m/>
    <m/>
    <m/>
    <m/>
    <m/>
    <m/>
    <m/>
    <m/>
    <s v="УЦ"/>
    <m/>
    <m/>
    <s v="Не нужно"/>
    <m/>
    <m/>
    <m/>
    <m/>
    <m/>
    <m/>
    <m/>
    <m/>
    <s v="1С-Отчётность"/>
    <s v="Не нужно УЛ"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8-17T00:03:28"/>
    <d v="2026-08-10T12:58:07"/>
    <m/>
    <m/>
    <m/>
    <m/>
    <m/>
    <m/>
    <m/>
    <m/>
    <m/>
    <m/>
    <m/>
    <m/>
    <m/>
    <m/>
    <m/>
    <m/>
    <m/>
    <m/>
    <m/>
    <n v="355423"/>
    <m/>
    <m/>
    <s v="Татьяна"/>
    <m/>
    <m/>
    <m/>
    <m/>
    <s v="Клиенты"/>
    <s v="ROBOT"/>
    <s v="24.01.25 Пока срочности в курсе нет Перевожу в сделку для вебинара"/>
    <s v="CRM-форма"/>
    <s v="ЗАКАЗАТЬ ЗВОНОК ФОРУС NEW"/>
    <s v="Да"/>
    <s v="Чернышова Софья"/>
    <d v="2025-01-24T15:08:48"/>
    <s v="Федосеев Максим"/>
    <d v="2026-08-10T13:00:23"/>
    <m/>
    <m/>
    <n v="79041338931"/>
    <m/>
    <m/>
    <m/>
    <m/>
    <m/>
    <m/>
    <m/>
    <m/>
    <m/>
    <m/>
    <m/>
    <m/>
    <s v="tg.dobrynina@list.ru"/>
    <m/>
    <m/>
    <m/>
    <m/>
    <m/>
    <m/>
    <m/>
    <m/>
    <m/>
    <m/>
    <m/>
    <m/>
    <m/>
    <m/>
    <m/>
    <m/>
    <d v="2025-01-24T00:00:00"/>
    <s v="Да"/>
    <m/>
    <m/>
    <s v="https://www.forus.ru/edu/sovremennyy-bukhgalter/"/>
    <s v="ОКВЭД"/>
    <s v="Нет"/>
    <m/>
    <n v="251811"/>
    <m/>
    <s v="ИП Лешков Алексей Николаевич 382705709293#"/>
    <s v="Клиент"/>
    <s v="менее 50"/>
    <s v="ROBOT"/>
    <m/>
    <s v="Информационные технологии"/>
    <m/>
    <s v="Российский рубль"/>
    <m/>
    <s v="Россинский Вадим"/>
    <d v="2026-04-24T11:55:51"/>
    <s v="ROBOT_M"/>
    <d v="2026-08-06T16:54:55"/>
    <m/>
    <m/>
    <n v="79246061794"/>
    <m/>
    <m/>
    <m/>
    <m/>
    <m/>
    <m/>
    <m/>
    <m/>
    <m/>
    <m/>
    <m/>
    <m/>
    <s v="tg.dobrynina@list.ru"/>
    <m/>
    <m/>
    <m/>
    <m/>
    <m/>
    <m/>
    <m/>
    <m/>
    <m/>
    <m/>
    <m/>
    <m/>
    <m/>
    <m/>
    <m/>
    <m/>
    <n v="0"/>
    <s v="tg.dobrynina@list.ru"/>
    <m/>
    <m/>
    <s v="49.41 Деятельность автомобильного грузового транспорта"/>
    <m/>
    <s v="Нет"/>
    <m/>
    <m/>
    <s v="Лешков Алексей Николаевич, Инн 382705709293"/>
    <s v="село Хомутово"/>
    <n v="382705709293"/>
    <m/>
    <m/>
    <m/>
    <m/>
    <s v="tg.dobrynina@list.ru"/>
    <m/>
    <m/>
    <s v="Свой контакт (Менеджер)"/>
    <m/>
    <s v="Коммерческие"/>
    <s v="ИП"/>
    <n v="124247"/>
    <s v="Иркутская область 0 часов"/>
    <m/>
    <m/>
    <m/>
    <s v="Нет"/>
    <m/>
    <m/>
    <m/>
    <m/>
    <s v="Нет"/>
    <s v="Услуги. Перевозки, логистика, склад"/>
    <m/>
    <m/>
    <m/>
    <s v="a672c67c-6634-40ed-98ed-5ca4487a6ffc"/>
  </r>
  <r>
    <n v="316832"/>
    <s v="ЦП. 1С. Продажи"/>
    <s v="N"/>
    <s v="N"/>
    <x v="4"/>
    <m/>
    <m/>
    <m/>
    <m/>
    <m/>
    <s v="Россинский Вадим"/>
    <m/>
    <s v="ЛИД от 1С. Маркировка"/>
    <s v="Продажа"/>
    <s v="Звонок"/>
    <s v="Звонок поступил на номер: ЦП 78-00-00 (62)."/>
    <s v="0.00"/>
    <s v="Российский рубль"/>
    <s v="ООО &quot;БОНД&quot; 2225228424#"/>
    <s v="Родион"/>
    <m/>
    <s v="нет"/>
    <d v="2026-08-06T12:34:47"/>
    <s v="Россинский Вадим"/>
    <d v="2026-08-06T12:36:11"/>
    <s v="ROBOT"/>
    <d v="2026-08-06T00:00:00"/>
    <d v="2026-08-13T00:00:00"/>
    <m/>
    <m/>
    <m/>
    <s v="[p] Импортер. Возят товар из Китая для клиентов &quot;под ключ&quot; - закупают, оформляют, растамаживают, привозят и передают. Вопрос по маркировке радио-электронной продукции: заказ на 250 000 печатных плат - как выпустить коды, промаркировать? 1С? [/p]"/>
    <m/>
    <m/>
    <m/>
    <m/>
    <n v="15488"/>
    <d v="2026-08-06T12:34:47"/>
    <m/>
    <m/>
    <m/>
    <m/>
    <m/>
    <m/>
    <m/>
    <s v="Нет"/>
    <n v="1"/>
    <s v="rodion@sapsanplus.com"/>
    <n v="79627987795"/>
    <m/>
    <m/>
    <s v="ЦП. 1С и ИТС. Коммерция"/>
    <m/>
    <m/>
    <m/>
    <m/>
    <m/>
    <m/>
    <m/>
    <s v="Родион"/>
    <s v="[p] Импортер. Возят товар из Китая для клиентов &amp;quot;под ключ&amp;quot; - закупают, оформляют, растамаживают, привозят и передают. Вопрос по маркировке радио-электронной продукции: заказ на 250 000 печатных плат - как выпустить коды, промаркировать? 1С? [/p]"/>
    <m/>
    <m/>
    <n v="0"/>
    <m/>
    <m/>
    <m/>
    <s v="ЦП. 1С. Коммерция"/>
    <m/>
    <m/>
    <m/>
    <m/>
    <m/>
    <m/>
    <m/>
    <m/>
    <m/>
    <m/>
    <m/>
    <m/>
    <m/>
    <m/>
    <s v="Обычный"/>
    <m/>
    <m/>
    <m/>
    <m/>
    <m/>
    <n v="263481"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s v="Необработанные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Необработанные"/>
    <m/>
    <m/>
    <m/>
    <m/>
    <m/>
    <d v="2026-08-06T12:34:47"/>
    <d v="2026-08-05T14:53:40"/>
    <m/>
    <m/>
    <m/>
    <m/>
    <m/>
    <m/>
    <m/>
    <m/>
    <m/>
    <m/>
    <m/>
    <m/>
    <m/>
    <m/>
    <m/>
    <m/>
    <m/>
    <m/>
    <m/>
    <n v="397275"/>
    <m/>
    <m/>
    <s v="Родион"/>
    <m/>
    <m/>
    <m/>
    <m/>
    <s v="Клиенты"/>
    <s v="ROBOT"/>
    <s v="[p] Импортер. Возят товар из Китая для клиентов &amp;quot;под ключ&amp;quot; - закупают, оформляют, растамаживают, привозят и передают. Вопрос по маркировке радио-электронной продукции: заказ на 250 000 печатных плат - как выпустить коды, промаркировать? 1С? [/p]"/>
    <s v="Звонок"/>
    <s v="Звонок поступил на номер: ЦП 78-00-00 (62)."/>
    <s v="Да"/>
    <s v="Россинский Вадим"/>
    <d v="2026-08-06T12:34:45"/>
    <s v="Дунаевская Светлана"/>
    <d v="2026-08-08T06:44:25"/>
    <m/>
    <m/>
    <n v="79627987795"/>
    <m/>
    <m/>
    <m/>
    <m/>
    <m/>
    <m/>
    <m/>
    <m/>
    <m/>
    <m/>
    <m/>
    <m/>
    <s v="rodion@sapsanplus.com"/>
    <m/>
    <m/>
    <m/>
    <m/>
    <m/>
    <m/>
    <m/>
    <m/>
    <m/>
    <m/>
    <m/>
    <m/>
    <m/>
    <m/>
    <m/>
    <m/>
    <d v="2026-08-06T00:00:00"/>
    <s v="Да"/>
    <m/>
    <s v="Алтайский край (республика Алтай) -1 час"/>
    <m/>
    <m/>
    <s v="Нет"/>
    <s v="7e29c952-c416-45e5-ac52-6265b7e5eb8c"/>
    <n v="257793"/>
    <m/>
    <s v="ООО &quot;БОНД&quot; 2225228424#"/>
    <s v="Клиент"/>
    <s v="менее 50"/>
    <s v="ROBOT"/>
    <m/>
    <s v="Информационные технологии"/>
    <s v="0.00"/>
    <s v="Российский рубль"/>
    <m/>
    <s v="Россинский Вадим"/>
    <d v="2026-08-06T12:35:37"/>
    <s v="ROBOT_M"/>
    <d v="2026-08-06T14:23: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d v="2023-02-21T00:00:00"/>
    <m/>
    <s v="46.18 Деятельность агентов, специализирующихся на оптовой торговле прочими отдельными видами товаров"/>
    <m/>
    <s v="Нет"/>
    <m/>
    <m/>
    <s v="БОНД, ИНН 2225228424 ООО"/>
    <s v="ЯГОДНОЕ"/>
    <n v="2225228424"/>
    <m/>
    <m/>
    <m/>
    <m/>
    <m/>
    <m/>
    <m/>
    <s v="Свой контакт (Менеджер)"/>
    <m/>
    <s v="Коммерческие"/>
    <s v="ООО"/>
    <n v="128458"/>
    <s v="Алтайский край (республика Алтай) -1 час"/>
    <m/>
    <m/>
    <m/>
    <s v="Нет"/>
    <m/>
    <m/>
    <m/>
    <m/>
    <s v="Нет"/>
    <s v="Торговля. Прочая"/>
    <m/>
    <m/>
    <m/>
    <m/>
  </r>
  <r>
    <n v="316721"/>
    <s v="ЦП. 1С. Продажи"/>
    <s v="N"/>
    <s v="N"/>
    <x v="3"/>
    <m/>
    <m/>
    <m/>
    <m/>
    <m/>
    <s v="Соболев Максим"/>
    <s v="ONE_C"/>
    <s v="ИП ДЕРКАЧ КСЕНИЯ ЕВГЕНЬЕВНА 380470282200# - ЛК 1С"/>
    <s v="Продажа"/>
    <s v="Звонок"/>
    <m/>
    <n v="13680"/>
    <s v="Российский рубль"/>
    <s v="ИП ДЕРКАЧ КСЕНИЯ ЕВГЕНЬЕВНА 380470282200#"/>
    <s v="Деркач Ксения Евгеньевна"/>
    <m/>
    <s v="нет"/>
    <d v="2026-08-06T11:23:09"/>
    <s v="Соболев Максим"/>
    <d v="2026-08-26T14:00:03"/>
    <s v="Соболев Максим"/>
    <d v="2026-08-06T00:00:00"/>
    <d v="2026-08-13T00:00:00"/>
    <s v="Линия консультаций и техподдержка 1С"/>
    <n v="3420"/>
    <n v="4"/>
    <m/>
    <m/>
    <m/>
    <m/>
    <m/>
    <n v="508"/>
    <d v="2026-08-15T17:06:39"/>
    <m/>
    <m/>
    <m/>
    <m/>
    <m/>
    <m/>
    <s v="Договор-оферта"/>
    <s v="Нет"/>
    <n v="1"/>
    <m/>
    <m/>
    <m/>
    <s v="г Братск"/>
    <s v="ЦП. 1С и ИТС. Коммерция"/>
    <m/>
    <m/>
    <m/>
    <m/>
    <m/>
    <m/>
    <n v="0"/>
    <m/>
    <m/>
    <m/>
    <m/>
    <n v="9"/>
    <m/>
    <s v="ФРДТ-017540"/>
    <m/>
    <s v="ЦП. 1С. Коммерция"/>
    <m/>
    <m/>
    <m/>
    <m/>
    <d v="2026-08-17T00:00:00"/>
    <m/>
    <m/>
    <s v="[CO]ООО НПФ &quot;ФОРУС&quot; 3812023430#"/>
    <s v="Оказание услуг"/>
    <m/>
    <m/>
    <s v="Коммерческие"/>
    <m/>
    <m/>
    <s v="Обычный"/>
    <m/>
    <m/>
    <s v="#Загружено из Битрикс-Коробка#"/>
    <m/>
    <m/>
    <m/>
    <s v="Услуги ЦСВ 1С консультации"/>
    <m/>
    <m/>
    <m/>
    <m/>
    <m/>
    <m/>
    <s v="Не было отгрузок"/>
    <m/>
    <m/>
    <m/>
    <m/>
    <s v="Нет"/>
    <m/>
    <m/>
    <m/>
    <m/>
    <m/>
    <m/>
    <m/>
    <m/>
    <m/>
    <m/>
    <s v="АРХИВ_1С Разовые услуги (консультации)"/>
    <m/>
    <m/>
    <s v="Не нужно"/>
    <m/>
    <m/>
    <m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8-26T14:00:00"/>
    <d v="2026-08-26T14:21:14"/>
    <m/>
    <m/>
    <m/>
    <m/>
    <m/>
    <m/>
    <m/>
    <m/>
    <m/>
    <m/>
    <m/>
    <m/>
    <m/>
    <m/>
    <m/>
    <m/>
    <m/>
    <m/>
    <m/>
    <n v="357144"/>
    <m/>
    <m/>
    <s v="Ксения"/>
    <s v="Деркач"/>
    <s v="Евгеньевна"/>
    <m/>
    <m/>
    <s v="Клиенты"/>
    <s v="ROBOT"/>
    <s v="[p] CoPilot Ксения выбрала 1С: Фитнес-проф для перехода на обслуживание в компании 'Форс'. Текущий поставщик услуг не обновляет программу, что приводит к нарушению законодательства. У Ксении уже были проблемы с текущим поставщиком услуг за 9 лет сотрудничества. Марина обещала отправить коммерческое предложение по ценам на электронную почту Ксении. Ксения находится в Иркутске. [/p]"/>
    <s v="Звонок"/>
    <s v="Звонок поступил на номер: ЦП 78-00-00 (Общий) (62)."/>
    <s v="Да"/>
    <s v="Ковалева Марина"/>
    <d v="2025-02-11T12:42:08"/>
    <s v="Дунаевская Светлана"/>
    <d v="2026-08-19T06:44:18"/>
    <m/>
    <m/>
    <n v="79025672653"/>
    <m/>
    <m/>
    <m/>
    <m/>
    <m/>
    <m/>
    <m/>
    <m/>
    <m/>
    <m/>
    <m/>
    <m/>
    <s v="maximus_brk@mail.ru"/>
    <m/>
    <m/>
    <m/>
    <m/>
    <m/>
    <m/>
    <m/>
    <m/>
    <m/>
    <m/>
    <m/>
    <s v="imol|ank_chats_app24_whatsapp|32|79025672653|14282"/>
    <m/>
    <m/>
    <n v="14282"/>
    <s v="г Братск"/>
    <d v="2025-02-11T00:00:00"/>
    <s v="Да"/>
    <m/>
    <s v="Иркутская область 0 часов"/>
    <m/>
    <m/>
    <s v="Нет"/>
    <s v="0cd4afb9-5ebd-4a85-97d7-b0de9bfaec04"/>
    <n v="257784"/>
    <m/>
    <s v="ИП ДЕРКАЧ КСЕНИЯ ЕВГЕНЬЕВНА 380470282200#"/>
    <s v="Клиент"/>
    <s v="менее 50"/>
    <s v="ROBOT"/>
    <m/>
    <s v="Информационные технологии"/>
    <s v="0.00"/>
    <s v="Российский рубль"/>
    <m/>
    <s v="Соболев Максим"/>
    <d v="2026-08-06T10:44:48"/>
    <s v="Дунаевская Светлана"/>
    <d v="2026-08-17T16:42:33"/>
    <m/>
    <m/>
    <m/>
    <m/>
    <m/>
    <m/>
    <m/>
    <m/>
    <m/>
    <m/>
    <m/>
    <m/>
    <m/>
    <m/>
    <m/>
    <s v="maximus_brk@mail.ru"/>
    <m/>
    <m/>
    <m/>
    <m/>
    <m/>
    <m/>
    <m/>
    <m/>
    <m/>
    <m/>
    <m/>
    <m/>
    <m/>
    <m/>
    <m/>
    <m/>
    <n v="0"/>
    <s v="maximus_brk@mail.ru"/>
    <m/>
    <m/>
    <s v="93.13 Деятельность фитнес-центров"/>
    <m/>
    <s v="Нет"/>
    <m/>
    <m/>
    <s v="ИП Деркач Ксения Евгеньевна"/>
    <s v="г Братск"/>
    <n v="380470282200"/>
    <m/>
    <m/>
    <m/>
    <m/>
    <s v="maximus_brk@mail.ru"/>
    <m/>
    <m/>
    <s v="Свой контакт (Менеджер)"/>
    <m/>
    <s v="Коммерческие"/>
    <s v="ИП"/>
    <n v="128450"/>
    <s v="Иркутская область 0 часов"/>
    <m/>
    <m/>
    <m/>
    <s v="Нет"/>
    <m/>
    <m/>
    <m/>
    <m/>
    <s v="Нет"/>
    <s v="Услуги.Бытовые"/>
    <m/>
    <m/>
    <m/>
    <s v="132c5469-a2ec-4a03-a57b-04675cca9a0c"/>
  </r>
  <r>
    <n v="316644"/>
    <s v="ЦП. ФРЕШ. Продажи"/>
    <s v="N"/>
    <s v="Y"/>
    <x v="3"/>
    <m/>
    <m/>
    <m/>
    <m/>
    <m/>
    <s v="Федосеев Максим"/>
    <s v="ONE_C"/>
    <s v="ФРЕШ. Базовый - ИП Лешков Алексей Николаевич 382705709293#"/>
    <s v="Продажа"/>
    <s v="CRM-форма"/>
    <s v="ЦП. 1С и ИТС. Корппроекты - калькулятор затрат"/>
    <n v="18100"/>
    <s v="Российский рубль"/>
    <s v="ИП Лешков Алексей Николаевич 382705709293#"/>
    <s v="Татьяна"/>
    <m/>
    <s v="нет"/>
    <d v="2026-08-06T09:46:53"/>
    <s v="Федосеев Максим"/>
    <d v="2026-08-28T00:00:26"/>
    <s v="ROBOT_M"/>
    <d v="2026-08-06T00:00:00"/>
    <d v="2026-08-13T00:00:00"/>
    <s v="1С:Фреш - 1C:Предприятие 8 через Интернет. Базовый на 12 мес. (&lt;&gt;)"/>
    <n v="18100"/>
    <n v="1"/>
    <m/>
    <m/>
    <m/>
    <m/>
    <m/>
    <n v="14748"/>
    <d v="2026-08-06T14:24:08"/>
    <m/>
    <m/>
    <m/>
    <m/>
    <m/>
    <m/>
    <s v="Договор-оферта"/>
    <s v="Нет"/>
    <n v="2"/>
    <s v="tg.dobrynina@list.ru"/>
    <n v="79041338931"/>
    <m/>
    <s v="Иркутск"/>
    <s v="ЦП. 1С и ИТС. Коммерция"/>
    <d v="2026-09-05T00:00:00"/>
    <m/>
    <m/>
    <m/>
    <d v="2026-09-05T00:00:00"/>
    <m/>
    <n v="1"/>
    <s v="Татьяна"/>
    <m/>
    <m/>
    <m/>
    <n v="6"/>
    <m/>
    <s v="ФРДТ-017565"/>
    <m/>
    <s v="ЦП. 1С. Коммерция"/>
    <m/>
    <m/>
    <m/>
    <m/>
    <d v="2026-08-06T00:00:00"/>
    <m/>
    <m/>
    <s v="[CO]ООО НПФ &quot;ФОРУС&quot; 3812023430#"/>
    <s v="Сервисы"/>
    <m/>
    <m/>
    <m/>
    <m/>
    <m/>
    <s v="Обычный"/>
    <m/>
    <m/>
    <s v="#Загружено из Битрикс-Коробка#"/>
    <m/>
    <m/>
    <n v="263451"/>
    <s v="Фреш Коммерс Базовый"/>
    <m/>
    <m/>
    <m/>
    <m/>
    <m/>
    <m/>
    <s v="Не было отгрузок"/>
    <m/>
    <m/>
    <m/>
    <m/>
    <s v="Нет"/>
    <m/>
    <m/>
    <m/>
    <s v="ФРЕШ. Базовый"/>
    <s v="1С:Бух +ЭТК"/>
    <s v="-"/>
    <m/>
    <m/>
    <m/>
    <s v="Контроль оплаты"/>
    <s v="ФРЕШ и ГРМ"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24T13:00:00"/>
    <d v="2026-08-24T15:19:14"/>
    <m/>
    <m/>
    <m/>
    <m/>
    <m/>
    <m/>
    <m/>
    <m/>
    <m/>
    <m/>
    <m/>
    <m/>
    <m/>
    <m/>
    <m/>
    <m/>
    <m/>
    <m/>
    <m/>
    <n v="355423"/>
    <m/>
    <m/>
    <s v="Татьяна"/>
    <m/>
    <m/>
    <m/>
    <m/>
    <s v="Клиенты"/>
    <s v="ROBOT"/>
    <s v="24.01.25 Пока срочности в курсе нет Перевожу в сделку для вебинара"/>
    <s v="CRM-форма"/>
    <s v="ЗАКАЗАТЬ ЗВОНОК ФОРУС NEW"/>
    <s v="Да"/>
    <s v="Чернышова Софья"/>
    <d v="2025-01-24T15:08:48"/>
    <s v="Федосеев Максим"/>
    <d v="2026-08-10T13:00:23"/>
    <m/>
    <m/>
    <n v="79041338931"/>
    <m/>
    <m/>
    <m/>
    <m/>
    <m/>
    <m/>
    <m/>
    <m/>
    <m/>
    <m/>
    <m/>
    <m/>
    <s v="tg.dobrynina@list.ru"/>
    <m/>
    <m/>
    <m/>
    <m/>
    <m/>
    <m/>
    <m/>
    <m/>
    <m/>
    <m/>
    <m/>
    <m/>
    <m/>
    <m/>
    <m/>
    <m/>
    <d v="2025-01-24T00:00:00"/>
    <s v="Да"/>
    <m/>
    <m/>
    <s v="https://www.forus.ru/edu/sovremennyy-bukhgalter/"/>
    <s v="ОКВЭД"/>
    <s v="Нет"/>
    <m/>
    <n v="251811"/>
    <m/>
    <s v="ИП Лешков Алексей Николаевич 382705709293#"/>
    <s v="Клиент"/>
    <s v="менее 50"/>
    <s v="ROBOT"/>
    <m/>
    <s v="Информационные технологии"/>
    <m/>
    <s v="Российский рубль"/>
    <m/>
    <s v="Россинский Вадим"/>
    <d v="2026-04-24T11:55:51"/>
    <s v="ROBOT_M"/>
    <d v="2026-08-06T16:54:55"/>
    <m/>
    <m/>
    <n v="79246061794"/>
    <m/>
    <m/>
    <m/>
    <m/>
    <m/>
    <m/>
    <m/>
    <m/>
    <m/>
    <m/>
    <m/>
    <m/>
    <s v="tg.dobrynina@list.ru"/>
    <m/>
    <m/>
    <m/>
    <m/>
    <m/>
    <m/>
    <m/>
    <m/>
    <m/>
    <m/>
    <m/>
    <m/>
    <m/>
    <m/>
    <m/>
    <m/>
    <n v="0"/>
    <s v="tg.dobrynina@list.ru"/>
    <m/>
    <m/>
    <s v="49.41 Деятельность автомобильного грузового транспорта"/>
    <m/>
    <s v="Нет"/>
    <m/>
    <m/>
    <s v="Лешков Алексей Николаевич, Инн 382705709293"/>
    <s v="село Хомутово"/>
    <n v="382705709293"/>
    <m/>
    <m/>
    <m/>
    <m/>
    <s v="tg.dobrynina@list.ru"/>
    <m/>
    <m/>
    <s v="Свой контакт (Менеджер)"/>
    <m/>
    <s v="Коммерческие"/>
    <s v="ИП"/>
    <n v="124247"/>
    <s v="Иркутская область 0 часов"/>
    <m/>
    <m/>
    <m/>
    <s v="Нет"/>
    <m/>
    <m/>
    <m/>
    <m/>
    <s v="Нет"/>
    <s v="Услуги. Перевозки, логистика, склад"/>
    <m/>
    <m/>
    <m/>
    <s v="a672c67c-6634-40ed-98ed-5ca4487a6ffc"/>
  </r>
  <r>
    <n v="316209"/>
    <s v="ЦП. 1С. Продажи"/>
    <s v="Y"/>
    <s v="N"/>
    <x v="3"/>
    <m/>
    <m/>
    <m/>
    <m/>
    <m/>
    <s v="Россинский Вадим"/>
    <s v="ONE_C"/>
    <s v="ООО &quot;АЗИЯ СИБ&quot; 3808113160# - 1С-ЭПД"/>
    <s v="Продажа"/>
    <s v="Звонок"/>
    <s v="Звонок поступил на номер: ЦП 78-00-00 (62)."/>
    <n v="1400"/>
    <s v="Российский рубль"/>
    <s v="ООО &quot;АЗИЯ СИБ&quot; 3808113160#"/>
    <s v="Наталья"/>
    <m/>
    <s v="нет"/>
    <d v="2026-08-05T12:15:12"/>
    <s v="Россинский Вадим"/>
    <d v="2026-08-25T12:46:08"/>
    <s v="Иноземцева Надежда"/>
    <d v="2026-08-05T00:00:00"/>
    <d v="2026-08-12T00:00:00"/>
    <s v="1С-ЭДО. ЭПД-200 на 12 месяцев"/>
    <n v="1400"/>
    <n v="1"/>
    <m/>
    <m/>
    <m/>
    <m/>
    <m/>
    <n v="15488"/>
    <d v="2026-08-05T15:30:38"/>
    <m/>
    <m/>
    <m/>
    <m/>
    <m/>
    <m/>
    <s v="Договор-оферта"/>
    <s v="Нет"/>
    <n v="1"/>
    <m/>
    <n v="79041378868"/>
    <m/>
    <s v="Иркутск г"/>
    <s v="ЦП. 1С и ИТС. Коммерция"/>
    <m/>
    <m/>
    <m/>
    <m/>
    <m/>
    <m/>
    <m/>
    <m/>
    <m/>
    <m/>
    <m/>
    <n v="8"/>
    <m/>
    <s v="ФРДТ-017472"/>
    <m/>
    <s v="ЦП. 1С. Коммерция"/>
    <m/>
    <m/>
    <m/>
    <m/>
    <d v="2026-08-05T00:00:00"/>
    <m/>
    <m/>
    <s v="[CO]ООО НПФ &quot;ФОРУС&quot; 3812023430#"/>
    <s v="Сервисы"/>
    <m/>
    <m/>
    <s v="Коммерческие"/>
    <m/>
    <m/>
    <s v="Обычный"/>
    <m/>
    <m/>
    <m/>
    <m/>
    <m/>
    <n v="263421"/>
    <s v="1С-ЭДО Предоплаченные ТП"/>
    <m/>
    <m/>
    <m/>
    <m/>
    <m/>
    <m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-ЭПД"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8-25T12:42:51"/>
    <d v="2026-08-25T12:42:51"/>
    <m/>
    <m/>
    <m/>
    <m/>
    <m/>
    <m/>
    <m/>
    <m/>
    <m/>
    <m/>
    <m/>
    <m/>
    <m/>
    <m/>
    <m/>
    <m/>
    <m/>
    <m/>
    <m/>
    <n v="136104"/>
    <m/>
    <m/>
    <s v="Наталья"/>
    <m/>
    <m/>
    <s v="01.01.0001"/>
    <m/>
    <m/>
    <s v="ROBOT"/>
    <s v="[Автор=Не авторизован][Редактор=БитриксКоробка]"/>
    <s v="1С Сайт its.1c.ru"/>
    <m/>
    <s v="Да"/>
    <s v="ROBOT_M"/>
    <d v="2021-07-08T18:45:29"/>
    <s v="Соболев Максим"/>
    <d v="2026-08-19T15:02:03"/>
    <m/>
    <s v="+7 (3952) 484233"/>
    <s v="+7 (904) 1378868"/>
    <m/>
    <m/>
    <m/>
    <m/>
    <m/>
    <m/>
    <m/>
    <m/>
    <m/>
    <m/>
    <m/>
    <m/>
    <s v="book@asiasib.ru"/>
    <m/>
    <m/>
    <m/>
    <m/>
    <m/>
    <m/>
    <m/>
    <m/>
    <m/>
    <m/>
    <m/>
    <m/>
    <m/>
    <m/>
    <m/>
    <s v="Иркутск г."/>
    <d v="2021-07-11T00:00:00"/>
    <s v="Да"/>
    <m/>
    <s v="Иркутская область 0 часов"/>
    <m/>
    <m/>
    <s v="Нет"/>
    <s v="390814cf-eea9-4e98-afad-5cb1a6502b4e"/>
    <n v="114625"/>
    <m/>
    <s v="ООО &quot;АЗИЯ СИБ&quot; 3808113160#"/>
    <s v="Клиент"/>
    <m/>
    <s v="ROBOT"/>
    <m/>
    <m/>
    <m/>
    <s v="Российский рубль"/>
    <s v="."/>
    <s v="ROBOT_M"/>
    <d v="2021-07-07T02:22:25"/>
    <s v="Дунаевская Светлана"/>
    <d v="2026-08-20T17:30:57"/>
    <m/>
    <n v="295810337233"/>
    <m/>
    <m/>
    <m/>
    <m/>
    <m/>
    <m/>
    <m/>
    <m/>
    <m/>
    <m/>
    <m/>
    <m/>
    <m/>
    <s v="book@asiasib.ru"/>
    <m/>
    <m/>
    <m/>
    <m/>
    <m/>
    <m/>
    <m/>
    <m/>
    <m/>
    <m/>
    <m/>
    <m/>
    <m/>
    <m/>
    <m/>
    <m/>
    <n v="0"/>
    <s v="info@asiasib.ru"/>
    <d v="2004-11-19T00:00:00"/>
    <m/>
    <s v="46.18 Деятельность агентов, специализирующихся на оптовой торговле прочими отдельными видами товаров"/>
    <m/>
    <s v="Нет"/>
    <d v="2011-03-10T00:00:00"/>
    <d v="2024-10-11T00:00:00"/>
    <s v="АЗИЯ СИБ ООО"/>
    <s v="Иркутск г"/>
    <n v="3808113160"/>
    <m/>
    <m/>
    <m/>
    <m/>
    <m/>
    <m/>
    <m/>
    <m/>
    <m/>
    <s v="Коммерческие"/>
    <s v="ООО"/>
    <n v="15103"/>
    <s v="Иркутская область 0 часов"/>
    <m/>
    <m/>
    <m/>
    <s v="Да, компания работает"/>
    <s v="[C]Верхозин Игорь Эрнстович"/>
    <m/>
    <m/>
    <m/>
    <s v="Нет"/>
    <s v="Торговля. Прочая"/>
    <m/>
    <m/>
    <m/>
    <s v="092ea766-4469-11e0-978d-0026554f9a5c"/>
  </r>
  <r>
    <n v="316108"/>
    <s v="ЦП. 1С. Продажи"/>
    <s v="Y"/>
    <s v="N"/>
    <x v="0"/>
    <m/>
    <m/>
    <m/>
    <m/>
    <m/>
    <s v="Россинский Вадим"/>
    <s v="ONE_C"/>
    <s v="[Связь] - ООО &quot;НК-ИМПОРТ&quot; 3849101572# - 1С КП и Сервисы"/>
    <s v="Продажа"/>
    <s v="Звонок"/>
    <m/>
    <n v="38000"/>
    <s v="Российский рубль"/>
    <s v="ООО &quot;НК-ИМПОРТ&quot; 3849101572#"/>
    <s v="Толстова Татьяна Анатольевна"/>
    <m/>
    <s v="нет"/>
    <d v="2026-08-05T09:59:02"/>
    <s v="Россинский Вадим"/>
    <d v="2026-08-28T17:36:01"/>
    <s v="ROBOT_M"/>
    <d v="2026-08-05T00:00:00"/>
    <d v="2026-08-12T00:00:00"/>
    <s v="1С:КП ПРОФ на 12 месяцев по схеме 8+4"/>
    <n v="38000"/>
    <n v="1"/>
    <s v="##Родительская сделка 316107##"/>
    <m/>
    <m/>
    <m/>
    <m/>
    <n v="5"/>
    <d v="2026-08-20T16:30:31"/>
    <m/>
    <m/>
    <m/>
    <m/>
    <m/>
    <m/>
    <s v="Договор-оферта"/>
    <s v="Нет"/>
    <n v="2"/>
    <m/>
    <m/>
    <m/>
    <s v="ИРКУТСК"/>
    <s v="ЦП. 1С и ИТС. Коммерция"/>
    <m/>
    <m/>
    <m/>
    <d v="2026-08-21T00:00:00"/>
    <d v="2027-08-20T00:00:00"/>
    <m/>
    <m/>
    <m/>
    <m/>
    <m/>
    <m/>
    <n v="0"/>
    <s v="/upload/crm/79e/twg4nlmtxe3jofap6ags7mz8xf5mp3ti/Договор-оферта.txt"/>
    <s v="ФРДТ-017442"/>
    <s v="[D]ООО &quot;НК-ИМПОРТ&quot; 3849101572# - 1С Программы и лицензии"/>
    <s v="ЦП. 1С. Коммерция"/>
    <m/>
    <m/>
    <m/>
    <m/>
    <d v="2026-08-19T00:00:00"/>
    <m/>
    <m/>
    <s v="[CO]ООО НПФ &quot;ФОРУС&quot; 3812023430#"/>
    <s v="Сервисы"/>
    <m/>
    <m/>
    <s v="Коммерческие"/>
    <m/>
    <m/>
    <s v="Обычный"/>
    <m/>
    <s v="Да"/>
    <s v="#Загружено из Битрикс-Коробка#"/>
    <d v="2026-08-19T00:00:00"/>
    <m/>
    <m/>
    <s v="ИТС КП ПРОФ"/>
    <m/>
    <m/>
    <n v="12"/>
    <m/>
    <n v="38000"/>
    <d v="2026-08-21T00:00:00"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 КП ПРОФ"/>
    <s v="Контроль сделк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n v="38000"/>
    <d v="2026-08-21T00:00:00"/>
    <s v="Не было отгрузок"/>
    <m/>
    <s v="Оформлена подписка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сделки"/>
    <m/>
    <m/>
    <m/>
    <m/>
    <m/>
    <d v="2026-08-27T00:03:38"/>
    <m/>
    <m/>
    <m/>
    <m/>
    <m/>
    <m/>
    <m/>
    <m/>
    <m/>
    <m/>
    <m/>
    <m/>
    <m/>
    <m/>
    <m/>
    <m/>
    <m/>
    <m/>
    <m/>
    <m/>
    <n v="295430"/>
    <m/>
    <m/>
    <s v="Татьяна"/>
    <s v="Толстова"/>
    <s v="Анатольевна"/>
    <m/>
    <m/>
    <s v="Клиенты"/>
    <s v="ROBOT"/>
    <s v="О КЛИЕНТЕ. Вид деятельности: оптовая торговля металлом . СНО: ОСНО. Кол-во сотрудников: 17. Как дела"/>
    <s v="Мероприятие Форус"/>
    <m/>
    <s v="Да"/>
    <s v="Зайцева Алина"/>
    <d v="2022-10-23T19:36:08"/>
    <s v="ROBOT_UT"/>
    <d v="2026-08-22T06:44:34"/>
    <m/>
    <m/>
    <n v="79501162106"/>
    <m/>
    <m/>
    <m/>
    <m/>
    <m/>
    <m/>
    <m/>
    <m/>
    <m/>
    <m/>
    <m/>
    <m/>
    <s v="sibmet_irk@mail.ru, ecoteh.irk@mail.ru, rvcm38@mail.ru"/>
    <m/>
    <m/>
    <m/>
    <m/>
    <m/>
    <m/>
    <m/>
    <m/>
    <m/>
    <m/>
    <m/>
    <m/>
    <m/>
    <m/>
    <m/>
    <s v="Иркутск г"/>
    <d v="2022-10-23T00:00:00"/>
    <s v="Да"/>
    <m/>
    <s v="Иркутская область 0 часов"/>
    <m/>
    <m/>
    <s v="Нет"/>
    <s v="0cc5ffd1-1f69-4202-a893-90751f1d96b7"/>
    <n v="220216"/>
    <m/>
    <s v="ООО &quot;НК-ИМПОРТ&quot; 3849101572#"/>
    <s v="Клиент"/>
    <m/>
    <s v="ROBOT"/>
    <m/>
    <m/>
    <m/>
    <s v="Российский рубль"/>
    <m/>
    <s v="ROBOT_M"/>
    <d v="2024-04-29T17:19:29"/>
    <s v="ROBOT_M"/>
    <d v="2026-09-02T13:24:13"/>
    <m/>
    <n v="147785090596"/>
    <n v="158289278508"/>
    <m/>
    <m/>
    <m/>
    <m/>
    <m/>
    <m/>
    <m/>
    <m/>
    <m/>
    <m/>
    <m/>
    <m/>
    <s v="buh@r8-parts.ru"/>
    <m/>
    <m/>
    <m/>
    <m/>
    <m/>
    <m/>
    <m/>
    <m/>
    <m/>
    <m/>
    <m/>
    <m/>
    <m/>
    <m/>
    <m/>
    <m/>
    <n v="0"/>
    <s v="buh@r8-parts.ru"/>
    <d v="2024-04-27T00:00:00"/>
    <m/>
    <s v="45.31 Торговля оптовая автомобильными деталями, узлами и принадлежностями"/>
    <m/>
    <s v="Нет"/>
    <m/>
    <m/>
    <s v="НК-ИМПОРТ ООО"/>
    <s v="ИРКУТСК"/>
    <n v="3849101572"/>
    <m/>
    <m/>
    <m/>
    <m/>
    <s v="buh@r8-parts.ru"/>
    <m/>
    <m/>
    <s v="Контур.Биллинг"/>
    <m/>
    <s v="Коммерческие"/>
    <s v="ООО"/>
    <n v="103228"/>
    <s v="Иркутская область 0 часов"/>
    <m/>
    <m/>
    <m/>
    <s v="Нет"/>
    <m/>
    <m/>
    <m/>
    <m/>
    <s v="Нет"/>
    <s v="Торговля. Автотранспорт и ГСМ"/>
    <m/>
    <m/>
    <m/>
    <s v="8c042a20-3e2f-451e-b369-75a331e01316"/>
  </r>
  <r>
    <n v="315998"/>
    <s v="ЦП. 1С. Продажи"/>
    <s v="N"/>
    <s v="N"/>
    <x v="0"/>
    <m/>
    <m/>
    <m/>
    <m/>
    <m/>
    <s v="Россинский Вадим"/>
    <s v="ONE_C"/>
    <s v="ООО &quot;РАШ-ОЙЛ&quot; 3801137588# - 1С-ЭДО"/>
    <s v="Продажа"/>
    <s v="Звонок"/>
    <m/>
    <n v="29500"/>
    <s v="Российский рубль"/>
    <s v="ООО &quot;РАШ-ОЙЛ&quot; 3801137588#"/>
    <s v="Плотников Глеб Станиславович"/>
    <m/>
    <s v="нет"/>
    <d v="2026-08-04T16:48:16"/>
    <s v="Россинский Вадим"/>
    <d v="2026-09-01T16:42:49"/>
    <s v="Россинский Вадим"/>
    <d v="2026-08-04T00:00:00"/>
    <d v="2026-08-11T00:00:00"/>
    <s v="1С-ЭДО. ЭПД-7000 на 12 месяцев"/>
    <n v="29500"/>
    <n v="1"/>
    <m/>
    <m/>
    <m/>
    <m/>
    <m/>
    <n v="5"/>
    <d v="2026-08-18T09:23:31"/>
    <m/>
    <m/>
    <m/>
    <m/>
    <m/>
    <m/>
    <s v="Договор-оферта"/>
    <s v="Нет"/>
    <n v="1"/>
    <m/>
    <m/>
    <m/>
    <s v="АНГАРСК"/>
    <s v="ЦП. 1С и ИТС. Коммерция"/>
    <m/>
    <m/>
    <m/>
    <d v="2026-08-20T00:00:00"/>
    <d v="2027-08-19T00:00:00"/>
    <m/>
    <n v="0"/>
    <m/>
    <m/>
    <m/>
    <m/>
    <n v="13"/>
    <s v="/upload/crm/1f2/duv09q912lrfb0x9xsxcw2177m26m3b2/Договор-оферта.txt"/>
    <s v="ФРДТ-017411"/>
    <m/>
    <s v="ЦП. 1С. Коммерция"/>
    <m/>
    <m/>
    <m/>
    <m/>
    <d v="2026-08-04T00:00:00"/>
    <m/>
    <m/>
    <s v="[CO]ООО НПФ &quot;ФОРУС&quot; 3812023430#"/>
    <s v="Сервисы"/>
    <m/>
    <m/>
    <s v="Коммерческие"/>
    <m/>
    <m/>
    <s v="Обычный"/>
    <m/>
    <s v="Да"/>
    <s v="#Загружено из Битрикс-Коробка#"/>
    <d v="2026-08-17T00:00:00"/>
    <m/>
    <m/>
    <s v="1С-ЭДО Предоплаченные ТП"/>
    <m/>
    <m/>
    <n v="12"/>
    <m/>
    <n v="40300"/>
    <d v="2026-08-21T00:00:00"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-ЭДО"/>
    <s v="Контроль сделк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n v="40300"/>
    <d v="2026-08-21T00:00:00"/>
    <s v="Не было отгрузок"/>
    <m/>
    <s v="Оформлена подписка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сделки"/>
    <m/>
    <m/>
    <m/>
    <m/>
    <m/>
    <d v="2026-09-01T16:37:41"/>
    <d v="2026-09-01T16:37:41"/>
    <m/>
    <m/>
    <m/>
    <m/>
    <m/>
    <m/>
    <m/>
    <m/>
    <m/>
    <m/>
    <m/>
    <m/>
    <m/>
    <m/>
    <m/>
    <m/>
    <m/>
    <m/>
    <m/>
    <n v="208852"/>
    <m/>
    <m/>
    <s v="Глеб"/>
    <s v="Плотников"/>
    <s v="Станиславович"/>
    <m/>
    <m/>
    <m/>
    <s v="ROBOT"/>
    <s v="[Автор=WEBITIL][Редактор=БитриксКоробка]"/>
    <s v="Звонок"/>
    <s v="Звонок поступил на номер: ЦП Общий 78-00-00 (62)."/>
    <s v="Да"/>
    <s v="ROBOT_M"/>
    <d v="2021-07-10T00:52:52"/>
    <s v="Дунаевская Светлана"/>
    <d v="2026-08-08T06:44:39"/>
    <m/>
    <m/>
    <n v="158960567556"/>
    <m/>
    <m/>
    <m/>
    <m/>
    <m/>
    <m/>
    <m/>
    <m/>
    <m/>
    <m/>
    <m/>
    <m/>
    <s v="lambard999@bk.ru, plotnikovgs@gmail.com, fyntik900@mail.ru"/>
    <m/>
    <m/>
    <m/>
    <m/>
    <m/>
    <m/>
    <m/>
    <m/>
    <m/>
    <m/>
    <m/>
    <m/>
    <m/>
    <m/>
    <m/>
    <s v="Иркутск г"/>
    <d v="2019-01-16T00:00:00"/>
    <s v="Да"/>
    <m/>
    <s v="Иркутская область 0 часов"/>
    <m/>
    <m/>
    <s v="Нет"/>
    <s v="425ce2db-d599-11e7-b231-0026554f9a58"/>
    <n v="174289"/>
    <m/>
    <s v="ООО &quot;РАШ-ОЙЛ&quot; 3801137588#"/>
    <s v="Клиент"/>
    <m/>
    <s v="ROBOT"/>
    <m/>
    <m/>
    <m/>
    <s v="Российский рубль"/>
    <m/>
    <s v="ROBOT_M"/>
    <d v="2021-08-04T01:56:07"/>
    <s v="ROBOT_M"/>
    <d v="2026-09-01T17:31:26"/>
    <m/>
    <m/>
    <n v="316948635538"/>
    <m/>
    <m/>
    <m/>
    <m/>
    <m/>
    <m/>
    <m/>
    <m/>
    <m/>
    <m/>
    <m/>
    <m/>
    <s v="fyntik900@mail.ru, ruch-oil@mail.ru"/>
    <m/>
    <m/>
    <m/>
    <m/>
    <m/>
    <m/>
    <m/>
    <m/>
    <m/>
    <m/>
    <m/>
    <m/>
    <m/>
    <m/>
    <m/>
    <m/>
    <n v="0"/>
    <s v="fyntik900@mail.ru"/>
    <d v="2016-03-04T00:00:00"/>
    <m/>
    <s v="46.71 Торговля оптовая твердым, жидким и газообразным топливом и подобными продуктами"/>
    <m/>
    <s v="Нет"/>
    <d v="2022-05-30T00:00:00"/>
    <d v="2022-05-30T00:00:00"/>
    <s v="РАШ-ОЙЛ ООО"/>
    <s v="АНГАРСК"/>
    <n v="3801137588"/>
    <m/>
    <m/>
    <m/>
    <m/>
    <s v="fyntik900@mail.ru"/>
    <m/>
    <m/>
    <m/>
    <m/>
    <s v="Коммерческие"/>
    <s v="ООО"/>
    <n v="92051"/>
    <s v="Иркутская область 0 часов"/>
    <m/>
    <m/>
    <m/>
    <m/>
    <m/>
    <m/>
    <m/>
    <m/>
    <s v="Нет"/>
    <s v="Торговля. Автотранспорт и ГСМ"/>
    <m/>
    <m/>
    <m/>
    <s v="d738ba3f-320d-43b2-a742-c6d67844ff57"/>
  </r>
  <r>
    <n v="315998"/>
    <s v="ЦП. 1С. Продажи"/>
    <s v="N"/>
    <s v="N"/>
    <x v="0"/>
    <m/>
    <m/>
    <m/>
    <m/>
    <m/>
    <s v="Россинский Вадим"/>
    <s v="ONE_C"/>
    <s v="ООО &quot;РАШ-ОЙЛ&quot; 3801137588# - 1С-ЭДО"/>
    <s v="Продажа"/>
    <s v="Звонок"/>
    <m/>
    <n v="10800"/>
    <s v="Российский рубль"/>
    <s v="ООО &quot;РАШ-ОЙЛ&quot; 3801137588#"/>
    <s v="Плотников Глеб Станиславович"/>
    <m/>
    <s v="нет"/>
    <d v="2026-08-04T16:48:16"/>
    <s v="Россинский Вадим"/>
    <d v="2026-09-01T16:42:49"/>
    <s v="Россинский Вадим"/>
    <d v="2026-08-04T00:00:00"/>
    <d v="2026-08-11T00:00:00"/>
    <s v="1С-ЭДО годовой. 1200"/>
    <n v="10800"/>
    <n v="1"/>
    <m/>
    <m/>
    <m/>
    <m/>
    <m/>
    <n v="5"/>
    <d v="2026-08-18T09:23:31"/>
    <m/>
    <m/>
    <m/>
    <m/>
    <m/>
    <m/>
    <s v="Договор-оферта"/>
    <s v="Нет"/>
    <n v="1"/>
    <m/>
    <m/>
    <m/>
    <s v="АНГАРСК"/>
    <s v="ЦП. 1С и ИТС. Коммерция"/>
    <m/>
    <m/>
    <m/>
    <d v="2026-08-20T00:00:00"/>
    <d v="2027-08-19T00:00:00"/>
    <m/>
    <n v="0"/>
    <m/>
    <m/>
    <m/>
    <m/>
    <n v="13"/>
    <s v="/upload/crm/1f2/duv09q912lrfb0x9xsxcw2177m26m3b2/Договор-оферта.txt"/>
    <s v="ФРДТ-017411"/>
    <m/>
    <s v="ЦП. 1С. Коммерция"/>
    <m/>
    <m/>
    <m/>
    <m/>
    <d v="2026-08-04T00:00:00"/>
    <m/>
    <m/>
    <s v="[CO]ООО НПФ &quot;ФОРУС&quot; 3812023430#"/>
    <s v="Сервисы"/>
    <m/>
    <m/>
    <s v="Коммерческие"/>
    <m/>
    <m/>
    <s v="Обычный"/>
    <m/>
    <s v="Да"/>
    <s v="#Загружено из Битрикс-Коробка#"/>
    <d v="2026-08-17T00:00:00"/>
    <m/>
    <m/>
    <s v="1С-ЭДО Предоплаченные ТП"/>
    <m/>
    <m/>
    <n v="12"/>
    <m/>
    <n v="40300"/>
    <d v="2026-08-21T00:00:00"/>
    <s v="Не было отгрузок"/>
    <m/>
    <m/>
    <m/>
    <m/>
    <s v="Нет"/>
    <m/>
    <m/>
    <m/>
    <m/>
    <m/>
    <m/>
    <m/>
    <m/>
    <m/>
    <m/>
    <s v="1С КП и Сервисы"/>
    <m/>
    <m/>
    <s v="Не нужно"/>
    <m/>
    <m/>
    <s v="1С-ЭДО"/>
    <s v="Контроль сделк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Полная оплата"/>
    <m/>
    <m/>
    <s v="Да"/>
    <s v="Нет"/>
    <n v="40300"/>
    <d v="2026-08-21T00:00:00"/>
    <s v="Не было отгрузок"/>
    <m/>
    <s v="Оформлена подписка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сделки"/>
    <m/>
    <m/>
    <m/>
    <m/>
    <m/>
    <d v="2026-09-01T16:37:41"/>
    <d v="2026-09-01T16:37:41"/>
    <m/>
    <m/>
    <m/>
    <m/>
    <m/>
    <m/>
    <m/>
    <m/>
    <m/>
    <m/>
    <m/>
    <m/>
    <m/>
    <m/>
    <m/>
    <m/>
    <m/>
    <m/>
    <m/>
    <n v="208852"/>
    <m/>
    <m/>
    <s v="Глеб"/>
    <s v="Плотников"/>
    <s v="Станиславович"/>
    <m/>
    <m/>
    <m/>
    <s v="ROBOT"/>
    <s v="[Автор=WEBITIL][Редактор=БитриксКоробка]"/>
    <s v="Звонок"/>
    <s v="Звонок поступил на номер: ЦП Общий 78-00-00 (62)."/>
    <s v="Да"/>
    <s v="ROBOT_M"/>
    <d v="2021-07-10T00:52:52"/>
    <s v="Дунаевская Светлана"/>
    <d v="2026-08-08T06:44:39"/>
    <m/>
    <m/>
    <n v="158960567556"/>
    <m/>
    <m/>
    <m/>
    <m/>
    <m/>
    <m/>
    <m/>
    <m/>
    <m/>
    <m/>
    <m/>
    <m/>
    <s v="lambard999@bk.ru, plotnikovgs@gmail.com, fyntik900@mail.ru"/>
    <m/>
    <m/>
    <m/>
    <m/>
    <m/>
    <m/>
    <m/>
    <m/>
    <m/>
    <m/>
    <m/>
    <m/>
    <m/>
    <m/>
    <m/>
    <s v="Иркутск г"/>
    <d v="2019-01-16T00:00:00"/>
    <s v="Да"/>
    <m/>
    <s v="Иркутская область 0 часов"/>
    <m/>
    <m/>
    <s v="Нет"/>
    <s v="425ce2db-d599-11e7-b231-0026554f9a58"/>
    <n v="174289"/>
    <m/>
    <s v="ООО &quot;РАШ-ОЙЛ&quot; 3801137588#"/>
    <s v="Клиент"/>
    <m/>
    <s v="ROBOT"/>
    <m/>
    <m/>
    <m/>
    <s v="Российский рубль"/>
    <m/>
    <s v="ROBOT_M"/>
    <d v="2021-08-04T01:56:07"/>
    <s v="ROBOT_M"/>
    <d v="2026-09-01T17:31:26"/>
    <m/>
    <m/>
    <n v="316948635538"/>
    <m/>
    <m/>
    <m/>
    <m/>
    <m/>
    <m/>
    <m/>
    <m/>
    <m/>
    <m/>
    <m/>
    <m/>
    <s v="fyntik900@mail.ru, ruch-oil@mail.ru"/>
    <m/>
    <m/>
    <m/>
    <m/>
    <m/>
    <m/>
    <m/>
    <m/>
    <m/>
    <m/>
    <m/>
    <m/>
    <m/>
    <m/>
    <m/>
    <m/>
    <n v="0"/>
    <s v="fyntik900@mail.ru"/>
    <d v="2016-03-04T00:00:00"/>
    <m/>
    <s v="46.71 Торговля оптовая твердым, жидким и газообразным топливом и подобными продуктами"/>
    <m/>
    <s v="Нет"/>
    <d v="2022-05-30T00:00:00"/>
    <d v="2022-05-30T00:00:00"/>
    <s v="РАШ-ОЙЛ ООО"/>
    <s v="АНГАРСК"/>
    <n v="3801137588"/>
    <m/>
    <m/>
    <m/>
    <m/>
    <s v="fyntik900@mail.ru"/>
    <m/>
    <m/>
    <m/>
    <m/>
    <s v="Коммерческие"/>
    <s v="ООО"/>
    <n v="92051"/>
    <s v="Иркутская область 0 часов"/>
    <m/>
    <m/>
    <m/>
    <m/>
    <m/>
    <m/>
    <m/>
    <m/>
    <s v="Нет"/>
    <s v="Торговля. Автотранспорт и ГСМ"/>
    <m/>
    <m/>
    <m/>
    <s v="d738ba3f-320d-43b2-a742-c6d67844ff57"/>
  </r>
  <r>
    <n v="315968"/>
    <s v="ЦП. ФРЕШ. Продажи"/>
    <s v="Y"/>
    <s v="N"/>
    <x v="9"/>
    <m/>
    <s v="Савинская Евгения Федосеев Максим"/>
    <m/>
    <m/>
    <m/>
    <s v="Федосеев Максим"/>
    <s v="ONE_C"/>
    <s v="ИП Кушнарева Надежда Витальевна 032600557445# - ФРЕШ. ПРОФ"/>
    <s v="Продажа"/>
    <s v="CRM-форма"/>
    <s v="Форма контактных данных для открытых линий"/>
    <n v="57000"/>
    <s v="Российский рубль"/>
    <s v="ИП Кушнарева Надежда Витальевна 032600557445#"/>
    <s v="Жанна"/>
    <m/>
    <s v="нет"/>
    <d v="2026-08-04T16:27:22"/>
    <s v="Федосеев Максим"/>
    <d v="2026-08-28T16:00:49"/>
    <s v="Федосеев Максим"/>
    <d v="2026-08-04T00:00:00"/>
    <d v="2026-08-11T00:00:00"/>
    <s v="1С:Фреш - 1C:Предприятие 8 через Интернет. ПРОФ на 12 мес. (&lt;&gt;)"/>
    <n v="57000"/>
    <n v="1"/>
    <m/>
    <m/>
    <m/>
    <m/>
    <m/>
    <n v="14748"/>
    <d v="2026-08-04T17:21:24"/>
    <m/>
    <m/>
    <m/>
    <m/>
    <m/>
    <m/>
    <s v="Договор-оферта"/>
    <s v="Нет"/>
    <n v="1"/>
    <s v="n354090@yandex.ru"/>
    <n v="79021600126"/>
    <m/>
    <s v="Улан-Удэ г"/>
    <s v="ЦП. 1С и ИТС. Коммерция"/>
    <d v="2026-09-03T00:00:00"/>
    <m/>
    <m/>
    <m/>
    <d v="2026-09-03T00:00:00"/>
    <m/>
    <n v="1"/>
    <s v="Надежда"/>
    <m/>
    <m/>
    <m/>
    <n v="7"/>
    <m/>
    <s v="ФРДТ-017421"/>
    <m/>
    <s v="ЦП. 1С. Коммерция"/>
    <m/>
    <m/>
    <m/>
    <m/>
    <d v="2026-08-04T00:00:00"/>
    <m/>
    <m/>
    <s v="[CO]ООО НПФ &quot;ФОРУС&quot; 3812023430#"/>
    <s v="Сервисы"/>
    <m/>
    <m/>
    <s v="Коммерческие"/>
    <m/>
    <m/>
    <s v="Обычный"/>
    <m/>
    <m/>
    <s v="#Загружено из Битрикс-Коробка#"/>
    <m/>
    <m/>
    <n v="263302"/>
    <s v="Фреш Коммерс ПРОФ"/>
    <m/>
    <m/>
    <m/>
    <m/>
    <m/>
    <m/>
    <s v="Не было отгрузок"/>
    <m/>
    <m/>
    <m/>
    <m/>
    <s v="Нет"/>
    <m/>
    <m/>
    <m/>
    <s v="ФРЕШ. ПРОФ"/>
    <s v="1С:Бух +ЭТК"/>
    <s v="."/>
    <s v="Основная"/>
    <m/>
    <m/>
    <s v="Отправить счет / договор"/>
    <s v="ФРЕШ и ГРМ"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8-28T16:00:00"/>
    <d v="2026-08-28T11:58:25"/>
    <m/>
    <m/>
    <m/>
    <m/>
    <m/>
    <m/>
    <m/>
    <m/>
    <m/>
    <m/>
    <m/>
    <m/>
    <m/>
    <m/>
    <m/>
    <m/>
    <m/>
    <m/>
    <m/>
    <n v="397147"/>
    <m/>
    <m/>
    <s v="Жанна"/>
    <m/>
    <m/>
    <m/>
    <m/>
    <s v="Клиенты"/>
    <s v="ROBOT"/>
    <m/>
    <s v="Свой контакт (Менеджер)"/>
    <m/>
    <s v="Да"/>
    <s v="Федосеев Максим"/>
    <d v="2026-08-04T16:27:22"/>
    <s v="ROBOT_UT"/>
    <d v="2026-08-30T06:44:30"/>
    <m/>
    <m/>
    <n v="79834354090"/>
    <m/>
    <m/>
    <m/>
    <m/>
    <m/>
    <m/>
    <m/>
    <m/>
    <m/>
    <m/>
    <m/>
    <m/>
    <s v="n354090@yandex.ru"/>
    <m/>
    <m/>
    <m/>
    <m/>
    <m/>
    <m/>
    <m/>
    <m/>
    <m/>
    <m/>
    <m/>
    <m/>
    <m/>
    <m/>
    <m/>
    <s v="Улан-Удэ г"/>
    <d v="2026-08-04T00:00:00"/>
    <s v="Да"/>
    <m/>
    <s v="Республика Бурятия 0 часов"/>
    <m/>
    <m/>
    <s v="Нет"/>
    <s v="93d35e79-6ee9-467d-8e1b-bd030a455fda"/>
    <n v="238500"/>
    <m/>
    <s v="ИП Кушнарева Надежда Витальевна 032600557445#"/>
    <s v="Клиент"/>
    <m/>
    <s v="ROBOT"/>
    <m/>
    <m/>
    <m/>
    <s v="Российский рубль"/>
    <m/>
    <s v="Цыбенов Аюр"/>
    <d v="2025-05-14T13:51:46"/>
    <s v="ROBOT_M"/>
    <d v="2026-08-25T11:42:44"/>
    <m/>
    <m/>
    <n v="79834354090"/>
    <m/>
    <m/>
    <m/>
    <m/>
    <n v="79021600126"/>
    <m/>
    <m/>
    <m/>
    <m/>
    <m/>
    <m/>
    <m/>
    <s v="n354090@yandex.ru"/>
    <m/>
    <s v="n354090@yandex.ru"/>
    <m/>
    <m/>
    <m/>
    <m/>
    <m/>
    <m/>
    <m/>
    <m/>
    <s v="imol|livechat|18|285189|25306"/>
    <m/>
    <m/>
    <m/>
    <n v="25306"/>
    <m/>
    <n v="0"/>
    <s v="n354090@yandex.ru"/>
    <d v="2001-01-01T00:00:00"/>
    <m/>
    <s v="69.20 Деятельность по оказанию услуг в области бухгалтерского учета, по проведению финансового аудита, по налоговому консультированию"/>
    <m/>
    <s v="Нет"/>
    <d v="2025-05-16T00:00:00"/>
    <d v="2025-05-20T00:00:00"/>
    <s v="ИП Кушнарева Надежда Витальевна"/>
    <s v="Улан-Удэ г"/>
    <n v="32600557445"/>
    <m/>
    <m/>
    <m/>
    <m/>
    <m/>
    <m/>
    <m/>
    <s v="Свой контакт (Менеджер)"/>
    <m/>
    <s v="Коммерческие"/>
    <s v="ИП"/>
    <n v="114149"/>
    <s v="Республика Бурятия 0 часов"/>
    <m/>
    <m/>
    <m/>
    <s v="Да, компания работает"/>
    <m/>
    <m/>
    <m/>
    <m/>
    <s v="Нет"/>
    <s v="Услуги. Бухгалтерский учёт и аутсорсинг"/>
    <m/>
    <m/>
    <m/>
    <s v="ca862d85-a34e-46b1-87d6-b44c87f52d4e"/>
  </r>
  <r>
    <n v="315582"/>
    <s v="ЦП. УЦ. Продажи"/>
    <s v="Y"/>
    <s v="N"/>
    <x v="10"/>
    <m/>
    <m/>
    <m/>
    <m/>
    <m/>
    <s v="Федорова Анастасия"/>
    <s v="ONE_C"/>
    <s v="ООО &quot;МИКС&quot; 3808268075# - Другие сервисы"/>
    <s v="Продажа"/>
    <s v="Свой контакт (Менеджер)"/>
    <m/>
    <n v="7600"/>
    <s v="Российский рубль"/>
    <s v="ООО &quot;МИКС&quot; 3808268075#"/>
    <m/>
    <m/>
    <s v="нет"/>
    <d v="2026-08-03T17:11:23"/>
    <s v="Федорова Анастасия"/>
    <d v="2026-09-01T16:54:54"/>
    <s v="Захарова Ольга"/>
    <d v="2026-08-03T00:00:00"/>
    <d v="2026-08-10T00:00:00"/>
    <s v="ПО &quot;Астрал-Отчетность&quot; (сроком на 1 год) 1 юр. лицо (&lt;&gt;)"/>
    <n v="7600"/>
    <n v="1"/>
    <m/>
    <m/>
    <m/>
    <m/>
    <m/>
    <n v="5"/>
    <d v="2026-08-07T10:04:12"/>
    <m/>
    <m/>
    <m/>
    <m/>
    <m/>
    <m/>
    <s v="Договор-оферта"/>
    <s v="Нет"/>
    <n v="2"/>
    <m/>
    <m/>
    <m/>
    <s v="ИРКУТСК"/>
    <s v="ЦП. 1С и ИТС. Коммерция"/>
    <d v="2026-09-18T00:00:00"/>
    <m/>
    <m/>
    <m/>
    <m/>
    <m/>
    <n v="0"/>
    <m/>
    <m/>
    <m/>
    <m/>
    <n v="11"/>
    <m/>
    <s v="ФРДТ-017276"/>
    <m/>
    <s v="ЦП. 1С. Коммерция"/>
    <m/>
    <m/>
    <m/>
    <m/>
    <d v="2026-08-03T00:00:00"/>
    <m/>
    <m/>
    <s v="[CO]ООО НПФ &quot;ФОРУС&quot; 3812023430#"/>
    <s v="Сервисы"/>
    <m/>
    <m/>
    <s v="Коммерческие"/>
    <m/>
    <m/>
    <s v="Обычный"/>
    <m/>
    <m/>
    <s v="#Загружено из Битрикс-Коробка#"/>
    <m/>
    <m/>
    <m/>
    <s v="1С-Отч Конечным пользователям"/>
    <m/>
    <m/>
    <m/>
    <m/>
    <m/>
    <m/>
    <s v="Не было отгрузок"/>
    <m/>
    <m/>
    <m/>
    <m/>
    <s v="Нет"/>
    <m/>
    <m/>
    <m/>
    <m/>
    <m/>
    <m/>
    <m/>
    <m/>
    <m/>
    <m/>
    <s v="УЦ"/>
    <m/>
    <m/>
    <s v="Не нужно"/>
    <m/>
    <m/>
    <s v="Другие сервисы"/>
    <s v="Контроль оплаты"/>
    <m/>
    <m/>
    <m/>
    <m/>
    <s v="1С-Отчётность"/>
    <m/>
    <s v="Отправить КП/cчё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9-01T16:53:04"/>
    <d v="2026-09-01T16:53: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7709"/>
    <m/>
    <s v="ООО &quot;МИКС&quot; 3808268075#"/>
    <s v="Клиент"/>
    <s v="менее 50"/>
    <s v="ROBOT"/>
    <m/>
    <s v="Информационные технологии"/>
    <s v="0.00"/>
    <s v="Российский рубль"/>
    <m/>
    <s v="Федорова Анастасия"/>
    <d v="2026-08-03T17:02:40"/>
    <s v="ROBOT_UT"/>
    <d v="2026-09-02T17:19:07"/>
    <m/>
    <m/>
    <n v="158977092874"/>
    <m/>
    <m/>
    <m/>
    <m/>
    <m/>
    <m/>
    <m/>
    <m/>
    <m/>
    <m/>
    <m/>
    <m/>
    <s v="mix.buh38@mail.ru"/>
    <m/>
    <m/>
    <m/>
    <m/>
    <m/>
    <m/>
    <m/>
    <m/>
    <m/>
    <m/>
    <m/>
    <m/>
    <m/>
    <m/>
    <m/>
    <m/>
    <n v="0"/>
    <m/>
    <d v="2019-03-18T00:00:00"/>
    <m/>
    <s v="71.12.2 Деятельность заказчика-застройщика, генерального подрядчика"/>
    <m/>
    <s v="Нет"/>
    <m/>
    <m/>
    <s v="МИКС ООО"/>
    <s v="ИРКУТСК"/>
    <n v="3808268075"/>
    <m/>
    <m/>
    <m/>
    <m/>
    <m/>
    <m/>
    <m/>
    <s v="Свой контакт (Менеджер)"/>
    <m/>
    <s v="Коммерческие"/>
    <s v="ООО"/>
    <n v="128401"/>
    <s v="Иркутская область 0 часов"/>
    <m/>
    <m/>
    <m/>
    <s v="Нет"/>
    <m/>
    <m/>
    <m/>
    <m/>
    <s v="Нет"/>
    <s v="Строительство"/>
    <m/>
    <m/>
    <m/>
    <s v="bc074088-e8ec-4c78-8d28-e9ab58fc7b97"/>
  </r>
  <r>
    <n v="315490"/>
    <s v="ЦП. 1С. Продажи"/>
    <s v="Y"/>
    <s v="N"/>
    <x v="8"/>
    <m/>
    <m/>
    <m/>
    <m/>
    <m/>
    <s v="Россинский Вадим"/>
    <m/>
    <s v="ООО &quot;ДОВОДЪ&quot; 3849089621#"/>
    <s v="Продажа"/>
    <s v="Звонок"/>
    <m/>
    <s v="0.00"/>
    <s v="Российский рубль"/>
    <s v="ООО &quot;ДОВОДЪ&quot; 3849089621#"/>
    <s v="Александр"/>
    <m/>
    <s v="нет"/>
    <d v="2026-08-03T14:43:43"/>
    <s v="Россинский Вадим"/>
    <d v="2026-08-24T16:41:34"/>
    <s v="Соломатова Милена"/>
    <d v="2026-08-03T00:00:00"/>
    <d v="2026-08-10T00:00:00"/>
    <m/>
    <m/>
    <m/>
    <m/>
    <m/>
    <m/>
    <m/>
    <m/>
    <n v="15488"/>
    <d v="2026-08-03T14:45:08"/>
    <m/>
    <m/>
    <m/>
    <m/>
    <m/>
    <m/>
    <m/>
    <s v="Нет"/>
    <n v="1"/>
    <m/>
    <m/>
    <s v="[CO]ООО &quot;НКЦ&quot;СИСТЕМА 3808068534#"/>
    <s v="г. Иркутск"/>
    <s v="ЦП. 1С и ИТС. Коммерция"/>
    <m/>
    <m/>
    <m/>
    <m/>
    <m/>
    <m/>
    <n v="0"/>
    <m/>
    <m/>
    <m/>
    <m/>
    <n v="5"/>
    <m/>
    <m/>
    <m/>
    <s v="ЦП. 1С. Коммерция"/>
    <m/>
    <m/>
    <m/>
    <m/>
    <m/>
    <m/>
    <m/>
    <m/>
    <m/>
    <m/>
    <m/>
    <s v="Коммерческие"/>
    <m/>
    <m/>
    <s v="Обычный"/>
    <m/>
    <m/>
    <m/>
    <m/>
    <m/>
    <m/>
    <m/>
    <m/>
    <m/>
    <m/>
    <m/>
    <m/>
    <m/>
    <s v="Не было отгрузок"/>
    <m/>
    <m/>
    <m/>
    <m/>
    <s v="Нет"/>
    <m/>
    <m/>
    <m/>
    <m/>
    <m/>
    <m/>
    <m/>
    <m/>
    <m/>
    <m/>
    <m/>
    <m/>
    <m/>
    <s v="Не нужно"/>
    <m/>
    <m/>
    <m/>
    <s v="Уточнить потребности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Нет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Уточнить потребности"/>
    <m/>
    <m/>
    <m/>
    <m/>
    <m/>
    <d v="2026-08-24T16:36:09"/>
    <d v="2026-08-24T17:08:25"/>
    <m/>
    <m/>
    <m/>
    <m/>
    <m/>
    <m/>
    <m/>
    <m/>
    <m/>
    <m/>
    <m/>
    <m/>
    <m/>
    <m/>
    <m/>
    <m/>
    <m/>
    <m/>
    <m/>
    <n v="397044"/>
    <m/>
    <m/>
    <s v="Александр"/>
    <m/>
    <m/>
    <m/>
    <m/>
    <s v="Клиенты"/>
    <s v="ROBOT"/>
    <m/>
    <s v="Свой контакт (Менеджер)"/>
    <m/>
    <s v="Да"/>
    <s v="Россинский Вадим"/>
    <d v="2026-08-03T14:41:06"/>
    <s v="ROBOT"/>
    <d v="2026-09-02T12:49:51"/>
    <m/>
    <m/>
    <n v="79248380388"/>
    <m/>
    <m/>
    <m/>
    <m/>
    <m/>
    <m/>
    <m/>
    <m/>
    <m/>
    <m/>
    <m/>
    <m/>
    <m/>
    <m/>
    <m/>
    <m/>
    <m/>
    <m/>
    <m/>
    <m/>
    <m/>
    <m/>
    <m/>
    <m/>
    <m/>
    <m/>
    <m/>
    <m/>
    <s v="Иркутск г"/>
    <d v="2026-08-03T00:00:00"/>
    <s v="Да"/>
    <m/>
    <s v="Иркутская область 0 часов"/>
    <m/>
    <m/>
    <s v="Нет"/>
    <s v="c9d40a69-3ccb-4787-82b5-9fdd7ecd3a37"/>
    <n v="200040"/>
    <m/>
    <s v="ООО &quot;ДОВОДЪ&quot; 3849089621#"/>
    <s v="Клиент. Группа компаний"/>
    <s v="менее 50"/>
    <s v="ROBOT"/>
    <m/>
    <s v="Информационные технологии"/>
    <m/>
    <s v="Российский рубль"/>
    <s v="."/>
    <s v="Шелемина Кристина"/>
    <d v="2022-07-12T12:49:12"/>
    <s v="ROBOT_M"/>
    <d v="2026-09-02T12:49:51"/>
    <m/>
    <n v="73952222888"/>
    <n v="79025106006"/>
    <m/>
    <m/>
    <m/>
    <m/>
    <m/>
    <m/>
    <m/>
    <m/>
    <m/>
    <m/>
    <m/>
    <m/>
    <s v="e.boshernican@irk-dovod.ru, 5002@irkgkh.ru"/>
    <m/>
    <s v="5002@irkgkh.ru, elena.bosh@bk.ru"/>
    <m/>
    <m/>
    <m/>
    <m/>
    <m/>
    <m/>
    <m/>
    <m/>
    <m/>
    <s v="imol|ank_chats_app24_whatsapp|32|79025106006|3749"/>
    <m/>
    <m/>
    <n v="3749"/>
    <m/>
    <n v="0"/>
    <s v="elena.bosh@bk.ru"/>
    <d v="2022-07-04T00:00:00"/>
    <m/>
    <s v="69.10 Деятельность в области права"/>
    <s v="[CO]ООО &quot;НКЦ&quot;СИСТЕМА 3808068534#"/>
    <s v="Нет"/>
    <d v="2022-10-07T00:00:00"/>
    <d v="2024-10-04T00:00:00"/>
    <s v="ДОВОДЪ ООО"/>
    <s v="г. Иркутск"/>
    <n v="3849089621"/>
    <m/>
    <m/>
    <m/>
    <m/>
    <s v="5002@irkgkh.ru"/>
    <m/>
    <m/>
    <s v="Свой контакт (Менеджер)"/>
    <m/>
    <s v="Коммерческие"/>
    <s v="ООО"/>
    <n v="93053"/>
    <s v="Иркутская область 0 часов"/>
    <m/>
    <m/>
    <m/>
    <s v="Да, компания работает"/>
    <s v="[C]Смирнов Николай Вячеславович"/>
    <m/>
    <m/>
    <m/>
    <s v="Нет"/>
    <s v="Услуги. Право (юридические услуги)"/>
    <m/>
    <m/>
    <m/>
    <s v="1d9c6a59-fa91-4343-ba63-e2f362c0b19c"/>
  </r>
  <r>
    <n v="315455"/>
    <s v="ЦП. 1С. Продажи"/>
    <s v="Y"/>
    <s v="N"/>
    <x v="3"/>
    <m/>
    <m/>
    <m/>
    <m/>
    <m/>
    <s v="Соболев Максим"/>
    <s v="ONE_C"/>
    <s v="ООО &quot;Мебель-Альянс&quot; 3811108018# - ФН"/>
    <s v="Продажа"/>
    <s v="Свой контакт (Менеджер)"/>
    <m/>
    <n v="39600"/>
    <s v="Российский рубль"/>
    <s v="ООО &quot;Мебель-Альянс&quot; 3811108018#"/>
    <s v="Панов Сергей Николаевич"/>
    <m/>
    <s v="нет"/>
    <d v="2026-08-03T11:49:15"/>
    <s v="Соболев Максим"/>
    <d v="2026-08-24T13:59:59"/>
    <s v="Соболев Максим"/>
    <d v="2026-08-03T00:00:00"/>
    <d v="2026-08-10T00:00:00"/>
    <s v="Шифровальное (криптографическое) средство защиты фискальных данных фискальный накопитель «ФН-1.2 36 мес 3»"/>
    <n v="19800"/>
    <n v="2"/>
    <m/>
    <m/>
    <m/>
    <m/>
    <m/>
    <n v="508"/>
    <d v="2026-08-03T15:48:22"/>
    <m/>
    <m/>
    <m/>
    <m/>
    <m/>
    <m/>
    <s v="Договор-оферта"/>
    <s v="Нет"/>
    <n v="1"/>
    <m/>
    <m/>
    <m/>
    <s v="Усолье-Сибирское г"/>
    <s v="ЦП. 1С и ИТС. Коммерция"/>
    <m/>
    <m/>
    <m/>
    <m/>
    <m/>
    <m/>
    <n v="0"/>
    <m/>
    <m/>
    <m/>
    <m/>
    <n v="3"/>
    <m/>
    <s v="ФРДТ-017249"/>
    <m/>
    <s v="ЦП. 1С. Коммерция"/>
    <m/>
    <m/>
    <m/>
    <m/>
    <d v="2026-08-03T00:00:00"/>
    <m/>
    <m/>
    <s v="[CO]ООО НПФ &quot;ФОРУС&quot; 3812023430#"/>
    <s v="Поставка товара"/>
    <m/>
    <m/>
    <s v="Коммерческие"/>
    <m/>
    <m/>
    <s v="Обычный"/>
    <m/>
    <m/>
    <s v="#Загружено из Битрикс-Коробка#"/>
    <m/>
    <m/>
    <m/>
    <s v="Торговое оборудование Комплектующие"/>
    <m/>
    <m/>
    <m/>
    <m/>
    <m/>
    <m/>
    <s v="Не было отгрузок"/>
    <m/>
    <m/>
    <m/>
    <m/>
    <s v="Нет"/>
    <m/>
    <m/>
    <m/>
    <m/>
    <m/>
    <m/>
    <m/>
    <m/>
    <m/>
    <m/>
    <s v="ЦТО"/>
    <m/>
    <m/>
    <s v="Не нужно"/>
    <m/>
    <m/>
    <m/>
    <s v="Контроль оплаты"/>
    <m/>
    <m/>
    <s v="ФН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s v="ООО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8-24T14:00:00"/>
    <d v="2026-08-17T12:40:57"/>
    <s v="Завершен"/>
    <m/>
    <m/>
    <m/>
    <m/>
    <m/>
    <m/>
    <m/>
    <m/>
    <m/>
    <m/>
    <m/>
    <m/>
    <m/>
    <m/>
    <m/>
    <m/>
    <m/>
    <m/>
    <n v="375095"/>
    <m/>
    <m/>
    <s v="Сергей"/>
    <s v="Панов"/>
    <s v="Николаевич"/>
    <m/>
    <m/>
    <s v="Клиенты"/>
    <s v="ROBOT"/>
    <m/>
    <s v="Свой контакт (Менеджер)"/>
    <m/>
    <s v="Да"/>
    <s v="Соболев Максим"/>
    <d v="2025-09-25T10:59:28"/>
    <s v="Дунаевская Светлана"/>
    <d v="2026-08-03T19:18:02"/>
    <m/>
    <m/>
    <n v="79500813610"/>
    <m/>
    <m/>
    <m/>
    <m/>
    <m/>
    <m/>
    <m/>
    <m/>
    <m/>
    <m/>
    <m/>
    <m/>
    <s v="mebel_alians@mail.ru"/>
    <m/>
    <m/>
    <m/>
    <m/>
    <m/>
    <m/>
    <m/>
    <m/>
    <m/>
    <m/>
    <m/>
    <m/>
    <m/>
    <m/>
    <m/>
    <s v="Усолье-Сибирское г"/>
    <d v="2025-09-25T00:00:00"/>
    <s v="Да"/>
    <m/>
    <s v="Иркутская область 0 часов"/>
    <m/>
    <m/>
    <s v="Нет"/>
    <s v="4e01767c-c7ff-469f-9b68-b100c71e728d"/>
    <n v="156619"/>
    <m/>
    <s v="ООО &quot;Мебель-Альянс&quot; 3811108018#"/>
    <s v="Клиент"/>
    <m/>
    <s v="ROBOT"/>
    <m/>
    <m/>
    <m/>
    <s v="Российский рубль"/>
    <m/>
    <s v="ROBOT_M"/>
    <d v="2021-08-02T21:30:21"/>
    <s v="Дунаевская Светлана"/>
    <d v="2026-08-14T11:18:53"/>
    <m/>
    <m/>
    <m/>
    <m/>
    <m/>
    <m/>
    <m/>
    <m/>
    <m/>
    <m/>
    <m/>
    <m/>
    <m/>
    <m/>
    <m/>
    <s v="mebel_alians@mail.ru"/>
    <m/>
    <m/>
    <m/>
    <m/>
    <m/>
    <m/>
    <m/>
    <m/>
    <m/>
    <m/>
    <m/>
    <m/>
    <m/>
    <m/>
    <m/>
    <m/>
    <n v="0"/>
    <s v="mebel_alians@mail.ru"/>
    <d v="2007-02-07T00:00:00"/>
    <m/>
    <s v="46.47 Торговля оптовая мебелью, коврами и осветительным оборудованием"/>
    <m/>
    <s v="Нет"/>
    <d v="2022-03-18T00:00:00"/>
    <d v="2024-04-24T00:00:00"/>
    <s v="Мебель-Альянс ООО"/>
    <s v="Усолье-Сибирское г"/>
    <n v="3811108018"/>
    <m/>
    <m/>
    <m/>
    <m/>
    <s v="mebel_alians@mail.ru"/>
    <m/>
    <m/>
    <m/>
    <m/>
    <s v="Коммерческие"/>
    <s v="ООО"/>
    <n v="91207"/>
    <s v="Иркутская область 0 часов"/>
    <m/>
    <m/>
    <m/>
    <m/>
    <m/>
    <m/>
    <m/>
    <m/>
    <s v="Нет"/>
    <s v="Торговля. Прочая"/>
    <m/>
    <m/>
    <m/>
    <s v="f4d83d75-0564-449d-9809-7b5b98f92d42"/>
  </r>
  <r>
    <n v="315445"/>
    <s v="ЦП. УЦ. Продажи"/>
    <s v="N"/>
    <s v="N"/>
    <x v="3"/>
    <m/>
    <s v="Шкуренко Дарья"/>
    <m/>
    <m/>
    <m/>
    <s v="Россинский Вадим"/>
    <s v="ONE_C"/>
    <s v="[Связь] - Звонок. 03.08.2026"/>
    <s v="Продажа"/>
    <s v="Звонок"/>
    <s v="Звонок поступил на номер: ЦП 78-00-00 (62)."/>
    <n v="2800"/>
    <s v="Российский рубль"/>
    <s v="ИП Подрезов Андрей Андреевич 381711038034#"/>
    <s v="Екатерина"/>
    <m/>
    <s v="нет"/>
    <d v="2026-08-03T10:55:28"/>
    <s v="Россинский Вадим"/>
    <d v="2026-09-02T12:40:51"/>
    <s v="ROBOT_M"/>
    <d v="2026-08-03T00:00:00"/>
    <d v="2026-08-10T00:00:00"/>
    <s v="ТП Основной для ИП ПО &quot;Астрал-Отчетность&quot; (сроком на 1 год) (&lt;&gt;)"/>
    <n v="2800"/>
    <n v="1"/>
    <s v="##Родительская сделка 315423 ##"/>
    <m/>
    <m/>
    <m/>
    <m/>
    <n v="15488"/>
    <d v="2026-08-05T14:26:29"/>
    <m/>
    <m/>
    <m/>
    <m/>
    <m/>
    <m/>
    <s v="Договор-оферта"/>
    <s v="Нет"/>
    <n v="2"/>
    <m/>
    <n v="79041151229"/>
    <m/>
    <m/>
    <s v="ЦП. 1С и ИТС. Коммерция"/>
    <d v="2026-09-14T00:00:00"/>
    <m/>
    <m/>
    <m/>
    <m/>
    <m/>
    <n v="0"/>
    <m/>
    <m/>
    <m/>
    <m/>
    <n v="0"/>
    <m/>
    <s v="ФРДТ-017218"/>
    <s v="[D]Звонок. 03.08.2026"/>
    <s v="ЦП. 1С. Коммерция"/>
    <m/>
    <m/>
    <m/>
    <m/>
    <d v="2026-08-03T00:00:00"/>
    <m/>
    <m/>
    <s v="[CO]ООО НПФ &quot;ФОРУС&quot; 3812023430#"/>
    <s v="Сервисы"/>
    <m/>
    <m/>
    <m/>
    <m/>
    <m/>
    <s v="Обычный"/>
    <m/>
    <m/>
    <s v="#Загружено из Битрикс-Коробка#"/>
    <m/>
    <m/>
    <m/>
    <s v="1С-Отч Конечным пользователям"/>
    <m/>
    <m/>
    <m/>
    <m/>
    <m/>
    <m/>
    <s v="Не было отгрузок"/>
    <m/>
    <m/>
    <m/>
    <m/>
    <s v="Нет"/>
    <m/>
    <m/>
    <m/>
    <m/>
    <m/>
    <m/>
    <m/>
    <m/>
    <m/>
    <m/>
    <s v="УЦ"/>
    <m/>
    <m/>
    <s v="Не нужно"/>
    <m/>
    <m/>
    <m/>
    <m/>
    <m/>
    <m/>
    <m/>
    <m/>
    <s v="1С-Отчётность"/>
    <s v="Не нужно УЛ"/>
    <s v="Контроль оплат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было опла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8-14T00:01:39"/>
    <m/>
    <m/>
    <m/>
    <m/>
    <m/>
    <m/>
    <m/>
    <m/>
    <m/>
    <m/>
    <m/>
    <m/>
    <m/>
    <m/>
    <m/>
    <m/>
    <m/>
    <m/>
    <m/>
    <m/>
    <n v="362977"/>
    <m/>
    <m/>
    <s v="Екатерина"/>
    <m/>
    <m/>
    <m/>
    <m/>
    <s v="Клиенты"/>
    <s v="ROBOT"/>
    <s v="CoPilot Клиентка выбрала облачное решение 1С Фреш с автоматическими обновлениями, двумя пользователями и 50 исходящими документами. Екатерина недовольна текущей системой СБИС из-за неудобного интерфейса и необходимости оплаты за каждый продукт. Екатерина запросила предварительный счет для ознакомления руководителя. Для подготовки счета предоставлен ИНН: 38 49 10 21 74. Екатерина согласилась с изменением интерфейса с упрощенного на общий."/>
    <s v="Звонок"/>
    <s v="Звонок поступил на номер: ЦП 78-00-00 (Общий) (62)."/>
    <s v="Да"/>
    <s v="Петров Андрей"/>
    <d v="2025-04-07T12:56:18"/>
    <s v="Россинский Вадим"/>
    <d v="2026-09-02T11:41:02"/>
    <m/>
    <m/>
    <n v="79041151229"/>
    <m/>
    <m/>
    <m/>
    <m/>
    <m/>
    <m/>
    <m/>
    <m/>
    <m/>
    <m/>
    <m/>
    <m/>
    <s v="kat-86@list.ru, ya@etaranenko.ru"/>
    <m/>
    <m/>
    <m/>
    <m/>
    <m/>
    <m/>
    <m/>
    <m/>
    <m/>
    <m/>
    <m/>
    <m/>
    <m/>
    <m/>
    <m/>
    <s v="Усть-Илимск г"/>
    <d v="2025-04-07T00:00:00"/>
    <s v="Да"/>
    <m/>
    <s v="Иркутская область 0 часов"/>
    <m/>
    <m/>
    <s v="Нет"/>
    <s v="102c6b39-9963-4fc4-a8de-3e03435140cc"/>
    <n v="257688"/>
    <m/>
    <s v="ИП Подрезов Андрей Андреевич 381711038034#"/>
    <s v="Клиент"/>
    <s v="менее 50"/>
    <s v="ROBOT"/>
    <m/>
    <s v="Информационные технологии"/>
    <s v="0.00"/>
    <s v="Российский рубль"/>
    <m/>
    <s v="Россинский Вадим"/>
    <d v="2026-08-03T10:02:13"/>
    <s v="ROBOT_UT"/>
    <d v="2026-09-02T12:40: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s v="81.29 Деятельность по чистке и уборке прочая"/>
    <m/>
    <s v="Нет"/>
    <m/>
    <m/>
    <s v="Подрезов Андрей Андреевич, Инн 381711038034"/>
    <s v="г Усть-Илимск"/>
    <n v="381711038034"/>
    <m/>
    <m/>
    <m/>
    <m/>
    <m/>
    <m/>
    <m/>
    <s v="Свой контакт (Менеджер)"/>
    <m/>
    <s v="Коммерческие"/>
    <s v="ИП"/>
    <n v="128389"/>
    <s v="Иркутская область 0 часов"/>
    <m/>
    <m/>
    <m/>
    <s v="Нет"/>
    <m/>
    <m/>
    <m/>
    <m/>
    <s v="Нет"/>
    <s v="Услуги. Прочие"/>
    <m/>
    <m/>
    <m/>
    <s v="e16e4d3d-2f8a-4387-afee-8c45f8db1aae"/>
  </r>
  <r>
    <n v="315423"/>
    <s v="ЦП. ФРЕШ. Продажи"/>
    <s v="N"/>
    <s v="Y"/>
    <x v="6"/>
    <m/>
    <m/>
    <m/>
    <m/>
    <m/>
    <s v="Россинский Вадим"/>
    <s v="ONE_C"/>
    <s v="Звонок. 03.08.2026"/>
    <s v="Продажа"/>
    <s v="Звонок"/>
    <s v="Звонок поступил на номер: ЦП 78-00-00 (62)."/>
    <n v="18100"/>
    <s v="Российский рубль"/>
    <s v="ИП Подрезов Андрей Андреевич 381711038034#"/>
    <s v="Екатерина"/>
    <m/>
    <s v="нет"/>
    <d v="2026-08-03T10:01:20"/>
    <s v="Россинский Вадим"/>
    <d v="2026-09-02T12:40:50"/>
    <s v="ROBOT"/>
    <d v="2026-08-03T00:00:00"/>
    <d v="2026-08-10T00:00:00"/>
    <s v="1С:Фреш - 1C:Предприятие 8 через Интернет. Базовый на 12 мес. (&lt;&gt;)"/>
    <n v="18100"/>
    <n v="1"/>
    <m/>
    <m/>
    <m/>
    <m/>
    <m/>
    <n v="5"/>
    <d v="2026-08-03T10:02:01"/>
    <m/>
    <m/>
    <m/>
    <m/>
    <m/>
    <m/>
    <s v="Договор-оферта"/>
    <s v="Нет"/>
    <n v="1"/>
    <m/>
    <n v="79041151229"/>
    <m/>
    <m/>
    <s v="ЦП. 1С и ИТС. Коммерция"/>
    <d v="2026-09-02T00:00:00"/>
    <m/>
    <m/>
    <m/>
    <m/>
    <m/>
    <n v="0"/>
    <m/>
    <m/>
    <m/>
    <m/>
    <n v="6"/>
    <m/>
    <s v="ФРДТ-017219"/>
    <s v="[D][Связь] - Звонок. 03.08.2026"/>
    <s v="ЦП. 1С. Коммерция"/>
    <m/>
    <m/>
    <m/>
    <m/>
    <d v="2026-08-03T00:00:00"/>
    <m/>
    <m/>
    <s v="[CO]ООО НПФ &quot;ФОРУС&quot; 3812023430#"/>
    <s v="Сервисы"/>
    <m/>
    <m/>
    <m/>
    <m/>
    <m/>
    <s v="Обычный"/>
    <m/>
    <m/>
    <s v="#Загружено из Битрикс-Коробка#"/>
    <m/>
    <m/>
    <n v="262850"/>
    <s v="Фреш Коммерс Базовый"/>
    <m/>
    <m/>
    <m/>
    <m/>
    <m/>
    <m/>
    <s v="Не было отгрузок"/>
    <m/>
    <m/>
    <m/>
    <m/>
    <s v="Нет"/>
    <m/>
    <m/>
    <m/>
    <m/>
    <m/>
    <m/>
    <m/>
    <m/>
    <m/>
    <s v="Уточнить потребности / Дать тест. доступ"/>
    <s v="ФРЕШ и ГРМ"/>
    <m/>
    <m/>
    <s v="Не нужно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s v="Нет"/>
    <m/>
    <m/>
    <m/>
    <m/>
    <s v="Нет"/>
    <m/>
    <m/>
    <m/>
    <m/>
    <s v="Недозвон"/>
    <m/>
    <m/>
    <m/>
    <m/>
    <m/>
    <s v="Да"/>
    <m/>
    <m/>
    <m/>
    <m/>
    <m/>
    <m/>
    <m/>
    <m/>
    <m/>
    <s v="Не выставлен счет"/>
    <m/>
    <m/>
    <s v="Да"/>
    <s v="Нет"/>
    <m/>
    <m/>
    <s v="Не было отгрузок"/>
    <m/>
    <s v="Не оформляется"/>
    <m/>
    <m/>
    <m/>
    <s v="Не запущен"/>
    <m/>
    <m/>
    <m/>
    <m/>
    <m/>
    <m/>
    <m/>
    <s v="Нет"/>
    <s v="БП не запускался. Нет сделки продлений"/>
    <m/>
    <m/>
    <m/>
    <m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m/>
    <m/>
    <m/>
    <m/>
    <m/>
    <m/>
    <d v="2026-09-02T11:40:59"/>
    <d v="2026-09-02T11:40:59"/>
    <m/>
    <s v="Завершен"/>
    <m/>
    <m/>
    <m/>
    <m/>
    <m/>
    <m/>
    <m/>
    <m/>
    <m/>
    <m/>
    <m/>
    <m/>
    <m/>
    <m/>
    <m/>
    <m/>
    <m/>
    <n v="362977"/>
    <m/>
    <m/>
    <s v="Екатерина"/>
    <m/>
    <m/>
    <m/>
    <m/>
    <s v="Клиенты"/>
    <s v="ROBOT"/>
    <s v="CoPilot Клиентка выбрала облачное решение 1С Фреш с автоматическими обновлениями, двумя пользователями и 50 исходящими документами. Екатерина недовольна текущей системой СБИС из-за неудобного интерфейса и необходимости оплаты за каждый продукт. Екатерина запросила предварительный счет для ознакомления руководителя. Для подготовки счета предоставлен ИНН: 38 49 10 21 74. Екатерина согласилась с изменением интерфейса с упрощенного на общий."/>
    <s v="Звонок"/>
    <s v="Звонок поступил на номер: ЦП 78-00-00 (Общий) (62)."/>
    <s v="Да"/>
    <s v="Петров Андрей"/>
    <d v="2025-04-07T12:56:18"/>
    <s v="Россинский Вадим"/>
    <d v="2026-09-02T11:41:02"/>
    <m/>
    <m/>
    <n v="79041151229"/>
    <m/>
    <m/>
    <m/>
    <m/>
    <m/>
    <m/>
    <m/>
    <m/>
    <m/>
    <m/>
    <m/>
    <m/>
    <s v="kat-86@list.ru, ya@etaranenko.ru"/>
    <m/>
    <m/>
    <m/>
    <m/>
    <m/>
    <m/>
    <m/>
    <m/>
    <m/>
    <m/>
    <m/>
    <m/>
    <m/>
    <m/>
    <m/>
    <s v="Усть-Илимск г"/>
    <d v="2025-04-07T00:00:00"/>
    <s v="Да"/>
    <m/>
    <s v="Иркутская область 0 часов"/>
    <m/>
    <m/>
    <s v="Нет"/>
    <s v="102c6b39-9963-4fc4-a8de-3e03435140cc"/>
    <n v="257688"/>
    <m/>
    <s v="ИП Подрезов Андрей Андреевич 381711038034#"/>
    <s v="Клиент"/>
    <s v="менее 50"/>
    <s v="ROBOT"/>
    <m/>
    <s v="Информационные технологии"/>
    <s v="0.00"/>
    <s v="Российский рубль"/>
    <m/>
    <s v="Россинский Вадим"/>
    <d v="2026-08-03T10:02:13"/>
    <s v="ROBOT_UT"/>
    <d v="2026-09-02T12:40: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s v="81.29 Деятельность по чистке и уборке прочая"/>
    <m/>
    <s v="Нет"/>
    <m/>
    <m/>
    <s v="Подрезов Андрей Андреевич, Инн 381711038034"/>
    <s v="г Усть-Илимск"/>
    <n v="381711038034"/>
    <m/>
    <m/>
    <m/>
    <m/>
    <m/>
    <m/>
    <m/>
    <s v="Свой контакт (Менеджер)"/>
    <m/>
    <s v="Коммерческие"/>
    <s v="ИП"/>
    <n v="128389"/>
    <s v="Иркутская область 0 часов"/>
    <m/>
    <m/>
    <m/>
    <s v="Нет"/>
    <m/>
    <m/>
    <m/>
    <m/>
    <s v="Нет"/>
    <s v="Услуги. Прочие"/>
    <m/>
    <m/>
    <m/>
    <s v="e16e4d3d-2f8a-4387-afee-8c45f8db1aae"/>
  </r>
  <r>
    <n v="315294"/>
    <s v="ЦП. ИБ"/>
    <s v="Y"/>
    <s v="N"/>
    <x v="3"/>
    <m/>
    <m/>
    <m/>
    <m/>
    <m/>
    <s v="Соболев Максим"/>
    <s v="ONE_C"/>
    <s v="ИП Гомзяков Сергей Леонидович 380500979087: КSOS 14 на 2 года"/>
    <s v="Регулярное продление"/>
    <s v="Регулярная сделка"/>
    <m/>
    <s v="18444.16"/>
    <s v="Российский рубль"/>
    <s v="ИП Гомзяков Сергей Леонидович 380500979087#"/>
    <s v="Турко Ольга Николаевна"/>
    <m/>
    <s v="нет"/>
    <d v="2026-08-01T00:01:30"/>
    <m/>
    <d v="2026-09-01T10:09:03"/>
    <s v="Смирнова София"/>
    <d v="2022-08-16T00:00:00"/>
    <d v="2022-08-25T00:00:00"/>
    <s v="Kaspersky Small Office Security (own VPN, fixed date) Russian Edition. 10-14 Mobile device; 10-14 Desktop; 1 - FileServer; 10-14 User 1 year Renewal License - Лицензия"/>
    <s v="1317.44"/>
    <n v="14"/>
    <m/>
    <m/>
    <m/>
    <m/>
    <m/>
    <n v="508"/>
    <d v="2026-08-14T10:38:57"/>
    <m/>
    <m/>
    <m/>
    <m/>
    <m/>
    <m/>
    <s v="Договор-оферта"/>
    <s v="Нет"/>
    <n v="0"/>
    <m/>
    <m/>
    <s v="[CO]ИП Анютин Сергей Витальевич 380503950209#"/>
    <s v="Братск"/>
    <s v="ЦП. 1С и ИТС. Коммерция"/>
    <m/>
    <m/>
    <m/>
    <m/>
    <m/>
    <m/>
    <n v="0"/>
    <m/>
    <m/>
    <m/>
    <m/>
    <n v="8"/>
    <m/>
    <s v="ФРДТ-017631"/>
    <m/>
    <s v="ЦП. 1С. Коммерция"/>
    <m/>
    <s v="Отсутствует, физлицо"/>
    <m/>
    <m/>
    <d v="2026-08-14T00:00:00"/>
    <s v="Не нужно"/>
    <m/>
    <s v="[CO]ООО НПФ &quot;ФОРУС&quot; 3812023430#"/>
    <s v="Сублицензионный"/>
    <m/>
    <m/>
    <s v="Коммерческие"/>
    <m/>
    <m/>
    <s v="Обычный"/>
    <m/>
    <m/>
    <s v="#Загружено из Битрикс-Коробка#"/>
    <d v="2024-08-29T00:00:00"/>
    <m/>
    <m/>
    <s v="Лицензии Open Space Security+SOHO ЛК"/>
    <m/>
    <m/>
    <m/>
    <m/>
    <m/>
    <m/>
    <m/>
    <m/>
    <m/>
    <m/>
    <m/>
    <s v="Нет"/>
    <m/>
    <m/>
    <m/>
    <m/>
    <m/>
    <m/>
    <m/>
    <m/>
    <m/>
    <m/>
    <m/>
    <m/>
    <m/>
    <s v="Не нужно"/>
    <m/>
    <m/>
    <m/>
    <m/>
    <m/>
    <m/>
    <m/>
    <m/>
    <m/>
    <m/>
    <m/>
    <m/>
    <m/>
    <m/>
    <m/>
    <m/>
    <m/>
    <m/>
    <m/>
    <m/>
    <m/>
    <m/>
    <m/>
    <n v="0"/>
    <m/>
    <m/>
    <s v="Антивирусы (эл.лицензии)"/>
    <s v="Контроль оплаты"/>
    <m/>
    <m/>
    <m/>
    <m/>
    <m/>
    <m/>
    <m/>
    <m/>
    <m/>
    <m/>
    <m/>
    <m/>
    <m/>
    <s v="Нет"/>
    <s v="Нет"/>
    <m/>
    <m/>
    <m/>
    <m/>
    <s v="Нет"/>
    <m/>
    <m/>
    <m/>
    <m/>
    <m/>
    <m/>
    <m/>
    <m/>
    <m/>
    <m/>
    <s v="Да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s v="ИП"/>
    <m/>
    <m/>
    <m/>
    <m/>
    <m/>
    <m/>
    <m/>
    <m/>
    <m/>
    <m/>
    <s v="Нет"/>
    <s v="Нет"/>
    <s v="Нет"/>
    <s v="Нет"/>
    <m/>
    <m/>
    <s v="Нет"/>
    <m/>
    <m/>
    <m/>
    <m/>
    <m/>
    <m/>
    <m/>
    <m/>
    <m/>
    <m/>
    <m/>
    <m/>
    <m/>
    <m/>
    <m/>
    <s v="Нет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Нет"/>
    <m/>
    <m/>
    <m/>
    <m/>
    <m/>
    <m/>
    <m/>
    <m/>
    <m/>
    <s v="Нет"/>
    <m/>
    <m/>
    <s v="Нет"/>
    <m/>
    <m/>
    <s v="Нет"/>
    <m/>
    <m/>
    <m/>
    <m/>
    <m/>
    <m/>
    <m/>
    <m/>
    <m/>
    <m/>
    <m/>
    <m/>
    <m/>
    <m/>
    <s v="Нет"/>
    <s v="Нет"/>
    <s v="Нет"/>
    <m/>
    <s v="Нет"/>
    <m/>
    <m/>
    <m/>
    <m/>
    <m/>
    <m/>
    <m/>
    <m/>
    <m/>
    <m/>
    <m/>
    <m/>
    <m/>
    <m/>
    <m/>
    <m/>
    <m/>
    <m/>
    <s v="Нет"/>
    <m/>
    <s v="Контроль оплаты"/>
    <m/>
    <m/>
    <m/>
    <m/>
    <m/>
    <d v="2026-09-01T10:05:11"/>
    <d v="2026-09-01T10:05:11"/>
    <s v="Завершен"/>
    <m/>
    <m/>
    <m/>
    <m/>
    <m/>
    <m/>
    <m/>
    <m/>
    <m/>
    <m/>
    <m/>
    <m/>
    <m/>
    <m/>
    <m/>
    <m/>
    <m/>
    <m/>
    <n v="292167"/>
    <m/>
    <m/>
    <s v="Ольга"/>
    <s v="Турко"/>
    <s v="Николаевна"/>
    <m/>
    <s v="Бухгалтер"/>
    <m/>
    <s v="ROBOT"/>
    <m/>
    <m/>
    <m/>
    <s v="Да"/>
    <s v="Павлова Ульяна"/>
    <d v="2022-08-25T12:39:45"/>
    <s v="Смирнова София"/>
    <d v="2026-09-01T10:09:03"/>
    <m/>
    <m/>
    <s v="+7 (950) 1484364"/>
    <m/>
    <m/>
    <m/>
    <m/>
    <m/>
    <m/>
    <m/>
    <m/>
    <m/>
    <m/>
    <m/>
    <m/>
    <s v="avto.spec.naz@mail.ru"/>
    <m/>
    <m/>
    <m/>
    <m/>
    <m/>
    <m/>
    <m/>
    <m/>
    <m/>
    <m/>
    <m/>
    <s v="imol|ank_chats_app24_whatsapp|32|79501484364|10018"/>
    <m/>
    <m/>
    <n v="10018"/>
    <s v="Братск г"/>
    <d v="2022-08-25T00:00:00"/>
    <s v="Да"/>
    <m/>
    <s v="Иркутская область 0 часов"/>
    <m/>
    <m/>
    <s v="Нет"/>
    <s v="b0abced1-fe63-4275-92e9-91001dd3c7bb"/>
    <n v="197323"/>
    <m/>
    <s v="ИП Гомзяков Сергей Леонидович 380500979087#"/>
    <s v="Клиент. Группа компаний"/>
    <m/>
    <s v="ROBOT"/>
    <m/>
    <m/>
    <m/>
    <s v="Российский рубль"/>
    <m/>
    <s v="ROBOT_M"/>
    <d v="2022-04-06T13:43:48"/>
    <s v="Дунаевская Светлана"/>
    <d v="2026-08-14T13:44:37"/>
    <m/>
    <m/>
    <n v="158547912646"/>
    <m/>
    <m/>
    <m/>
    <m/>
    <m/>
    <m/>
    <m/>
    <m/>
    <m/>
    <m/>
    <m/>
    <m/>
    <s v="avto.spec.naz@mail.ru"/>
    <m/>
    <m/>
    <m/>
    <m/>
    <m/>
    <m/>
    <m/>
    <m/>
    <m/>
    <m/>
    <m/>
    <m/>
    <m/>
    <m/>
    <m/>
    <m/>
    <n v="1"/>
    <s v="avto.spec.naz@mail.ru"/>
    <m/>
    <m/>
    <s v="45.32 Торговля розничная автомобильными деталями, узлами и принадлежностями"/>
    <s v="[CO]ИП Анютин Сергей Витальевич 380503950209#"/>
    <s v="Нет"/>
    <d v="2022-08-25T00:00:00"/>
    <d v="2024-09-06T00:00:00"/>
    <s v="ИП Гомзяков Сергей Леонидович (Братск)"/>
    <s v="Братск"/>
    <n v="380500979087"/>
    <m/>
    <m/>
    <m/>
    <m/>
    <s v="avto.spec.naz@mail.ru"/>
    <m/>
    <s v="Отсутствует, физлицо"/>
    <s v="Свой контакт (Менеджер)"/>
    <m/>
    <s v="Коммерческие"/>
    <s v="ИП"/>
    <n v="91594"/>
    <s v="Иркутская область 0 часов"/>
    <m/>
    <m/>
    <m/>
    <m/>
    <m/>
    <m/>
    <m/>
    <m/>
    <s v="Нет"/>
    <s v="Торговля. Автотранспорт и ГСМ"/>
    <m/>
    <m/>
    <m/>
    <s v="c129e61c-cad1-49f0-aa29-0db48162eb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8622E6-8F3E-4FDB-9401-C601F265D8C6}" name="Сводная таблица7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I68:J86" firstHeaderRow="1" firstDataRow="1" firstDataCol="1"/>
  <pivotFields count="511">
    <pivotField showAll="0"/>
    <pivotField showAll="0"/>
    <pivotField showAll="0"/>
    <pivotField showAll="0"/>
    <pivotField axis="axisRow" showAll="0">
      <items count="18">
        <item x="15"/>
        <item x="11"/>
        <item x="5"/>
        <item x="3"/>
        <item x="0"/>
        <item x="4"/>
        <item x="12"/>
        <item x="7"/>
        <item x="13"/>
        <item x="10"/>
        <item x="9"/>
        <item x="1"/>
        <item x="2"/>
        <item x="14"/>
        <item x="16"/>
        <item x="8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numFmtId="22" showAll="0"/>
    <pivotField showAll="0"/>
    <pivotField numFmtId="14"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Сумма по полю Количество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BAAB96-8097-4783-AB07-EA2FF2261FCE}" name="Таблица1" displayName="Таблица1" ref="A15:J21" totalsRowShown="0" headerRowDxfId="14" dataDxfId="12" headerRowBorderDxfId="13" tableBorderDxfId="11" totalsRowBorderDxfId="10">
  <autoFilter ref="A15:J21" xr:uid="{87BAAB96-8097-4783-AB07-EA2FF2261FCE}"/>
  <tableColumns count="10">
    <tableColumn id="1" xr3:uid="{594C0853-677D-4AB2-B54A-EBC80D3EC4F4}" name="ID" dataDxfId="9"/>
    <tableColumn id="2" xr3:uid="{B891AF2A-A0A0-4871-942A-23DAFC8E6F91}" name="ФИО" dataDxfId="8"/>
    <tableColumn id="3" xr3:uid="{1301FFAE-02E7-4D8A-8AE5-38D7F0BB8A01}" name="План МД" dataDxfId="7"/>
    <tableColumn id="4" xr3:uid="{32172EFE-BA9C-4E9A-A74A-ADE52303DBF7}" name="Выполнение плана ср МД" dataDxfId="6">
      <calculatedColumnFormula>AVERAGE('МД и эффективность 2026'!C6,'МД и эффективность 2026'!F6,'МД и эффективность 2026'!J6,'МД и эффективность 2026'!M6,'МД и эффективность 2026'!P6,'МД и эффективность 2026'!S6,'МД и эффективность 2026'!C13)</calculatedColumnFormula>
    </tableColumn>
    <tableColumn id="5" xr3:uid="{0485A041-1D70-43A6-ACE4-428BBD8810C0}" name="% выполнения плана МД" dataDxfId="5"/>
    <tableColumn id="7" xr3:uid="{88E232F5-A1C0-4E51-8F54-D65CBDE42242}" name="Средний чек (руб)" dataDxfId="4"/>
    <tableColumn id="9" xr3:uid="{87CDF430-EE70-47B2-9686-87666973EA00}" name="Звонки (в день)" dataDxfId="3"/>
    <tableColumn id="10" xr3:uid="{3D488088-1CA4-4DF1-8243-3DDB3DD95304}" name="Встречи (в неделю)" dataDxfId="2"/>
    <tableColumn id="11" xr3:uid="{C0892BF8-B1BB-480B-81E1-C4CE1EAB5CB2}" name="Оценка качества звонков" dataDxfId="1"/>
    <tableColumn id="12" xr3:uid="{2E330CD3-96E8-4D70-997B-48D02D143768}" name="Рейтинг в команде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workbookViewId="0">
      <selection activeCell="C18" sqref="C18"/>
    </sheetView>
  </sheetViews>
  <sheetFormatPr defaultRowHeight="15" x14ac:dyDescent="0.25"/>
  <cols>
    <col min="1" max="1" width="5.140625" customWidth="1"/>
    <col min="2" max="2" width="35.28515625" customWidth="1"/>
    <col min="3" max="3" width="25" customWidth="1"/>
    <col min="4" max="5" width="20.42578125" customWidth="1"/>
    <col min="6" max="6" width="25.42578125" customWidth="1"/>
    <col min="7" max="7" width="24.28515625" hidden="1" customWidth="1"/>
    <col min="8" max="8" width="17.140625" customWidth="1"/>
    <col min="9" max="9" width="27.7109375" customWidth="1"/>
  </cols>
  <sheetData>
    <row r="1" spans="1:9" x14ac:dyDescent="0.25">
      <c r="A1" s="1" t="s">
        <v>0</v>
      </c>
      <c r="B1" s="1" t="s">
        <v>1</v>
      </c>
      <c r="C1" s="1" t="s">
        <v>35</v>
      </c>
      <c r="D1" s="1" t="s">
        <v>2</v>
      </c>
      <c r="E1" s="22" t="s">
        <v>58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 s="2">
        <v>1</v>
      </c>
      <c r="B2" s="2" t="s">
        <v>30</v>
      </c>
      <c r="C2" s="2" t="s">
        <v>7</v>
      </c>
      <c r="D2" s="3">
        <v>35142</v>
      </c>
      <c r="E2" s="3" t="s">
        <v>59</v>
      </c>
      <c r="F2" s="2">
        <v>79641114795</v>
      </c>
      <c r="G2" s="2" t="s">
        <v>8</v>
      </c>
      <c r="H2" s="3">
        <v>45743</v>
      </c>
      <c r="I2" s="2" t="s">
        <v>9</v>
      </c>
    </row>
    <row r="3" spans="1:9" x14ac:dyDescent="0.25">
      <c r="A3" s="2">
        <v>2</v>
      </c>
      <c r="B3" s="2" t="s">
        <v>31</v>
      </c>
      <c r="C3" s="2" t="s">
        <v>7</v>
      </c>
      <c r="D3" s="3">
        <v>36077</v>
      </c>
      <c r="E3" s="3" t="s">
        <v>60</v>
      </c>
      <c r="F3" s="2">
        <v>79642252741</v>
      </c>
      <c r="G3" s="2" t="s">
        <v>10</v>
      </c>
      <c r="H3" s="3">
        <v>45818</v>
      </c>
      <c r="I3" s="2" t="s">
        <v>9</v>
      </c>
    </row>
    <row r="4" spans="1:9" x14ac:dyDescent="0.25">
      <c r="A4" s="2">
        <v>3</v>
      </c>
      <c r="B4" s="2" t="s">
        <v>32</v>
      </c>
      <c r="C4" s="2" t="s">
        <v>36</v>
      </c>
      <c r="D4" s="3">
        <v>34442</v>
      </c>
      <c r="E4" s="3" t="s">
        <v>61</v>
      </c>
      <c r="F4" s="2">
        <v>79041461842</v>
      </c>
      <c r="G4" s="2" t="s">
        <v>11</v>
      </c>
      <c r="H4" s="3">
        <v>46136</v>
      </c>
      <c r="I4" s="2" t="s">
        <v>9</v>
      </c>
    </row>
    <row r="5" spans="1:9" ht="30" x14ac:dyDescent="0.25">
      <c r="A5" s="2">
        <v>4</v>
      </c>
      <c r="B5" s="2" t="s">
        <v>33</v>
      </c>
      <c r="C5" s="4" t="s">
        <v>37</v>
      </c>
      <c r="D5" s="3">
        <v>33255</v>
      </c>
      <c r="E5" s="3" t="s">
        <v>62</v>
      </c>
      <c r="F5" s="2">
        <v>79501122687</v>
      </c>
      <c r="G5" s="2" t="s">
        <v>12</v>
      </c>
      <c r="H5" s="3">
        <v>45894</v>
      </c>
      <c r="I5" s="2" t="s">
        <v>9</v>
      </c>
    </row>
    <row r="6" spans="1:9" ht="30" x14ac:dyDescent="0.25">
      <c r="A6" s="2">
        <v>5</v>
      </c>
      <c r="B6" s="2" t="s">
        <v>34</v>
      </c>
      <c r="C6" s="4" t="s">
        <v>38</v>
      </c>
      <c r="D6" s="3">
        <v>36273</v>
      </c>
      <c r="E6" s="3" t="s">
        <v>61</v>
      </c>
      <c r="F6" s="2">
        <v>79149309554</v>
      </c>
      <c r="G6" s="2" t="s">
        <v>13</v>
      </c>
      <c r="H6" s="2">
        <v>2023</v>
      </c>
      <c r="I6" s="2" t="s">
        <v>9</v>
      </c>
    </row>
    <row r="7" spans="1:9" x14ac:dyDescent="0.25">
      <c r="A7" s="5">
        <v>6</v>
      </c>
      <c r="B7" s="5" t="s">
        <v>39</v>
      </c>
      <c r="C7" s="5" t="s">
        <v>40</v>
      </c>
      <c r="D7" s="3">
        <v>34212</v>
      </c>
      <c r="E7" s="3" t="s">
        <v>63</v>
      </c>
      <c r="F7" s="2">
        <v>79246349906</v>
      </c>
      <c r="G7" s="2"/>
      <c r="H7" s="3">
        <v>43556</v>
      </c>
      <c r="I7" s="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workbookViewId="0">
      <selection activeCell="D21" sqref="D21"/>
    </sheetView>
  </sheetViews>
  <sheetFormatPr defaultRowHeight="15" x14ac:dyDescent="0.25"/>
  <cols>
    <col min="2" max="2" width="34.140625" customWidth="1"/>
    <col min="3" max="3" width="20.7109375" customWidth="1"/>
    <col min="4" max="4" width="27.42578125" customWidth="1"/>
    <col min="5" max="5" width="25.140625" customWidth="1"/>
    <col min="6" max="6" width="25.5703125" customWidth="1"/>
    <col min="7" max="7" width="21.85546875" customWidth="1"/>
    <col min="8" max="8" width="27.140625" customWidth="1"/>
  </cols>
  <sheetData>
    <row r="1" spans="1:10" ht="30" x14ac:dyDescent="0.25">
      <c r="A1" s="1" t="s">
        <v>0</v>
      </c>
      <c r="B1" s="1" t="s">
        <v>1</v>
      </c>
      <c r="C1" s="1" t="s">
        <v>14</v>
      </c>
      <c r="D1" s="6" t="s">
        <v>41</v>
      </c>
      <c r="E1" s="1" t="s">
        <v>15</v>
      </c>
      <c r="F1" s="6" t="s">
        <v>76</v>
      </c>
      <c r="G1" s="1" t="s">
        <v>16</v>
      </c>
      <c r="H1" s="1" t="s">
        <v>17</v>
      </c>
    </row>
    <row r="2" spans="1:10" x14ac:dyDescent="0.25">
      <c r="A2" s="2">
        <v>1</v>
      </c>
      <c r="B2" s="2" t="s">
        <v>30</v>
      </c>
      <c r="C2" s="2"/>
      <c r="D2" s="2"/>
      <c r="E2" s="2">
        <v>350000</v>
      </c>
      <c r="F2" s="2"/>
      <c r="G2" s="2"/>
      <c r="H2" s="2"/>
    </row>
    <row r="3" spans="1:10" x14ac:dyDescent="0.25">
      <c r="A3" s="2">
        <v>2</v>
      </c>
      <c r="B3" s="2" t="s">
        <v>31</v>
      </c>
      <c r="C3" s="2"/>
      <c r="D3" s="2"/>
      <c r="E3" s="2">
        <v>350000</v>
      </c>
      <c r="F3" s="2"/>
      <c r="G3" s="2"/>
      <c r="H3" s="2"/>
    </row>
    <row r="4" spans="1:10" x14ac:dyDescent="0.25">
      <c r="A4" s="2">
        <v>3</v>
      </c>
      <c r="B4" s="2" t="s">
        <v>32</v>
      </c>
      <c r="C4" s="2"/>
      <c r="D4" s="2"/>
      <c r="E4" s="2">
        <v>150000</v>
      </c>
      <c r="F4" s="2"/>
      <c r="G4" s="2"/>
      <c r="H4" s="2"/>
    </row>
    <row r="5" spans="1:10" x14ac:dyDescent="0.25">
      <c r="A5" s="2">
        <v>4</v>
      </c>
      <c r="B5" s="2" t="s">
        <v>33</v>
      </c>
      <c r="C5" s="2"/>
      <c r="D5" s="2"/>
      <c r="E5" s="2">
        <v>350000</v>
      </c>
      <c r="F5" s="2"/>
      <c r="G5" s="2"/>
      <c r="H5" s="2"/>
    </row>
    <row r="6" spans="1:10" x14ac:dyDescent="0.25">
      <c r="A6" s="2">
        <v>5</v>
      </c>
      <c r="B6" s="2" t="s">
        <v>34</v>
      </c>
      <c r="C6" s="2"/>
      <c r="D6" s="2"/>
      <c r="E6" s="2">
        <v>350000</v>
      </c>
      <c r="F6" s="2"/>
      <c r="G6" s="2"/>
      <c r="H6" s="2"/>
    </row>
    <row r="7" spans="1:10" x14ac:dyDescent="0.25">
      <c r="A7" s="5">
        <v>6</v>
      </c>
      <c r="B7" s="5" t="s">
        <v>39</v>
      </c>
      <c r="C7" s="2">
        <v>72000</v>
      </c>
      <c r="D7" s="2">
        <v>1</v>
      </c>
      <c r="E7" s="2">
        <f>SUM(E2:E6)</f>
        <v>1550000</v>
      </c>
      <c r="F7" s="2"/>
      <c r="G7" s="2"/>
      <c r="H7" s="2"/>
    </row>
    <row r="15" spans="1:10" ht="60" x14ac:dyDescent="0.25">
      <c r="A15" s="36" t="s">
        <v>0</v>
      </c>
      <c r="B15" s="37" t="s">
        <v>1</v>
      </c>
      <c r="C15" s="38" t="s">
        <v>66</v>
      </c>
      <c r="D15" s="39" t="s">
        <v>64</v>
      </c>
      <c r="E15" s="39" t="s">
        <v>65</v>
      </c>
      <c r="F15" s="40" t="s">
        <v>18</v>
      </c>
      <c r="G15" s="40" t="s">
        <v>19</v>
      </c>
      <c r="H15" s="40" t="s">
        <v>20</v>
      </c>
      <c r="I15" s="40" t="s">
        <v>21</v>
      </c>
      <c r="J15" s="41" t="s">
        <v>22</v>
      </c>
    </row>
    <row r="16" spans="1:10" x14ac:dyDescent="0.25">
      <c r="A16" s="42">
        <v>1</v>
      </c>
      <c r="B16" s="43" t="s">
        <v>30</v>
      </c>
      <c r="C16" s="44">
        <v>320000</v>
      </c>
      <c r="D16" s="45">
        <f>AVERAGE('МД и эффективность 2026'!C6,'МД и эффективность 2026'!F6,'МД и эффективность 2026'!J6,'МД и эффективность 2026'!M6,'МД и эффективность 2026'!P6,'МД и эффективность 2026'!S6,'МД и эффективность 2026'!C13)</f>
        <v>295486.42857142858</v>
      </c>
      <c r="E16" s="57"/>
      <c r="F16" s="35"/>
      <c r="G16" s="35"/>
      <c r="H16" s="35"/>
      <c r="I16" s="35"/>
      <c r="J16" s="46"/>
    </row>
    <row r="17" spans="1:10" x14ac:dyDescent="0.25">
      <c r="A17" s="42">
        <v>2</v>
      </c>
      <c r="B17" s="43" t="s">
        <v>31</v>
      </c>
      <c r="C17" s="44">
        <v>320000</v>
      </c>
      <c r="D17" s="45">
        <f>AVERAGE('МД и эффективность 2026'!C7,'МД и эффективность 2026'!F7,'МД и эффективность 2026'!J7,'МД и эффективность 2026'!M7,'МД и эффективность 2026'!P7,'МД и эффективность 2026'!S7,'МД и эффективность 2026'!C14)</f>
        <v>244627.42857142858</v>
      </c>
      <c r="E17" s="60"/>
      <c r="F17" s="35"/>
      <c r="G17" s="35"/>
      <c r="H17" s="35"/>
      <c r="I17" s="35"/>
      <c r="J17" s="46"/>
    </row>
    <row r="18" spans="1:10" x14ac:dyDescent="0.25">
      <c r="A18" s="42">
        <v>3</v>
      </c>
      <c r="B18" s="51" t="s">
        <v>32</v>
      </c>
      <c r="C18" s="52">
        <v>50000</v>
      </c>
      <c r="D18" s="53">
        <f>AVERAGE('МД и эффективность 2026'!C8,'МД и эффективность 2026'!F8,'МД и эффективность 2026'!J8,'МД и эффективность 2026'!M8,'МД и эффективность 2026'!P8,'МД и эффективность 2026'!S8,'МД и эффективность 2026'!C15)</f>
        <v>100565</v>
      </c>
      <c r="E18" s="58"/>
      <c r="F18" s="54"/>
      <c r="G18" s="54"/>
      <c r="H18" s="54"/>
      <c r="I18" s="54"/>
      <c r="J18" s="55"/>
    </row>
    <row r="19" spans="1:10" x14ac:dyDescent="0.25">
      <c r="A19" s="42">
        <v>4</v>
      </c>
      <c r="B19" s="43" t="s">
        <v>33</v>
      </c>
      <c r="C19" s="44">
        <v>350000</v>
      </c>
      <c r="D19" s="45">
        <f>AVERAGE('МД и эффективность 2026'!C4,'МД и эффективность 2026'!F4,'МД и эффективность 2026'!J4,'МД и эффективность 2026'!M4,'МД и эффективность 2026'!P4,'МД и эффективность 2026'!S4,'МД и эффективность 2026'!C11,'МД и эффективность 2026'!F11,'МД и эффективность 2026'!J11,'МД и эффективность 2026'!M11,'МД и эффективность 2026'!P11,'МД и эффективность 2026'!S11)</f>
        <v>124619</v>
      </c>
      <c r="E19" s="57"/>
      <c r="F19" s="35"/>
      <c r="G19" s="35"/>
      <c r="H19" s="35"/>
      <c r="I19" s="35"/>
      <c r="J19" s="46"/>
    </row>
    <row r="20" spans="1:10" x14ac:dyDescent="0.25">
      <c r="A20" s="42">
        <v>5</v>
      </c>
      <c r="B20" s="43" t="s">
        <v>34</v>
      </c>
      <c r="C20" s="44">
        <v>350000</v>
      </c>
      <c r="D20" s="45">
        <f>AVERAGE('МД и эффективность 2026'!C5,'МД и эффективность 2026'!F5,'МД и эффективность 2026'!J5,'МД и эффективность 2026'!M5,'МД и эффективность 2026'!P5,'МД и эффективность 2026'!S5,'МД и эффективность 2026'!C12)</f>
        <v>353814</v>
      </c>
      <c r="E20" s="57"/>
      <c r="F20" s="35"/>
      <c r="G20" s="35"/>
      <c r="H20" s="35"/>
      <c r="I20" s="35"/>
      <c r="J20" s="46"/>
    </row>
    <row r="21" spans="1:10" x14ac:dyDescent="0.25">
      <c r="A21" s="47">
        <v>6</v>
      </c>
      <c r="B21" s="48" t="s">
        <v>39</v>
      </c>
      <c r="C21" s="48"/>
      <c r="D21" s="56"/>
      <c r="E21" s="59"/>
      <c r="F21" s="49"/>
      <c r="G21" s="49"/>
      <c r="H21" s="49"/>
      <c r="I21" s="49"/>
      <c r="J21" s="50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568C5-518F-4562-A745-4ED357F93931}">
  <dimension ref="A2:T74"/>
  <sheetViews>
    <sheetView workbookViewId="0">
      <pane ySplit="1" topLeftCell="A22" activePane="bottomLeft" state="frozen"/>
      <selection pane="bottomLeft" activeCell="I22" sqref="I22"/>
    </sheetView>
  </sheetViews>
  <sheetFormatPr defaultRowHeight="15" x14ac:dyDescent="0.25"/>
  <cols>
    <col min="1" max="1" width="13" customWidth="1"/>
    <col min="2" max="3" width="16" customWidth="1"/>
    <col min="4" max="4" width="7.28515625" customWidth="1"/>
    <col min="5" max="5" width="7.85546875" customWidth="1"/>
    <col min="6" max="6" width="15.85546875" customWidth="1"/>
    <col min="7" max="7" width="7.140625" customWidth="1"/>
    <col min="8" max="8" width="5.7109375" customWidth="1"/>
    <col min="9" max="9" width="14.7109375" customWidth="1"/>
    <col min="10" max="10" width="5.85546875" customWidth="1"/>
    <col min="11" max="11" width="4.85546875" customWidth="1"/>
    <col min="12" max="12" width="20.5703125" customWidth="1"/>
    <col min="13" max="13" width="12.5703125" customWidth="1"/>
    <col min="14" max="14" width="11.7109375" customWidth="1"/>
    <col min="15" max="15" width="14.7109375" customWidth="1"/>
    <col min="16" max="16" width="13.42578125" customWidth="1"/>
    <col min="18" max="18" width="12.85546875" customWidth="1"/>
    <col min="19" max="19" width="6.5703125" customWidth="1"/>
  </cols>
  <sheetData>
    <row r="2" spans="1:20" x14ac:dyDescent="0.25">
      <c r="A2" s="7" t="s">
        <v>57</v>
      </c>
      <c r="B2" s="13"/>
      <c r="C2" s="13"/>
      <c r="D2" s="13"/>
      <c r="E2" s="13"/>
      <c r="F2" s="8"/>
      <c r="G2" s="8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 x14ac:dyDescent="0.25">
      <c r="A3" s="14"/>
      <c r="B3" s="15" t="s">
        <v>53</v>
      </c>
      <c r="C3" s="15" t="s">
        <v>42</v>
      </c>
      <c r="D3" s="15" t="s">
        <v>67</v>
      </c>
      <c r="E3" s="15" t="s">
        <v>43</v>
      </c>
      <c r="F3" s="15" t="s">
        <v>44</v>
      </c>
      <c r="G3" s="15" t="s">
        <v>67</v>
      </c>
      <c r="H3" s="15" t="s">
        <v>45</v>
      </c>
      <c r="I3" s="15" t="s">
        <v>46</v>
      </c>
      <c r="J3" s="15" t="s">
        <v>67</v>
      </c>
      <c r="K3" s="15" t="s">
        <v>45</v>
      </c>
      <c r="L3" s="15" t="s">
        <v>47</v>
      </c>
      <c r="M3" s="15" t="s">
        <v>67</v>
      </c>
      <c r="N3" s="15" t="s">
        <v>43</v>
      </c>
      <c r="O3" s="15" t="s">
        <v>48</v>
      </c>
      <c r="P3" s="15" t="s">
        <v>67</v>
      </c>
      <c r="Q3" s="15" t="s">
        <v>43</v>
      </c>
      <c r="R3" s="18" t="s">
        <v>49</v>
      </c>
      <c r="S3" s="18" t="s">
        <v>67</v>
      </c>
      <c r="T3" s="15" t="s">
        <v>43</v>
      </c>
    </row>
    <row r="4" spans="1:20" x14ac:dyDescent="0.25">
      <c r="A4" s="28">
        <v>350000</v>
      </c>
      <c r="B4" s="12" t="s">
        <v>50</v>
      </c>
      <c r="C4" s="16">
        <v>156374</v>
      </c>
      <c r="D4" s="24">
        <f>C4/350000*100%</f>
        <v>0.44678285714285715</v>
      </c>
      <c r="E4" s="12">
        <v>7</v>
      </c>
      <c r="F4" s="16">
        <v>129868</v>
      </c>
      <c r="G4" s="25">
        <f>F4/350000*100%</f>
        <v>0.37105142857142859</v>
      </c>
      <c r="H4" s="12">
        <v>2</v>
      </c>
      <c r="I4" s="16">
        <v>88587</v>
      </c>
      <c r="J4" s="27">
        <f>I4/350000*100%</f>
        <v>0.25310571428571427</v>
      </c>
      <c r="K4" s="17">
        <v>4</v>
      </c>
      <c r="L4" s="16">
        <v>89000</v>
      </c>
      <c r="M4" s="24">
        <f>L4/A4*100%</f>
        <v>0.25428571428571428</v>
      </c>
      <c r="N4" s="12">
        <v>7</v>
      </c>
      <c r="O4" s="16">
        <v>127625</v>
      </c>
      <c r="P4" s="30">
        <f>O4/A4*100%</f>
        <v>0.36464285714285716</v>
      </c>
      <c r="Q4" s="20">
        <v>4</v>
      </c>
      <c r="R4" s="19">
        <v>147020</v>
      </c>
      <c r="S4" s="30">
        <f>R4/A4*100%</f>
        <v>0.42005714285714285</v>
      </c>
      <c r="T4" s="12">
        <v>4</v>
      </c>
    </row>
    <row r="5" spans="1:20" x14ac:dyDescent="0.25">
      <c r="A5" s="29">
        <v>350000</v>
      </c>
      <c r="B5" s="12" t="s">
        <v>51</v>
      </c>
      <c r="C5" s="16">
        <v>437270</v>
      </c>
      <c r="D5" s="24">
        <f>C5/350000*100%</f>
        <v>1.2493428571428571</v>
      </c>
      <c r="E5" s="12">
        <v>19</v>
      </c>
      <c r="F5" s="16">
        <v>336283</v>
      </c>
      <c r="G5" s="25">
        <f>F5/350000*100%</f>
        <v>0.96080857142857146</v>
      </c>
      <c r="H5" s="12">
        <v>12</v>
      </c>
      <c r="I5" s="16">
        <v>438973</v>
      </c>
      <c r="J5" s="24">
        <f>I5/350000*100%</f>
        <v>1.2542085714285713</v>
      </c>
      <c r="K5" s="12">
        <v>14</v>
      </c>
      <c r="L5" s="16">
        <v>160000</v>
      </c>
      <c r="M5" s="24">
        <f>L5/A5*100%</f>
        <v>0.45714285714285713</v>
      </c>
      <c r="N5" s="12">
        <v>3</v>
      </c>
      <c r="O5" s="16">
        <v>262000</v>
      </c>
      <c r="P5" s="30">
        <f>O5/A5*100%</f>
        <v>0.74857142857142855</v>
      </c>
      <c r="Q5" s="20">
        <v>4</v>
      </c>
      <c r="R5" s="19">
        <v>466583</v>
      </c>
      <c r="S5" s="30">
        <f>R5/A5*100%</f>
        <v>1.3330942857142858</v>
      </c>
      <c r="T5" s="12">
        <v>10</v>
      </c>
    </row>
    <row r="6" spans="1:20" x14ac:dyDescent="0.25">
      <c r="A6" s="29">
        <v>320000</v>
      </c>
      <c r="B6" s="11" t="s">
        <v>52</v>
      </c>
      <c r="C6" s="16">
        <v>245527</v>
      </c>
      <c r="D6" s="24">
        <f>C6/320000*100%</f>
        <v>0.76727187500000005</v>
      </c>
      <c r="E6" s="12">
        <v>13</v>
      </c>
      <c r="F6" s="16">
        <v>343570</v>
      </c>
      <c r="G6" s="25">
        <f>F6/320000*100%</f>
        <v>1.07365625</v>
      </c>
      <c r="H6" s="12">
        <v>12</v>
      </c>
      <c r="I6" s="16">
        <v>176445</v>
      </c>
      <c r="J6" s="24">
        <f>I6/320000*100%</f>
        <v>0.55139062500000002</v>
      </c>
      <c r="K6" s="12">
        <v>8</v>
      </c>
      <c r="L6" s="16">
        <v>202082</v>
      </c>
      <c r="M6" s="24">
        <f>L6/A6*100%</f>
        <v>0.63150625000000005</v>
      </c>
      <c r="N6" s="12">
        <v>7</v>
      </c>
      <c r="O6" s="16">
        <v>424127</v>
      </c>
      <c r="P6" s="30">
        <f>O6/A6*100%</f>
        <v>1.325396875</v>
      </c>
      <c r="Q6" s="20">
        <v>9</v>
      </c>
      <c r="R6" s="19">
        <v>334011</v>
      </c>
      <c r="S6" s="30">
        <f>R6/A6*100%</f>
        <v>1.043784375</v>
      </c>
      <c r="T6" s="12">
        <v>6</v>
      </c>
    </row>
    <row r="7" spans="1:20" x14ac:dyDescent="0.25">
      <c r="A7" s="29">
        <v>320000</v>
      </c>
      <c r="B7" s="9" t="s">
        <v>54</v>
      </c>
      <c r="C7" s="23">
        <v>144032</v>
      </c>
      <c r="D7" s="24">
        <f>C7/320000*100%</f>
        <v>0.4501</v>
      </c>
      <c r="E7" s="10">
        <v>7</v>
      </c>
      <c r="F7" s="26">
        <v>145716</v>
      </c>
      <c r="G7" s="25">
        <f>F7/320000*100%</f>
        <v>0.4553625</v>
      </c>
      <c r="H7" s="10">
        <v>2</v>
      </c>
      <c r="I7" s="10">
        <v>92434</v>
      </c>
      <c r="J7" s="24">
        <f>I7/320000*100%</f>
        <v>0.28885624999999998</v>
      </c>
      <c r="K7" s="10">
        <v>4</v>
      </c>
      <c r="L7" s="10">
        <v>143686</v>
      </c>
      <c r="M7" s="24">
        <f>L7/A7*100%</f>
        <v>0.44901875000000002</v>
      </c>
      <c r="N7" s="10">
        <v>9</v>
      </c>
      <c r="O7" s="10">
        <v>190159</v>
      </c>
      <c r="P7" s="30">
        <f>O7/A7*100%</f>
        <v>0.59424687499999995</v>
      </c>
      <c r="Q7" s="10">
        <v>4</v>
      </c>
      <c r="R7" s="10">
        <v>220749</v>
      </c>
      <c r="S7" s="30">
        <f>R7/A7*100%</f>
        <v>0.68984062499999999</v>
      </c>
      <c r="T7" s="10">
        <v>6</v>
      </c>
    </row>
    <row r="8" spans="1:20" x14ac:dyDescent="0.25">
      <c r="A8" s="29">
        <v>150000</v>
      </c>
      <c r="B8" s="9" t="s">
        <v>55</v>
      </c>
      <c r="C8" s="146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8"/>
    </row>
    <row r="10" spans="1:20" x14ac:dyDescent="0.25">
      <c r="A10" s="28"/>
      <c r="B10" s="15" t="s">
        <v>53</v>
      </c>
      <c r="C10" s="21" t="s">
        <v>56</v>
      </c>
      <c r="D10" s="21" t="s">
        <v>67</v>
      </c>
      <c r="E10" s="15" t="s">
        <v>43</v>
      </c>
      <c r="F10" s="35" t="s">
        <v>71</v>
      </c>
      <c r="G10" s="35" t="s">
        <v>67</v>
      </c>
      <c r="H10" s="35" t="s">
        <v>43</v>
      </c>
      <c r="I10" s="35" t="s">
        <v>72</v>
      </c>
      <c r="J10" s="35" t="s">
        <v>67</v>
      </c>
      <c r="K10" s="35" t="s">
        <v>43</v>
      </c>
      <c r="L10" s="35" t="s">
        <v>73</v>
      </c>
      <c r="M10" s="35" t="s">
        <v>67</v>
      </c>
      <c r="N10" s="35" t="s">
        <v>43</v>
      </c>
      <c r="O10" s="35" t="s">
        <v>74</v>
      </c>
      <c r="P10" s="35" t="s">
        <v>67</v>
      </c>
      <c r="Q10" s="35" t="s">
        <v>43</v>
      </c>
      <c r="R10" s="35" t="s">
        <v>75</v>
      </c>
      <c r="S10" s="35" t="s">
        <v>67</v>
      </c>
      <c r="T10" s="35" t="s">
        <v>43</v>
      </c>
    </row>
    <row r="11" spans="1:20" x14ac:dyDescent="0.25">
      <c r="A11" s="28">
        <v>350000</v>
      </c>
      <c r="B11" s="12" t="s">
        <v>50</v>
      </c>
      <c r="C11" s="26">
        <v>171961</v>
      </c>
      <c r="D11" s="31">
        <f>C11/350000*100%</f>
        <v>0.49131714285714284</v>
      </c>
      <c r="E11" s="2">
        <v>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5">
      <c r="A12" s="29">
        <v>350000</v>
      </c>
      <c r="B12" s="12" t="s">
        <v>51</v>
      </c>
      <c r="C12" s="26">
        <v>375589</v>
      </c>
      <c r="D12" s="31">
        <f>C12/350000*100%</f>
        <v>1.0731114285714285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25">
      <c r="A13" s="29">
        <v>320000</v>
      </c>
      <c r="B13" s="11" t="s">
        <v>52</v>
      </c>
      <c r="C13" s="26">
        <v>342643</v>
      </c>
      <c r="D13" s="31">
        <f>C13/320000*100%</f>
        <v>1.070759375</v>
      </c>
      <c r="E13" s="2">
        <v>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5">
      <c r="A14" s="29">
        <v>320000</v>
      </c>
      <c r="B14" s="9" t="s">
        <v>54</v>
      </c>
      <c r="C14" s="26">
        <v>775616</v>
      </c>
      <c r="D14" s="31">
        <f>C14/320000*100%</f>
        <v>2.4238</v>
      </c>
      <c r="E14" s="2">
        <v>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25">
      <c r="A15" s="29">
        <v>150000</v>
      </c>
      <c r="B15" s="9" t="s">
        <v>55</v>
      </c>
      <c r="C15" s="26">
        <v>100565</v>
      </c>
      <c r="D15" s="31">
        <f>C15/50000*100%</f>
        <v>2.0112999999999999</v>
      </c>
      <c r="E15" s="2">
        <v>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8" spans="1:20" ht="30" x14ac:dyDescent="0.25">
      <c r="A18" s="61" t="s">
        <v>77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61" t="s">
        <v>94</v>
      </c>
      <c r="M18" s="72">
        <v>0.253</v>
      </c>
      <c r="N18" s="73">
        <v>46204</v>
      </c>
      <c r="O18" s="8"/>
      <c r="P18" s="8"/>
      <c r="Q18" s="8"/>
      <c r="R18" s="8"/>
      <c r="S18" s="8"/>
      <c r="T18" s="8"/>
    </row>
    <row r="19" spans="1:20" ht="45" x14ac:dyDescent="0.25">
      <c r="B19" s="62" t="s">
        <v>53</v>
      </c>
      <c r="C19" s="63" t="s">
        <v>78</v>
      </c>
      <c r="D19" s="63" t="s">
        <v>81</v>
      </c>
      <c r="E19" s="63" t="s">
        <v>80</v>
      </c>
      <c r="F19" s="63" t="s">
        <v>79</v>
      </c>
      <c r="G19" s="63" t="s">
        <v>86</v>
      </c>
      <c r="L19" s="74"/>
      <c r="M19" s="77" t="s">
        <v>105</v>
      </c>
      <c r="N19" s="78" t="s">
        <v>110</v>
      </c>
      <c r="O19" s="79" t="s">
        <v>107</v>
      </c>
      <c r="P19" s="79" t="s">
        <v>109</v>
      </c>
    </row>
    <row r="20" spans="1:20" x14ac:dyDescent="0.25">
      <c r="B20" s="12" t="s">
        <v>50</v>
      </c>
      <c r="C20" s="145" t="s">
        <v>42</v>
      </c>
      <c r="D20" s="2">
        <v>69</v>
      </c>
      <c r="E20" s="2">
        <v>15</v>
      </c>
      <c r="F20" s="64">
        <f t="shared" ref="F20:F30" si="0">E20/D20*100%</f>
        <v>0.21739130434782608</v>
      </c>
      <c r="G20" s="2"/>
      <c r="L20" s="2"/>
      <c r="M20" s="4" t="s">
        <v>95</v>
      </c>
      <c r="N20" s="2">
        <v>22</v>
      </c>
      <c r="O20" s="2"/>
      <c r="P20" s="2"/>
    </row>
    <row r="21" spans="1:20" x14ac:dyDescent="0.25">
      <c r="B21" s="12" t="s">
        <v>51</v>
      </c>
      <c r="C21" s="145"/>
      <c r="D21" s="2">
        <v>161</v>
      </c>
      <c r="E21" s="2">
        <v>54</v>
      </c>
      <c r="F21" s="64">
        <f t="shared" si="0"/>
        <v>0.33540372670807456</v>
      </c>
      <c r="G21" s="2"/>
      <c r="L21" s="2"/>
      <c r="M21" s="4" t="s">
        <v>96</v>
      </c>
      <c r="N21" s="2">
        <v>23</v>
      </c>
      <c r="O21" s="2"/>
      <c r="P21" s="2"/>
    </row>
    <row r="22" spans="1:20" ht="30" customHeight="1" x14ac:dyDescent="0.25">
      <c r="B22" s="12" t="s">
        <v>52</v>
      </c>
      <c r="C22" s="145"/>
      <c r="D22" s="2">
        <v>85</v>
      </c>
      <c r="E22" s="2">
        <v>21</v>
      </c>
      <c r="F22" s="64">
        <f t="shared" si="0"/>
        <v>0.24705882352941178</v>
      </c>
      <c r="G22" s="2"/>
      <c r="L22" s="2"/>
      <c r="M22" s="4" t="s">
        <v>97</v>
      </c>
      <c r="N22" s="2">
        <v>2</v>
      </c>
      <c r="O22" s="2"/>
      <c r="P22" s="2"/>
    </row>
    <row r="23" spans="1:20" ht="33" customHeight="1" x14ac:dyDescent="0.25">
      <c r="B23" s="9" t="s">
        <v>54</v>
      </c>
      <c r="C23" s="145"/>
      <c r="D23" s="2">
        <v>123</v>
      </c>
      <c r="E23" s="2">
        <v>21</v>
      </c>
      <c r="F23" s="64">
        <f t="shared" si="0"/>
        <v>0.17073170731707318</v>
      </c>
      <c r="G23" s="2"/>
      <c r="L23" s="2"/>
      <c r="M23" s="4" t="s">
        <v>98</v>
      </c>
      <c r="N23" s="2">
        <v>1</v>
      </c>
      <c r="O23" s="2"/>
      <c r="P23" s="2"/>
    </row>
    <row r="24" spans="1:20" ht="60" x14ac:dyDescent="0.25">
      <c r="B24" s="12" t="s">
        <v>50</v>
      </c>
      <c r="C24" s="145" t="s">
        <v>44</v>
      </c>
      <c r="D24" s="2">
        <v>41</v>
      </c>
      <c r="E24" s="2">
        <v>9</v>
      </c>
      <c r="F24" s="64">
        <f t="shared" si="0"/>
        <v>0.21951219512195122</v>
      </c>
      <c r="G24" s="65">
        <f>F24-F20</f>
        <v>2.1208907741251393E-3</v>
      </c>
      <c r="L24" s="2"/>
      <c r="M24" s="80" t="s">
        <v>99</v>
      </c>
      <c r="N24" s="2">
        <v>46</v>
      </c>
      <c r="O24" s="4"/>
      <c r="P24" s="76" t="s">
        <v>111</v>
      </c>
    </row>
    <row r="25" spans="1:20" x14ac:dyDescent="0.25">
      <c r="B25" s="12" t="s">
        <v>51</v>
      </c>
      <c r="C25" s="145"/>
      <c r="D25" s="2">
        <v>110</v>
      </c>
      <c r="E25" s="2">
        <v>36</v>
      </c>
      <c r="F25" s="64">
        <f t="shared" si="0"/>
        <v>0.32727272727272727</v>
      </c>
      <c r="G25" s="65">
        <f>F25-F21</f>
        <v>-8.1309994353472859E-3</v>
      </c>
      <c r="L25" s="2"/>
      <c r="M25" s="80" t="s">
        <v>100</v>
      </c>
      <c r="N25" s="2">
        <v>5</v>
      </c>
      <c r="O25" s="2"/>
      <c r="P25" s="2"/>
    </row>
    <row r="26" spans="1:20" ht="45" x14ac:dyDescent="0.25">
      <c r="B26" s="12" t="s">
        <v>52</v>
      </c>
      <c r="C26" s="145"/>
      <c r="D26" s="2">
        <v>64</v>
      </c>
      <c r="E26" s="2">
        <v>37</v>
      </c>
      <c r="F26" s="64">
        <f t="shared" si="0"/>
        <v>0.578125</v>
      </c>
      <c r="G26" s="65">
        <f>F26-F22</f>
        <v>0.33106617647058822</v>
      </c>
      <c r="L26" s="2"/>
      <c r="M26" s="80" t="s">
        <v>101</v>
      </c>
      <c r="N26" s="2">
        <v>7</v>
      </c>
      <c r="O26" s="2"/>
      <c r="P26" s="2"/>
    </row>
    <row r="27" spans="1:20" x14ac:dyDescent="0.25">
      <c r="B27" s="9" t="s">
        <v>54</v>
      </c>
      <c r="C27" s="145"/>
      <c r="D27" s="2">
        <v>86</v>
      </c>
      <c r="E27" s="2">
        <v>15</v>
      </c>
      <c r="F27" s="64">
        <f t="shared" si="0"/>
        <v>0.1744186046511628</v>
      </c>
      <c r="G27" s="65">
        <f>F27-F23</f>
        <v>3.6868973340896116E-3</v>
      </c>
      <c r="L27" s="2"/>
      <c r="M27" s="80" t="s">
        <v>102</v>
      </c>
      <c r="N27" s="2">
        <v>11</v>
      </c>
      <c r="O27" s="2"/>
      <c r="P27" s="2"/>
    </row>
    <row r="28" spans="1:20" x14ac:dyDescent="0.25">
      <c r="B28" s="12" t="s">
        <v>50</v>
      </c>
      <c r="C28" s="145" t="s">
        <v>46</v>
      </c>
      <c r="D28" s="2">
        <v>43</v>
      </c>
      <c r="E28" s="2">
        <v>18</v>
      </c>
      <c r="F28" s="64">
        <f t="shared" si="0"/>
        <v>0.41860465116279072</v>
      </c>
      <c r="G28" s="65">
        <f>F28-F24</f>
        <v>0.1990924560408395</v>
      </c>
      <c r="L28" s="2"/>
      <c r="M28" s="80" t="s">
        <v>103</v>
      </c>
      <c r="N28" s="2">
        <v>1</v>
      </c>
      <c r="O28" s="2"/>
      <c r="P28" s="2"/>
    </row>
    <row r="29" spans="1:20" x14ac:dyDescent="0.25">
      <c r="B29" s="12" t="s">
        <v>51</v>
      </c>
      <c r="C29" s="145"/>
      <c r="D29" s="2">
        <v>97</v>
      </c>
      <c r="E29" s="2">
        <v>31</v>
      </c>
      <c r="F29" s="64">
        <f t="shared" si="0"/>
        <v>0.31958762886597936</v>
      </c>
      <c r="G29" s="65">
        <f t="shared" ref="G29:G48" si="1">F29-F25</f>
        <v>-7.6850984067479144E-3</v>
      </c>
      <c r="L29" s="2"/>
      <c r="M29" s="80" t="s">
        <v>104</v>
      </c>
      <c r="N29" s="2">
        <v>3</v>
      </c>
      <c r="O29" s="2"/>
      <c r="P29" s="2"/>
    </row>
    <row r="30" spans="1:20" x14ac:dyDescent="0.25">
      <c r="B30" s="12" t="s">
        <v>52</v>
      </c>
      <c r="C30" s="145"/>
      <c r="D30" s="2">
        <v>63</v>
      </c>
      <c r="E30" s="2">
        <v>29</v>
      </c>
      <c r="F30" s="64">
        <f t="shared" si="0"/>
        <v>0.46031746031746029</v>
      </c>
      <c r="G30" s="65">
        <f t="shared" si="1"/>
        <v>-0.11780753968253971</v>
      </c>
      <c r="L30" s="2"/>
      <c r="M30" s="80" t="s">
        <v>106</v>
      </c>
      <c r="N30" s="2">
        <v>5</v>
      </c>
      <c r="O30" s="2"/>
      <c r="P30" s="2"/>
    </row>
    <row r="31" spans="1:20" ht="195" x14ac:dyDescent="0.25">
      <c r="B31" s="9" t="s">
        <v>54</v>
      </c>
      <c r="C31" s="145"/>
      <c r="D31" s="2">
        <v>53</v>
      </c>
      <c r="E31" s="2">
        <v>11</v>
      </c>
      <c r="F31" s="64">
        <f t="shared" ref="F31:F48" si="2">E31/D31*100%</f>
        <v>0.20754716981132076</v>
      </c>
      <c r="G31" s="65">
        <f t="shared" si="1"/>
        <v>3.3128565160157969E-2</v>
      </c>
      <c r="L31" s="2"/>
      <c r="M31" s="75" t="s">
        <v>108</v>
      </c>
      <c r="N31" s="2">
        <v>35</v>
      </c>
      <c r="O31" s="4" t="s">
        <v>113</v>
      </c>
      <c r="P31" s="4" t="s">
        <v>112</v>
      </c>
    </row>
    <row r="32" spans="1:20" x14ac:dyDescent="0.25">
      <c r="B32" s="12" t="s">
        <v>50</v>
      </c>
      <c r="C32" s="145" t="s">
        <v>47</v>
      </c>
      <c r="D32" s="2">
        <v>72</v>
      </c>
      <c r="E32" s="2">
        <v>20</v>
      </c>
      <c r="F32" s="64">
        <f t="shared" si="2"/>
        <v>0.27777777777777779</v>
      </c>
      <c r="G32" s="65">
        <f t="shared" si="1"/>
        <v>-0.14082687338501293</v>
      </c>
    </row>
    <row r="33" spans="2:7" x14ac:dyDescent="0.25">
      <c r="B33" s="12" t="s">
        <v>51</v>
      </c>
      <c r="C33" s="145"/>
      <c r="D33" s="2">
        <v>124</v>
      </c>
      <c r="E33" s="2">
        <v>32</v>
      </c>
      <c r="F33" s="64">
        <f t="shared" si="2"/>
        <v>0.25806451612903225</v>
      </c>
      <c r="G33" s="65">
        <f t="shared" si="1"/>
        <v>-6.1523112736947105E-2</v>
      </c>
    </row>
    <row r="34" spans="2:7" x14ac:dyDescent="0.25">
      <c r="B34" s="12" t="s">
        <v>52</v>
      </c>
      <c r="C34" s="145"/>
      <c r="D34" s="2">
        <v>91</v>
      </c>
      <c r="E34" s="2">
        <v>34</v>
      </c>
      <c r="F34" s="64">
        <f t="shared" si="2"/>
        <v>0.37362637362637363</v>
      </c>
      <c r="G34" s="65">
        <f t="shared" si="1"/>
        <v>-8.6691086691086661E-2</v>
      </c>
    </row>
    <row r="35" spans="2:7" x14ac:dyDescent="0.25">
      <c r="B35" s="9" t="s">
        <v>54</v>
      </c>
      <c r="C35" s="145"/>
      <c r="D35" s="2">
        <v>79</v>
      </c>
      <c r="E35" s="2">
        <v>25</v>
      </c>
      <c r="F35" s="64">
        <f t="shared" si="2"/>
        <v>0.31645569620253167</v>
      </c>
      <c r="G35" s="65">
        <f t="shared" si="1"/>
        <v>0.1089085263912109</v>
      </c>
    </row>
    <row r="36" spans="2:7" x14ac:dyDescent="0.25">
      <c r="B36" s="12" t="s">
        <v>50</v>
      </c>
      <c r="C36" s="145" t="s">
        <v>48</v>
      </c>
      <c r="D36" s="2">
        <v>37</v>
      </c>
      <c r="E36" s="2">
        <v>9</v>
      </c>
      <c r="F36" s="64">
        <f t="shared" si="2"/>
        <v>0.24324324324324326</v>
      </c>
      <c r="G36" s="65">
        <f t="shared" si="1"/>
        <v>-3.4534534534534533E-2</v>
      </c>
    </row>
    <row r="37" spans="2:7" x14ac:dyDescent="0.25">
      <c r="B37" s="12" t="s">
        <v>51</v>
      </c>
      <c r="C37" s="145"/>
      <c r="D37" s="2">
        <v>84</v>
      </c>
      <c r="E37" s="2">
        <v>36</v>
      </c>
      <c r="F37" s="64">
        <f t="shared" si="2"/>
        <v>0.42857142857142855</v>
      </c>
      <c r="G37" s="65">
        <f t="shared" si="1"/>
        <v>0.1705069124423963</v>
      </c>
    </row>
    <row r="38" spans="2:7" x14ac:dyDescent="0.25">
      <c r="B38" s="12" t="s">
        <v>52</v>
      </c>
      <c r="C38" s="145"/>
      <c r="D38" s="2">
        <v>37</v>
      </c>
      <c r="E38" s="2">
        <v>17</v>
      </c>
      <c r="F38" s="64">
        <f t="shared" si="2"/>
        <v>0.45945945945945948</v>
      </c>
      <c r="G38" s="65">
        <f t="shared" si="1"/>
        <v>8.5833085833085854E-2</v>
      </c>
    </row>
    <row r="39" spans="2:7" x14ac:dyDescent="0.25">
      <c r="B39" s="9" t="s">
        <v>54</v>
      </c>
      <c r="C39" s="145"/>
      <c r="D39" s="2">
        <v>40</v>
      </c>
      <c r="E39" s="2">
        <v>6</v>
      </c>
      <c r="F39" s="64">
        <f t="shared" si="2"/>
        <v>0.15</v>
      </c>
      <c r="G39" s="65">
        <f t="shared" si="1"/>
        <v>-0.16645569620253167</v>
      </c>
    </row>
    <row r="40" spans="2:7" x14ac:dyDescent="0.25">
      <c r="B40" s="12" t="s">
        <v>50</v>
      </c>
      <c r="C40" s="145" t="s">
        <v>82</v>
      </c>
      <c r="D40" s="2">
        <v>56</v>
      </c>
      <c r="E40" s="2">
        <v>24</v>
      </c>
      <c r="F40" s="64">
        <f t="shared" si="2"/>
        <v>0.42857142857142855</v>
      </c>
      <c r="G40" s="65">
        <f t="shared" si="1"/>
        <v>0.18532818532818529</v>
      </c>
    </row>
    <row r="41" spans="2:7" x14ac:dyDescent="0.25">
      <c r="B41" s="12" t="s">
        <v>51</v>
      </c>
      <c r="C41" s="145"/>
      <c r="D41" s="2">
        <v>88</v>
      </c>
      <c r="E41" s="2">
        <v>36</v>
      </c>
      <c r="F41" s="64">
        <f t="shared" si="2"/>
        <v>0.40909090909090912</v>
      </c>
      <c r="G41" s="65">
        <f t="shared" si="1"/>
        <v>-1.9480519480519431E-2</v>
      </c>
    </row>
    <row r="42" spans="2:7" x14ac:dyDescent="0.25">
      <c r="B42" s="12" t="s">
        <v>52</v>
      </c>
      <c r="C42" s="145"/>
      <c r="D42" s="2">
        <v>60</v>
      </c>
      <c r="E42" s="2">
        <v>28</v>
      </c>
      <c r="F42" s="64">
        <f t="shared" si="2"/>
        <v>0.46666666666666667</v>
      </c>
      <c r="G42" s="65">
        <f t="shared" si="1"/>
        <v>7.2072072072071891E-3</v>
      </c>
    </row>
    <row r="43" spans="2:7" x14ac:dyDescent="0.25">
      <c r="B43" s="9" t="s">
        <v>54</v>
      </c>
      <c r="C43" s="145"/>
      <c r="D43" s="2">
        <v>52</v>
      </c>
      <c r="E43" s="2">
        <v>14</v>
      </c>
      <c r="F43" s="64">
        <f t="shared" si="2"/>
        <v>0.26923076923076922</v>
      </c>
      <c r="G43" s="65">
        <f t="shared" si="1"/>
        <v>0.11923076923076922</v>
      </c>
    </row>
    <row r="44" spans="2:7" x14ac:dyDescent="0.25">
      <c r="B44" s="12" t="s">
        <v>50</v>
      </c>
      <c r="C44" s="145" t="s">
        <v>56</v>
      </c>
      <c r="D44" s="2">
        <v>42</v>
      </c>
      <c r="E44" s="2">
        <v>16</v>
      </c>
      <c r="F44" s="64">
        <f t="shared" si="2"/>
        <v>0.38095238095238093</v>
      </c>
      <c r="G44" s="65">
        <f t="shared" si="1"/>
        <v>-4.7619047619047616E-2</v>
      </c>
    </row>
    <row r="45" spans="2:7" x14ac:dyDescent="0.25">
      <c r="B45" s="12" t="s">
        <v>51</v>
      </c>
      <c r="C45" s="145"/>
      <c r="D45" s="2">
        <v>67</v>
      </c>
      <c r="E45" s="2">
        <v>16</v>
      </c>
      <c r="F45" s="64">
        <f t="shared" si="2"/>
        <v>0.23880597014925373</v>
      </c>
      <c r="G45" s="65">
        <f t="shared" si="1"/>
        <v>-0.17028493894165539</v>
      </c>
    </row>
    <row r="46" spans="2:7" x14ac:dyDescent="0.25">
      <c r="B46" s="12" t="s">
        <v>52</v>
      </c>
      <c r="C46" s="145"/>
      <c r="D46" s="2">
        <v>95</v>
      </c>
      <c r="E46" s="2">
        <v>24</v>
      </c>
      <c r="F46" s="64">
        <f t="shared" si="2"/>
        <v>0.25263157894736843</v>
      </c>
      <c r="G46" s="65">
        <f t="shared" si="1"/>
        <v>-0.21403508771929824</v>
      </c>
    </row>
    <row r="47" spans="2:7" x14ac:dyDescent="0.25">
      <c r="B47" s="12" t="s">
        <v>55</v>
      </c>
      <c r="C47" s="145"/>
      <c r="D47" s="2">
        <v>70</v>
      </c>
      <c r="E47" s="2">
        <v>19</v>
      </c>
      <c r="F47" s="64">
        <f t="shared" si="2"/>
        <v>0.27142857142857141</v>
      </c>
      <c r="G47" s="65">
        <f t="shared" si="1"/>
        <v>2.19780219780219E-3</v>
      </c>
    </row>
    <row r="48" spans="2:7" x14ac:dyDescent="0.25">
      <c r="B48" s="9" t="s">
        <v>54</v>
      </c>
      <c r="C48" s="145"/>
      <c r="D48" s="2">
        <v>90</v>
      </c>
      <c r="E48" s="2">
        <v>17</v>
      </c>
      <c r="F48" s="64">
        <f t="shared" si="2"/>
        <v>0.18888888888888888</v>
      </c>
      <c r="G48" s="65">
        <f t="shared" si="1"/>
        <v>-0.19206349206349205</v>
      </c>
    </row>
    <row r="49" spans="2:9" x14ac:dyDescent="0.25">
      <c r="B49" s="12" t="s">
        <v>50</v>
      </c>
      <c r="C49" s="145" t="s">
        <v>83</v>
      </c>
      <c r="D49" s="2"/>
      <c r="E49" s="2"/>
      <c r="F49" s="64"/>
      <c r="G49" s="2"/>
    </row>
    <row r="50" spans="2:9" x14ac:dyDescent="0.25">
      <c r="B50" s="12" t="s">
        <v>51</v>
      </c>
      <c r="C50" s="145"/>
      <c r="D50" s="2"/>
      <c r="E50" s="2"/>
      <c r="F50" s="64"/>
      <c r="G50" s="2"/>
    </row>
    <row r="51" spans="2:9" x14ac:dyDescent="0.25">
      <c r="B51" s="12" t="s">
        <v>52</v>
      </c>
      <c r="C51" s="145"/>
      <c r="D51" s="2"/>
      <c r="E51" s="2"/>
      <c r="F51" s="64"/>
      <c r="G51" s="2"/>
    </row>
    <row r="52" spans="2:9" x14ac:dyDescent="0.25">
      <c r="B52" s="9" t="s">
        <v>54</v>
      </c>
      <c r="C52" s="145"/>
      <c r="D52" s="2"/>
      <c r="E52" s="2"/>
      <c r="F52" s="64"/>
      <c r="G52" s="2"/>
    </row>
    <row r="53" spans="2:9" x14ac:dyDescent="0.25">
      <c r="B53" s="12" t="s">
        <v>50</v>
      </c>
      <c r="C53" s="145" t="s">
        <v>72</v>
      </c>
      <c r="D53" s="2"/>
      <c r="E53" s="2"/>
      <c r="F53" s="64"/>
      <c r="G53" s="2"/>
    </row>
    <row r="54" spans="2:9" x14ac:dyDescent="0.25">
      <c r="B54" s="12" t="s">
        <v>51</v>
      </c>
      <c r="C54" s="145"/>
      <c r="D54" s="2"/>
      <c r="E54" s="2"/>
      <c r="F54" s="64"/>
      <c r="G54" s="2"/>
    </row>
    <row r="55" spans="2:9" x14ac:dyDescent="0.25">
      <c r="B55" s="12" t="s">
        <v>52</v>
      </c>
      <c r="C55" s="145"/>
      <c r="D55" s="2"/>
      <c r="E55" s="2"/>
      <c r="F55" s="64"/>
      <c r="G55" s="2"/>
    </row>
    <row r="56" spans="2:9" ht="30" x14ac:dyDescent="0.25">
      <c r="B56" s="9" t="s">
        <v>54</v>
      </c>
      <c r="C56" s="145"/>
      <c r="D56" s="2"/>
      <c r="E56" s="2"/>
      <c r="F56" s="64"/>
      <c r="G56" s="2"/>
      <c r="I56" s="43" t="s">
        <v>87</v>
      </c>
    </row>
    <row r="57" spans="2:9" x14ac:dyDescent="0.25">
      <c r="B57" s="12" t="s">
        <v>50</v>
      </c>
      <c r="C57" s="145" t="s">
        <v>73</v>
      </c>
      <c r="D57" s="2"/>
      <c r="E57" s="2"/>
      <c r="F57" s="64"/>
      <c r="G57" s="2"/>
      <c r="I57" s="57">
        <f>AVERAGE(F20:F48)</f>
        <v>0.31342885027730566</v>
      </c>
    </row>
    <row r="58" spans="2:9" x14ac:dyDescent="0.25">
      <c r="B58" s="12" t="s">
        <v>51</v>
      </c>
      <c r="C58" s="145"/>
      <c r="D58" s="2"/>
      <c r="E58" s="2"/>
      <c r="F58" s="64"/>
      <c r="G58" s="2"/>
    </row>
    <row r="59" spans="2:9" x14ac:dyDescent="0.25">
      <c r="B59" s="12" t="s">
        <v>52</v>
      </c>
      <c r="C59" s="145"/>
      <c r="D59" s="2"/>
      <c r="E59" s="2"/>
      <c r="F59" s="64"/>
      <c r="G59" s="2"/>
    </row>
    <row r="60" spans="2:9" x14ac:dyDescent="0.25">
      <c r="B60" s="9" t="s">
        <v>54</v>
      </c>
      <c r="C60" s="145"/>
      <c r="D60" s="2"/>
      <c r="E60" s="2"/>
      <c r="F60" s="64"/>
      <c r="G60" s="2"/>
    </row>
    <row r="61" spans="2:9" x14ac:dyDescent="0.25">
      <c r="B61" s="12" t="s">
        <v>50</v>
      </c>
      <c r="C61" s="145" t="s">
        <v>84</v>
      </c>
      <c r="D61" s="2"/>
      <c r="E61" s="2"/>
      <c r="F61" s="64"/>
      <c r="G61" s="2"/>
    </row>
    <row r="62" spans="2:9" x14ac:dyDescent="0.25">
      <c r="B62" s="12" t="s">
        <v>51</v>
      </c>
      <c r="C62" s="145"/>
      <c r="D62" s="2"/>
      <c r="E62" s="2"/>
      <c r="F62" s="64"/>
      <c r="G62" s="2"/>
    </row>
    <row r="63" spans="2:9" x14ac:dyDescent="0.25">
      <c r="B63" s="12" t="s">
        <v>52</v>
      </c>
      <c r="C63" s="145"/>
      <c r="D63" s="2"/>
      <c r="E63" s="2"/>
      <c r="F63" s="64"/>
      <c r="G63" s="2"/>
    </row>
    <row r="64" spans="2:9" x14ac:dyDescent="0.25">
      <c r="B64" s="9" t="s">
        <v>54</v>
      </c>
      <c r="C64" s="145"/>
      <c r="D64" s="2"/>
      <c r="E64" s="2"/>
      <c r="F64" s="64"/>
      <c r="G64" s="2"/>
    </row>
    <row r="65" spans="2:7" x14ac:dyDescent="0.25">
      <c r="B65" s="12" t="s">
        <v>50</v>
      </c>
      <c r="C65" s="145" t="s">
        <v>85</v>
      </c>
      <c r="D65" s="2"/>
      <c r="E65" s="2"/>
      <c r="F65" s="64"/>
      <c r="G65" s="2"/>
    </row>
    <row r="66" spans="2:7" x14ac:dyDescent="0.25">
      <c r="B66" s="12" t="s">
        <v>51</v>
      </c>
      <c r="C66" s="145"/>
      <c r="D66" s="2"/>
      <c r="E66" s="2"/>
      <c r="F66" s="64"/>
      <c r="G66" s="2"/>
    </row>
    <row r="67" spans="2:7" x14ac:dyDescent="0.25">
      <c r="B67" s="12" t="s">
        <v>52</v>
      </c>
      <c r="C67" s="145"/>
      <c r="D67" s="2"/>
      <c r="E67" s="2"/>
      <c r="F67" s="64"/>
      <c r="G67" s="2"/>
    </row>
    <row r="68" spans="2:7" x14ac:dyDescent="0.25">
      <c r="B68" s="9" t="s">
        <v>54</v>
      </c>
      <c r="C68" s="145"/>
      <c r="D68" s="2"/>
      <c r="E68" s="2"/>
      <c r="F68" s="64"/>
      <c r="G68" s="2"/>
    </row>
    <row r="69" spans="2:7" x14ac:dyDescent="0.25">
      <c r="B69" s="67" t="s">
        <v>88</v>
      </c>
      <c r="C69" s="2"/>
      <c r="D69" s="69">
        <f>SUM(D20:D48)</f>
        <v>2179</v>
      </c>
      <c r="E69" s="2"/>
      <c r="F69" s="66"/>
    </row>
    <row r="70" spans="2:7" ht="30" x14ac:dyDescent="0.25">
      <c r="B70" s="68" t="s">
        <v>89</v>
      </c>
      <c r="C70" s="2"/>
      <c r="D70" s="2"/>
      <c r="E70" s="69">
        <f>SUM(E20:E48)</f>
        <v>670</v>
      </c>
    </row>
    <row r="71" spans="2:7" x14ac:dyDescent="0.25">
      <c r="B71" s="67" t="s">
        <v>90</v>
      </c>
      <c r="C71" s="2"/>
      <c r="D71" s="2"/>
      <c r="E71" s="2">
        <v>230</v>
      </c>
    </row>
    <row r="72" spans="2:7" x14ac:dyDescent="0.25">
      <c r="B72" s="67" t="s">
        <v>91</v>
      </c>
      <c r="C72" s="2"/>
      <c r="D72" s="2"/>
      <c r="E72" s="2">
        <v>1318</v>
      </c>
      <c r="F72" s="70">
        <f>D69-E70-E71</f>
        <v>1279</v>
      </c>
    </row>
    <row r="73" spans="2:7" ht="30" x14ac:dyDescent="0.25">
      <c r="B73" s="68" t="s">
        <v>92</v>
      </c>
      <c r="C73" s="71">
        <v>311</v>
      </c>
      <c r="D73" s="2"/>
      <c r="E73" s="2"/>
    </row>
    <row r="74" spans="2:7" ht="30" x14ac:dyDescent="0.25">
      <c r="B74" s="68" t="s">
        <v>93</v>
      </c>
      <c r="C74" s="71">
        <v>96</v>
      </c>
      <c r="D74" s="2"/>
      <c r="E74" s="2"/>
    </row>
  </sheetData>
  <mergeCells count="13">
    <mergeCell ref="C65:C68"/>
    <mergeCell ref="C40:C43"/>
    <mergeCell ref="C44:C48"/>
    <mergeCell ref="C49:C52"/>
    <mergeCell ref="C53:C56"/>
    <mergeCell ref="C57:C60"/>
    <mergeCell ref="C61:C64"/>
    <mergeCell ref="C36:C39"/>
    <mergeCell ref="C8:T8"/>
    <mergeCell ref="C20:C23"/>
    <mergeCell ref="C24:C27"/>
    <mergeCell ref="C28:C31"/>
    <mergeCell ref="C32:C35"/>
  </mergeCells>
  <pageMargins left="0.75" right="0.75" top="1" bottom="1" header="0.5" footer="0.5"/>
  <pageSetup paperSize="9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U91"/>
  <sheetViews>
    <sheetView workbookViewId="0">
      <pane ySplit="1" topLeftCell="A35" activePane="bottomLeft" state="frozen"/>
      <selection pane="bottomLeft" activeCell="J49" sqref="J49:J53"/>
    </sheetView>
  </sheetViews>
  <sheetFormatPr defaultRowHeight="15" x14ac:dyDescent="0.25"/>
  <cols>
    <col min="1" max="1" width="13" customWidth="1"/>
    <col min="2" max="3" width="16" customWidth="1"/>
    <col min="4" max="4" width="9.140625" customWidth="1"/>
    <col min="5" max="5" width="7.85546875" customWidth="1"/>
    <col min="6" max="6" width="15.85546875" customWidth="1"/>
    <col min="7" max="7" width="12.7109375" customWidth="1"/>
    <col min="8" max="9" width="10.28515625" customWidth="1"/>
    <col min="10" max="10" width="14.7109375" customWidth="1"/>
    <col min="11" max="11" width="5.85546875" customWidth="1"/>
    <col min="12" max="12" width="4.85546875" customWidth="1"/>
    <col min="13" max="13" width="20.5703125" customWidth="1"/>
    <col min="14" max="14" width="12.5703125" customWidth="1"/>
    <col min="15" max="15" width="11.7109375" customWidth="1"/>
    <col min="16" max="16" width="14.7109375" customWidth="1"/>
    <col min="17" max="17" width="13.42578125" customWidth="1"/>
    <col min="19" max="19" width="12.85546875" customWidth="1"/>
    <col min="20" max="20" width="6.5703125" customWidth="1"/>
  </cols>
  <sheetData>
    <row r="2" spans="1:21" x14ac:dyDescent="0.25">
      <c r="A2" s="7" t="s">
        <v>57</v>
      </c>
      <c r="B2" s="13"/>
      <c r="C2" s="13"/>
      <c r="D2" s="13"/>
      <c r="E2" s="13"/>
      <c r="F2" s="8"/>
      <c r="G2" s="8"/>
      <c r="H2" s="8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1:21" x14ac:dyDescent="0.25">
      <c r="A3" s="14"/>
      <c r="B3" s="15" t="s">
        <v>53</v>
      </c>
      <c r="C3" s="15" t="s">
        <v>42</v>
      </c>
      <c r="D3" s="15" t="s">
        <v>67</v>
      </c>
      <c r="E3" s="15" t="s">
        <v>43</v>
      </c>
      <c r="F3" s="15" t="s">
        <v>44</v>
      </c>
      <c r="G3" s="15" t="s">
        <v>67</v>
      </c>
      <c r="H3" s="15"/>
      <c r="I3" s="15" t="s">
        <v>45</v>
      </c>
      <c r="J3" s="15" t="s">
        <v>46</v>
      </c>
      <c r="K3" s="15" t="s">
        <v>67</v>
      </c>
      <c r="L3" s="15" t="s">
        <v>45</v>
      </c>
      <c r="M3" s="15" t="s">
        <v>47</v>
      </c>
      <c r="N3" s="15" t="s">
        <v>67</v>
      </c>
      <c r="O3" s="15" t="s">
        <v>43</v>
      </c>
      <c r="P3" s="15" t="s">
        <v>48</v>
      </c>
      <c r="Q3" s="15" t="s">
        <v>67</v>
      </c>
      <c r="R3" s="15" t="s">
        <v>43</v>
      </c>
      <c r="S3" s="18" t="s">
        <v>49</v>
      </c>
      <c r="T3" s="18" t="s">
        <v>67</v>
      </c>
      <c r="U3" s="15" t="s">
        <v>43</v>
      </c>
    </row>
    <row r="4" spans="1:21" x14ac:dyDescent="0.25">
      <c r="A4" s="28">
        <v>350000</v>
      </c>
      <c r="B4" s="12" t="s">
        <v>50</v>
      </c>
      <c r="C4" s="16">
        <v>156374</v>
      </c>
      <c r="D4" s="24">
        <f>C4/350000*100%</f>
        <v>0.44678285714285715</v>
      </c>
      <c r="E4" s="12">
        <v>7</v>
      </c>
      <c r="F4" s="16">
        <v>129868</v>
      </c>
      <c r="G4" s="25">
        <f>F4/350000*100%</f>
        <v>0.37105142857142859</v>
      </c>
      <c r="H4" s="25"/>
      <c r="I4" s="12">
        <v>2</v>
      </c>
      <c r="J4" s="16">
        <v>88587</v>
      </c>
      <c r="K4" s="27">
        <f>J4/350000*100%</f>
        <v>0.25310571428571427</v>
      </c>
      <c r="L4" s="17">
        <v>4</v>
      </c>
      <c r="M4" s="16">
        <v>89000</v>
      </c>
      <c r="N4" s="24">
        <f>M4/A4*100%</f>
        <v>0.25428571428571428</v>
      </c>
      <c r="O4" s="12">
        <v>7</v>
      </c>
      <c r="P4" s="16">
        <v>127625</v>
      </c>
      <c r="Q4" s="30">
        <f>P4/A4*100%</f>
        <v>0.36464285714285716</v>
      </c>
      <c r="R4" s="20">
        <v>4</v>
      </c>
      <c r="S4" s="19">
        <v>147020</v>
      </c>
      <c r="T4" s="30">
        <f>S4/A4*100%</f>
        <v>0.42005714285714285</v>
      </c>
      <c r="U4" s="12">
        <v>4</v>
      </c>
    </row>
    <row r="5" spans="1:21" x14ac:dyDescent="0.25">
      <c r="A5" s="29">
        <v>350000</v>
      </c>
      <c r="B5" s="12" t="s">
        <v>51</v>
      </c>
      <c r="C5" s="16">
        <v>437270</v>
      </c>
      <c r="D5" s="24">
        <f>C5/350000*100%</f>
        <v>1.2493428571428571</v>
      </c>
      <c r="E5" s="12">
        <v>19</v>
      </c>
      <c r="F5" s="16">
        <v>336283</v>
      </c>
      <c r="G5" s="25">
        <f>F5/350000*100%</f>
        <v>0.96080857142857146</v>
      </c>
      <c r="H5" s="25"/>
      <c r="I5" s="12">
        <v>12</v>
      </c>
      <c r="J5" s="16">
        <v>438973</v>
      </c>
      <c r="K5" s="24">
        <f>J5/350000*100%</f>
        <v>1.2542085714285713</v>
      </c>
      <c r="L5" s="12">
        <v>14</v>
      </c>
      <c r="M5" s="16">
        <v>160000</v>
      </c>
      <c r="N5" s="24">
        <f>M5/A5*100%</f>
        <v>0.45714285714285713</v>
      </c>
      <c r="O5" s="12">
        <v>3</v>
      </c>
      <c r="P5" s="16">
        <v>262000</v>
      </c>
      <c r="Q5" s="30">
        <f>P5/A5*100%</f>
        <v>0.74857142857142855</v>
      </c>
      <c r="R5" s="20">
        <v>4</v>
      </c>
      <c r="S5" s="19">
        <v>466583</v>
      </c>
      <c r="T5" s="30">
        <f>S5/A5*100%</f>
        <v>1.3330942857142858</v>
      </c>
      <c r="U5" s="12">
        <v>10</v>
      </c>
    </row>
    <row r="6" spans="1:21" x14ac:dyDescent="0.25">
      <c r="A6" s="29">
        <v>320000</v>
      </c>
      <c r="B6" s="11" t="s">
        <v>52</v>
      </c>
      <c r="C6" s="16">
        <v>245527</v>
      </c>
      <c r="D6" s="24">
        <f>C6/320000*100%</f>
        <v>0.76727187500000005</v>
      </c>
      <c r="E6" s="12">
        <v>13</v>
      </c>
      <c r="F6" s="16">
        <v>343570</v>
      </c>
      <c r="G6" s="25">
        <f>F6/320000*100%</f>
        <v>1.07365625</v>
      </c>
      <c r="H6" s="25"/>
      <c r="I6" s="12">
        <v>12</v>
      </c>
      <c r="J6" s="16">
        <v>176445</v>
      </c>
      <c r="K6" s="24">
        <f>J6/320000*100%</f>
        <v>0.55139062500000002</v>
      </c>
      <c r="L6" s="12">
        <v>8</v>
      </c>
      <c r="M6" s="16">
        <v>202082</v>
      </c>
      <c r="N6" s="24">
        <f>M6/A6*100%</f>
        <v>0.63150625000000005</v>
      </c>
      <c r="O6" s="12">
        <v>7</v>
      </c>
      <c r="P6" s="16">
        <v>424127</v>
      </c>
      <c r="Q6" s="30">
        <f>P6/A6*100%</f>
        <v>1.325396875</v>
      </c>
      <c r="R6" s="20">
        <v>9</v>
      </c>
      <c r="S6" s="19">
        <v>334011</v>
      </c>
      <c r="T6" s="30">
        <f>S6/A6*100%</f>
        <v>1.043784375</v>
      </c>
      <c r="U6" s="12">
        <v>6</v>
      </c>
    </row>
    <row r="7" spans="1:21" x14ac:dyDescent="0.25">
      <c r="A7" s="29">
        <v>320000</v>
      </c>
      <c r="B7" s="9" t="s">
        <v>54</v>
      </c>
      <c r="C7" s="23">
        <v>144032</v>
      </c>
      <c r="D7" s="24">
        <f>C7/320000*100%</f>
        <v>0.4501</v>
      </c>
      <c r="E7" s="10">
        <v>7</v>
      </c>
      <c r="F7" s="26">
        <v>145716</v>
      </c>
      <c r="G7" s="25">
        <f>F7/320000*100%</f>
        <v>0.4553625</v>
      </c>
      <c r="H7" s="25"/>
      <c r="I7" s="10">
        <v>2</v>
      </c>
      <c r="J7" s="10">
        <v>92434</v>
      </c>
      <c r="K7" s="24">
        <f>J7/320000*100%</f>
        <v>0.28885624999999998</v>
      </c>
      <c r="L7" s="10">
        <v>4</v>
      </c>
      <c r="M7" s="10">
        <v>143686</v>
      </c>
      <c r="N7" s="24">
        <f>M7/A7*100%</f>
        <v>0.44901875000000002</v>
      </c>
      <c r="O7" s="10">
        <v>9</v>
      </c>
      <c r="P7" s="10">
        <v>190159</v>
      </c>
      <c r="Q7" s="30">
        <f>P7/A7*100%</f>
        <v>0.59424687499999995</v>
      </c>
      <c r="R7" s="10">
        <v>4</v>
      </c>
      <c r="S7" s="10">
        <v>220749</v>
      </c>
      <c r="T7" s="30">
        <f>S7/A7*100%</f>
        <v>0.68984062499999999</v>
      </c>
      <c r="U7" s="10">
        <v>6</v>
      </c>
    </row>
    <row r="8" spans="1:21" x14ac:dyDescent="0.25">
      <c r="A8" s="29">
        <v>150000</v>
      </c>
      <c r="B8" s="9" t="s">
        <v>55</v>
      </c>
      <c r="C8" s="146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8"/>
    </row>
    <row r="10" spans="1:21" x14ac:dyDescent="0.25">
      <c r="A10" s="28"/>
      <c r="B10" s="15" t="s">
        <v>53</v>
      </c>
      <c r="C10" s="21" t="s">
        <v>56</v>
      </c>
      <c r="D10" s="21" t="s">
        <v>67</v>
      </c>
      <c r="E10" s="15" t="s">
        <v>43</v>
      </c>
      <c r="F10" s="35" t="s">
        <v>71</v>
      </c>
      <c r="G10" s="35" t="s">
        <v>67</v>
      </c>
      <c r="H10" s="35"/>
      <c r="I10" s="35" t="s">
        <v>43</v>
      </c>
      <c r="J10" s="35" t="s">
        <v>72</v>
      </c>
      <c r="K10" s="35" t="s">
        <v>67</v>
      </c>
      <c r="L10" s="35" t="s">
        <v>43</v>
      </c>
      <c r="M10" s="35" t="s">
        <v>73</v>
      </c>
      <c r="N10" s="35" t="s">
        <v>67</v>
      </c>
      <c r="O10" s="35" t="s">
        <v>43</v>
      </c>
      <c r="P10" s="35" t="s">
        <v>74</v>
      </c>
      <c r="Q10" s="35" t="s">
        <v>67</v>
      </c>
      <c r="R10" s="35" t="s">
        <v>43</v>
      </c>
      <c r="S10" s="35" t="s">
        <v>75</v>
      </c>
      <c r="T10" s="35" t="s">
        <v>67</v>
      </c>
      <c r="U10" s="35" t="s">
        <v>43</v>
      </c>
    </row>
    <row r="11" spans="1:21" x14ac:dyDescent="0.25">
      <c r="A11" s="28">
        <v>350000</v>
      </c>
      <c r="B11" s="12" t="s">
        <v>50</v>
      </c>
      <c r="C11" s="26">
        <v>171961</v>
      </c>
      <c r="D11" s="31">
        <f>C11/350000*100%</f>
        <v>0.49131714285714284</v>
      </c>
      <c r="E11" s="2">
        <v>6</v>
      </c>
      <c r="F11" s="106">
        <v>86517</v>
      </c>
      <c r="G11" s="64">
        <f>F11/A11*100%</f>
        <v>0.24719142857142856</v>
      </c>
      <c r="H11" s="2"/>
      <c r="I11" s="2">
        <v>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29">
        <v>350000</v>
      </c>
      <c r="B12" s="12" t="s">
        <v>51</v>
      </c>
      <c r="C12" s="26">
        <v>375589</v>
      </c>
      <c r="D12" s="31">
        <f>C12/350000*100%</f>
        <v>1.0731114285714285</v>
      </c>
      <c r="E12" s="2">
        <v>4</v>
      </c>
      <c r="F12" s="106">
        <v>202857</v>
      </c>
      <c r="G12" s="64">
        <f>F12/A12*100%</f>
        <v>0.57959142857142854</v>
      </c>
      <c r="H12" s="2"/>
      <c r="I12" s="2">
        <v>1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s="29">
        <v>320000</v>
      </c>
      <c r="B13" s="11" t="s">
        <v>52</v>
      </c>
      <c r="C13" s="26">
        <v>342643</v>
      </c>
      <c r="D13" s="31">
        <f>C13/320000*100%</f>
        <v>1.070759375</v>
      </c>
      <c r="E13" s="2">
        <v>7</v>
      </c>
      <c r="F13" s="106">
        <v>334237</v>
      </c>
      <c r="G13" s="64">
        <f>F13/A13*100%</f>
        <v>1.0444906249999999</v>
      </c>
      <c r="H13" s="2"/>
      <c r="I13" s="2">
        <v>10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25">
      <c r="A14" s="29">
        <v>200000</v>
      </c>
      <c r="B14" s="9" t="s">
        <v>54</v>
      </c>
      <c r="C14" s="26">
        <v>775616</v>
      </c>
      <c r="D14" s="31">
        <f>C14/320000*100%</f>
        <v>2.4238</v>
      </c>
      <c r="E14" s="2">
        <v>5</v>
      </c>
      <c r="F14" s="106">
        <v>272821</v>
      </c>
      <c r="G14" s="124">
        <f>272821/200000*100%</f>
        <v>1.3641049999999999</v>
      </c>
      <c r="H14" s="124"/>
      <c r="I14" s="2">
        <v>8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25">
      <c r="A15" s="29">
        <v>150000</v>
      </c>
      <c r="B15" s="9" t="s">
        <v>55</v>
      </c>
      <c r="C15" s="26">
        <v>100565</v>
      </c>
      <c r="D15" s="31">
        <f>C15/50000*100%</f>
        <v>2.0112999999999999</v>
      </c>
      <c r="E15" s="2">
        <v>0</v>
      </c>
      <c r="F15" s="127">
        <v>155451</v>
      </c>
      <c r="G15" s="64">
        <f>F15/A15*100%</f>
        <v>1.03634</v>
      </c>
      <c r="H15" s="2"/>
      <c r="I15" s="2">
        <v>1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8" spans="1:21" ht="30" x14ac:dyDescent="0.25">
      <c r="A18" s="61" t="s">
        <v>77</v>
      </c>
      <c r="B18" s="8"/>
      <c r="C18" s="8"/>
      <c r="D18" s="8"/>
      <c r="E18" s="8"/>
      <c r="F18" s="8"/>
      <c r="G18" s="8"/>
      <c r="H18" s="8"/>
      <c r="I18" s="8"/>
      <c r="J18" s="8"/>
      <c r="K18" s="8"/>
      <c r="R18" s="8"/>
      <c r="S18" s="8"/>
      <c r="T18" s="8"/>
      <c r="U18" s="8"/>
    </row>
    <row r="19" spans="1:21" ht="45" x14ac:dyDescent="0.25">
      <c r="B19" s="62" t="s">
        <v>53</v>
      </c>
      <c r="C19" s="63" t="s">
        <v>78</v>
      </c>
      <c r="D19" s="63" t="s">
        <v>81</v>
      </c>
      <c r="E19" s="63" t="s">
        <v>80</v>
      </c>
      <c r="F19" s="63" t="s">
        <v>79</v>
      </c>
      <c r="G19" s="63" t="s">
        <v>86</v>
      </c>
      <c r="H19" s="63" t="s">
        <v>242</v>
      </c>
      <c r="I19" s="63" t="s">
        <v>138</v>
      </c>
      <c r="J19" s="63" t="s">
        <v>241</v>
      </c>
    </row>
    <row r="20" spans="1:21" x14ac:dyDescent="0.25">
      <c r="B20" s="12" t="s">
        <v>50</v>
      </c>
      <c r="C20" s="145" t="s">
        <v>42</v>
      </c>
      <c r="D20" s="2">
        <v>69</v>
      </c>
      <c r="E20" s="2">
        <v>15</v>
      </c>
      <c r="F20" s="64">
        <f t="shared" ref="F20:F30" si="0">E20/D20*100%</f>
        <v>0.21739130434782608</v>
      </c>
      <c r="G20" s="2"/>
      <c r="H20" s="149">
        <f>SUM(D20:D23)</f>
        <v>438</v>
      </c>
      <c r="I20" s="155">
        <f>SUM(E20:E23)</f>
        <v>111</v>
      </c>
      <c r="J20" s="157">
        <f>AVERAGE(F20:F23)</f>
        <v>0.24264639047559641</v>
      </c>
    </row>
    <row r="21" spans="1:21" x14ac:dyDescent="0.25">
      <c r="B21" s="12" t="s">
        <v>51</v>
      </c>
      <c r="C21" s="145"/>
      <c r="D21" s="2">
        <v>161</v>
      </c>
      <c r="E21" s="2">
        <v>54</v>
      </c>
      <c r="F21" s="64">
        <f t="shared" si="0"/>
        <v>0.33540372670807456</v>
      </c>
      <c r="G21" s="2"/>
      <c r="H21" s="150"/>
      <c r="I21" s="155"/>
      <c r="J21" s="158"/>
    </row>
    <row r="22" spans="1:21" x14ac:dyDescent="0.25">
      <c r="B22" s="12" t="s">
        <v>52</v>
      </c>
      <c r="C22" s="145"/>
      <c r="D22" s="2">
        <v>85</v>
      </c>
      <c r="E22" s="2">
        <v>21</v>
      </c>
      <c r="F22" s="64">
        <f t="shared" si="0"/>
        <v>0.24705882352941178</v>
      </c>
      <c r="G22" s="2"/>
      <c r="H22" s="150"/>
      <c r="I22" s="155"/>
      <c r="J22" s="158"/>
    </row>
    <row r="23" spans="1:21" x14ac:dyDescent="0.25">
      <c r="B23" s="9" t="s">
        <v>54</v>
      </c>
      <c r="C23" s="145"/>
      <c r="D23" s="2">
        <v>123</v>
      </c>
      <c r="E23" s="2">
        <v>21</v>
      </c>
      <c r="F23" s="64">
        <f t="shared" si="0"/>
        <v>0.17073170731707318</v>
      </c>
      <c r="G23" s="2"/>
      <c r="H23" s="151"/>
      <c r="I23" s="155"/>
      <c r="J23" s="158"/>
    </row>
    <row r="24" spans="1:21" x14ac:dyDescent="0.25">
      <c r="B24" s="12" t="s">
        <v>50</v>
      </c>
      <c r="C24" s="145" t="s">
        <v>44</v>
      </c>
      <c r="D24" s="2">
        <v>41</v>
      </c>
      <c r="E24" s="2">
        <v>9</v>
      </c>
      <c r="F24" s="64">
        <f t="shared" si="0"/>
        <v>0.21951219512195122</v>
      </c>
      <c r="G24" s="65">
        <f>F24-F20</f>
        <v>2.1208907741251393E-3</v>
      </c>
      <c r="H24" s="149">
        <f>SUM(D24:D27)</f>
        <v>301</v>
      </c>
      <c r="I24" s="155">
        <f>SUM(E24:E27)</f>
        <v>97</v>
      </c>
      <c r="J24" s="156">
        <f>AVERAGE(F24:F28)</f>
        <v>0.34358663564172642</v>
      </c>
    </row>
    <row r="25" spans="1:21" x14ac:dyDescent="0.25">
      <c r="B25" s="12" t="s">
        <v>51</v>
      </c>
      <c r="C25" s="145"/>
      <c r="D25" s="2">
        <v>110</v>
      </c>
      <c r="E25" s="2">
        <v>36</v>
      </c>
      <c r="F25" s="64">
        <f t="shared" si="0"/>
        <v>0.32727272727272727</v>
      </c>
      <c r="G25" s="65">
        <f>F25-F21</f>
        <v>-8.1309994353472859E-3</v>
      </c>
      <c r="H25" s="150"/>
      <c r="I25" s="155"/>
      <c r="J25" s="155"/>
    </row>
    <row r="26" spans="1:21" x14ac:dyDescent="0.25">
      <c r="B26" s="12" t="s">
        <v>52</v>
      </c>
      <c r="C26" s="145"/>
      <c r="D26" s="2">
        <v>64</v>
      </c>
      <c r="E26" s="2">
        <v>37</v>
      </c>
      <c r="F26" s="64">
        <f t="shared" si="0"/>
        <v>0.578125</v>
      </c>
      <c r="G26" s="65">
        <f>F26-F22</f>
        <v>0.33106617647058822</v>
      </c>
      <c r="H26" s="150"/>
      <c r="I26" s="155"/>
      <c r="J26" s="155"/>
    </row>
    <row r="27" spans="1:21" x14ac:dyDescent="0.25">
      <c r="B27" s="9" t="s">
        <v>54</v>
      </c>
      <c r="C27" s="145"/>
      <c r="D27" s="2">
        <v>86</v>
      </c>
      <c r="E27" s="2">
        <v>15</v>
      </c>
      <c r="F27" s="64">
        <f t="shared" si="0"/>
        <v>0.1744186046511628</v>
      </c>
      <c r="G27" s="65">
        <f>F27-F23</f>
        <v>3.6868973340896116E-3</v>
      </c>
      <c r="H27" s="151"/>
      <c r="I27" s="155"/>
      <c r="J27" s="155"/>
    </row>
    <row r="28" spans="1:21" x14ac:dyDescent="0.25">
      <c r="B28" s="12" t="s">
        <v>50</v>
      </c>
      <c r="C28" s="145" t="s">
        <v>46</v>
      </c>
      <c r="D28" s="2">
        <v>43</v>
      </c>
      <c r="E28" s="2">
        <v>18</v>
      </c>
      <c r="F28" s="64">
        <f t="shared" si="0"/>
        <v>0.41860465116279072</v>
      </c>
      <c r="G28" s="65">
        <f>F28-F24</f>
        <v>0.1990924560408395</v>
      </c>
      <c r="H28" s="149">
        <f>SUM(D28:D31)</f>
        <v>256</v>
      </c>
      <c r="I28" s="155">
        <f>SUM(E28:E31)</f>
        <v>89</v>
      </c>
      <c r="J28" s="155"/>
    </row>
    <row r="29" spans="1:21" x14ac:dyDescent="0.25">
      <c r="B29" s="12" t="s">
        <v>51</v>
      </c>
      <c r="C29" s="145"/>
      <c r="D29" s="2">
        <v>97</v>
      </c>
      <c r="E29" s="2">
        <v>31</v>
      </c>
      <c r="F29" s="64">
        <f t="shared" si="0"/>
        <v>0.31958762886597936</v>
      </c>
      <c r="G29" s="65">
        <f t="shared" ref="G29:G52" si="1">F29-F25</f>
        <v>-7.6850984067479144E-3</v>
      </c>
      <c r="H29" s="150"/>
      <c r="I29" s="155"/>
      <c r="J29" s="156">
        <f>AVERAGE(F29:F33)</f>
        <v>0.30465891058031408</v>
      </c>
    </row>
    <row r="30" spans="1:21" x14ac:dyDescent="0.25">
      <c r="B30" s="12" t="s">
        <v>52</v>
      </c>
      <c r="C30" s="145"/>
      <c r="D30" s="2">
        <v>63</v>
      </c>
      <c r="E30" s="2">
        <v>29</v>
      </c>
      <c r="F30" s="64">
        <f t="shared" si="0"/>
        <v>0.46031746031746029</v>
      </c>
      <c r="G30" s="65">
        <f t="shared" si="1"/>
        <v>-0.11780753968253971</v>
      </c>
      <c r="H30" s="150"/>
      <c r="I30" s="155"/>
      <c r="J30" s="155"/>
    </row>
    <row r="31" spans="1:21" x14ac:dyDescent="0.25">
      <c r="B31" s="9" t="s">
        <v>54</v>
      </c>
      <c r="C31" s="145"/>
      <c r="D31" s="2">
        <v>53</v>
      </c>
      <c r="E31" s="2">
        <v>11</v>
      </c>
      <c r="F31" s="64">
        <f t="shared" ref="F31:F47" si="2">E31/D31*100%</f>
        <v>0.20754716981132076</v>
      </c>
      <c r="G31" s="65">
        <f t="shared" si="1"/>
        <v>3.3128565160157969E-2</v>
      </c>
      <c r="H31" s="151"/>
      <c r="I31" s="155"/>
      <c r="J31" s="155"/>
    </row>
    <row r="32" spans="1:21" x14ac:dyDescent="0.25">
      <c r="B32" s="12" t="s">
        <v>50</v>
      </c>
      <c r="C32" s="145" t="s">
        <v>47</v>
      </c>
      <c r="D32" s="2">
        <v>72</v>
      </c>
      <c r="E32" s="2">
        <v>20</v>
      </c>
      <c r="F32" s="64">
        <f t="shared" si="2"/>
        <v>0.27777777777777779</v>
      </c>
      <c r="G32" s="65">
        <f t="shared" si="1"/>
        <v>-0.14082687338501293</v>
      </c>
      <c r="H32" s="149">
        <f>SUM(D32:D35)</f>
        <v>366</v>
      </c>
      <c r="I32" s="155">
        <f>SUM(E32:E35)</f>
        <v>111</v>
      </c>
      <c r="J32" s="155"/>
    </row>
    <row r="33" spans="2:10" x14ac:dyDescent="0.25">
      <c r="B33" s="12" t="s">
        <v>51</v>
      </c>
      <c r="C33" s="145"/>
      <c r="D33" s="2">
        <v>124</v>
      </c>
      <c r="E33" s="2">
        <v>32</v>
      </c>
      <c r="F33" s="64">
        <f t="shared" si="2"/>
        <v>0.25806451612903225</v>
      </c>
      <c r="G33" s="65">
        <f t="shared" si="1"/>
        <v>-6.1523112736947105E-2</v>
      </c>
      <c r="H33" s="150"/>
      <c r="I33" s="155"/>
      <c r="J33" s="155"/>
    </row>
    <row r="34" spans="2:10" x14ac:dyDescent="0.25">
      <c r="B34" s="12" t="s">
        <v>52</v>
      </c>
      <c r="C34" s="145"/>
      <c r="D34" s="2">
        <v>91</v>
      </c>
      <c r="E34" s="2">
        <v>34</v>
      </c>
      <c r="F34" s="64">
        <f t="shared" si="2"/>
        <v>0.37362637362637363</v>
      </c>
      <c r="G34" s="65">
        <f t="shared" si="1"/>
        <v>-8.6691086691086661E-2</v>
      </c>
      <c r="H34" s="150"/>
      <c r="I34" s="155"/>
      <c r="J34" s="156">
        <f>AVERAGE(F34:F38)</f>
        <v>0.36427124022060731</v>
      </c>
    </row>
    <row r="35" spans="2:10" x14ac:dyDescent="0.25">
      <c r="B35" s="9" t="s">
        <v>54</v>
      </c>
      <c r="C35" s="145"/>
      <c r="D35" s="2">
        <v>79</v>
      </c>
      <c r="E35" s="2">
        <v>25</v>
      </c>
      <c r="F35" s="64">
        <f t="shared" si="2"/>
        <v>0.31645569620253167</v>
      </c>
      <c r="G35" s="65">
        <f t="shared" si="1"/>
        <v>0.1089085263912109</v>
      </c>
      <c r="H35" s="151"/>
      <c r="I35" s="155"/>
      <c r="J35" s="155"/>
    </row>
    <row r="36" spans="2:10" x14ac:dyDescent="0.25">
      <c r="B36" s="12" t="s">
        <v>50</v>
      </c>
      <c r="C36" s="145" t="s">
        <v>48</v>
      </c>
      <c r="D36" s="2">
        <v>37</v>
      </c>
      <c r="E36" s="2">
        <v>9</v>
      </c>
      <c r="F36" s="64">
        <f t="shared" si="2"/>
        <v>0.24324324324324326</v>
      </c>
      <c r="G36" s="65">
        <f t="shared" si="1"/>
        <v>-3.4534534534534533E-2</v>
      </c>
      <c r="H36" s="149">
        <f>SUM(D36:D39)</f>
        <v>198</v>
      </c>
      <c r="I36" s="155">
        <f>SUM(E36:E39)</f>
        <v>68</v>
      </c>
      <c r="J36" s="155"/>
    </row>
    <row r="37" spans="2:10" x14ac:dyDescent="0.25">
      <c r="B37" s="12" t="s">
        <v>51</v>
      </c>
      <c r="C37" s="145"/>
      <c r="D37" s="2">
        <v>84</v>
      </c>
      <c r="E37" s="2">
        <v>36</v>
      </c>
      <c r="F37" s="64">
        <f t="shared" si="2"/>
        <v>0.42857142857142855</v>
      </c>
      <c r="G37" s="65">
        <f t="shared" si="1"/>
        <v>0.1705069124423963</v>
      </c>
      <c r="H37" s="150"/>
      <c r="I37" s="155"/>
      <c r="J37" s="155"/>
    </row>
    <row r="38" spans="2:10" x14ac:dyDescent="0.25">
      <c r="B38" s="12" t="s">
        <v>52</v>
      </c>
      <c r="C38" s="145"/>
      <c r="D38" s="2">
        <v>37</v>
      </c>
      <c r="E38" s="2">
        <v>17</v>
      </c>
      <c r="F38" s="64">
        <f t="shared" si="2"/>
        <v>0.45945945945945948</v>
      </c>
      <c r="G38" s="65">
        <f t="shared" si="1"/>
        <v>8.5833085833085854E-2</v>
      </c>
      <c r="H38" s="150"/>
      <c r="I38" s="155"/>
      <c r="J38" s="155"/>
    </row>
    <row r="39" spans="2:10" x14ac:dyDescent="0.25">
      <c r="B39" s="9" t="s">
        <v>54</v>
      </c>
      <c r="C39" s="145"/>
      <c r="D39" s="2">
        <v>40</v>
      </c>
      <c r="E39" s="2">
        <v>6</v>
      </c>
      <c r="F39" s="64">
        <f t="shared" si="2"/>
        <v>0.15</v>
      </c>
      <c r="G39" s="65">
        <f t="shared" si="1"/>
        <v>-0.16645569620253167</v>
      </c>
      <c r="H39" s="151"/>
      <c r="I39" s="155"/>
      <c r="J39" s="156">
        <f>AVERAGE(F39:F43)</f>
        <v>0.3447119547119547</v>
      </c>
    </row>
    <row r="40" spans="2:10" x14ac:dyDescent="0.25">
      <c r="B40" s="12" t="s">
        <v>50</v>
      </c>
      <c r="C40" s="145" t="s">
        <v>82</v>
      </c>
      <c r="D40" s="2">
        <v>56</v>
      </c>
      <c r="E40" s="2">
        <v>24</v>
      </c>
      <c r="F40" s="64">
        <f t="shared" si="2"/>
        <v>0.42857142857142855</v>
      </c>
      <c r="G40" s="65">
        <f t="shared" si="1"/>
        <v>0.18532818532818529</v>
      </c>
      <c r="H40" s="149">
        <f>SUM(D40:D43)</f>
        <v>256</v>
      </c>
      <c r="I40" s="155">
        <f>SUM(E40:E43)</f>
        <v>102</v>
      </c>
      <c r="J40" s="155"/>
    </row>
    <row r="41" spans="2:10" x14ac:dyDescent="0.25">
      <c r="B41" s="12" t="s">
        <v>51</v>
      </c>
      <c r="C41" s="145"/>
      <c r="D41" s="2">
        <v>88</v>
      </c>
      <c r="E41" s="2">
        <v>36</v>
      </c>
      <c r="F41" s="64">
        <f t="shared" si="2"/>
        <v>0.40909090909090912</v>
      </c>
      <c r="G41" s="65">
        <f t="shared" si="1"/>
        <v>-1.9480519480519431E-2</v>
      </c>
      <c r="H41" s="150"/>
      <c r="I41" s="155"/>
      <c r="J41" s="155"/>
    </row>
    <row r="42" spans="2:10" x14ac:dyDescent="0.25">
      <c r="B42" s="12" t="s">
        <v>52</v>
      </c>
      <c r="C42" s="145"/>
      <c r="D42" s="2">
        <v>60</v>
      </c>
      <c r="E42" s="2">
        <v>28</v>
      </c>
      <c r="F42" s="64">
        <f t="shared" si="2"/>
        <v>0.46666666666666667</v>
      </c>
      <c r="G42" s="65">
        <f t="shared" si="1"/>
        <v>7.2072072072071891E-3</v>
      </c>
      <c r="H42" s="150"/>
      <c r="I42" s="155"/>
      <c r="J42" s="155"/>
    </row>
    <row r="43" spans="2:10" x14ac:dyDescent="0.25">
      <c r="B43" s="9" t="s">
        <v>54</v>
      </c>
      <c r="C43" s="145"/>
      <c r="D43" s="2">
        <v>52</v>
      </c>
      <c r="E43" s="2">
        <v>14</v>
      </c>
      <c r="F43" s="64">
        <f t="shared" si="2"/>
        <v>0.26923076923076922</v>
      </c>
      <c r="G43" s="65">
        <f t="shared" si="1"/>
        <v>0.11923076923076922</v>
      </c>
      <c r="H43" s="151"/>
      <c r="I43" s="155"/>
      <c r="J43" s="155"/>
    </row>
    <row r="44" spans="2:10" x14ac:dyDescent="0.25">
      <c r="B44" s="12" t="s">
        <v>50</v>
      </c>
      <c r="C44" s="145" t="s">
        <v>56</v>
      </c>
      <c r="D44" s="2">
        <v>42</v>
      </c>
      <c r="E44" s="2">
        <v>16</v>
      </c>
      <c r="F44" s="64">
        <f t="shared" si="2"/>
        <v>0.38095238095238093</v>
      </c>
      <c r="G44" s="65">
        <f t="shared" si="1"/>
        <v>-4.7619047619047616E-2</v>
      </c>
      <c r="H44" s="152">
        <f>SUM(D44:D48)</f>
        <v>364</v>
      </c>
      <c r="I44" s="155">
        <f>SUM(E44:E48)</f>
        <v>92</v>
      </c>
      <c r="J44" s="156">
        <f>AVERAGE(F44:F48)</f>
        <v>0.2665414780732927</v>
      </c>
    </row>
    <row r="45" spans="2:10" x14ac:dyDescent="0.25">
      <c r="B45" s="12" t="s">
        <v>51</v>
      </c>
      <c r="C45" s="145"/>
      <c r="D45" s="2">
        <v>67</v>
      </c>
      <c r="E45" s="2">
        <v>16</v>
      </c>
      <c r="F45" s="64">
        <f t="shared" si="2"/>
        <v>0.23880597014925373</v>
      </c>
      <c r="G45" s="65">
        <f t="shared" si="1"/>
        <v>-0.17028493894165539</v>
      </c>
      <c r="H45" s="153"/>
      <c r="I45" s="155"/>
      <c r="J45" s="155"/>
    </row>
    <row r="46" spans="2:10" x14ac:dyDescent="0.25">
      <c r="B46" s="12" t="s">
        <v>52</v>
      </c>
      <c r="C46" s="145"/>
      <c r="D46" s="2">
        <v>95</v>
      </c>
      <c r="E46" s="2">
        <v>24</v>
      </c>
      <c r="F46" s="64">
        <f t="shared" si="2"/>
        <v>0.25263157894736843</v>
      </c>
      <c r="G46" s="65">
        <f t="shared" si="1"/>
        <v>-0.21403508771929824</v>
      </c>
      <c r="H46" s="153"/>
      <c r="I46" s="155"/>
      <c r="J46" s="155"/>
    </row>
    <row r="47" spans="2:10" x14ac:dyDescent="0.25">
      <c r="B47" s="12" t="s">
        <v>55</v>
      </c>
      <c r="C47" s="145"/>
      <c r="D47" s="2">
        <v>70</v>
      </c>
      <c r="E47" s="2">
        <v>19</v>
      </c>
      <c r="F47" s="64">
        <f t="shared" si="2"/>
        <v>0.27142857142857141</v>
      </c>
      <c r="G47" s="65">
        <f t="shared" si="1"/>
        <v>2.19780219780219E-3</v>
      </c>
      <c r="H47" s="153"/>
      <c r="I47" s="155"/>
      <c r="J47" s="155"/>
    </row>
    <row r="48" spans="2:10" x14ac:dyDescent="0.25">
      <c r="B48" s="9" t="s">
        <v>54</v>
      </c>
      <c r="C48" s="145"/>
      <c r="D48" s="2">
        <v>90</v>
      </c>
      <c r="E48" s="2">
        <v>17</v>
      </c>
      <c r="F48" s="64">
        <f t="shared" ref="F48:F53" si="3">E48/D48*100%</f>
        <v>0.18888888888888888</v>
      </c>
      <c r="G48" s="65">
        <f t="shared" si="1"/>
        <v>-0.19206349206349205</v>
      </c>
      <c r="H48" s="154"/>
      <c r="I48" s="155"/>
      <c r="J48" s="155"/>
    </row>
    <row r="49" spans="2:13" x14ac:dyDescent="0.25">
      <c r="B49" s="12" t="s">
        <v>50</v>
      </c>
      <c r="C49" s="145" t="s">
        <v>83</v>
      </c>
      <c r="D49" s="2">
        <v>46</v>
      </c>
      <c r="E49" s="2">
        <v>4</v>
      </c>
      <c r="F49" s="64">
        <f t="shared" si="3"/>
        <v>8.6956521739130432E-2</v>
      </c>
      <c r="G49" s="65">
        <f t="shared" si="1"/>
        <v>-0.15184944841012329</v>
      </c>
      <c r="H49" s="152">
        <f>SUM(D49:D53)</f>
        <v>411</v>
      </c>
      <c r="I49" s="155">
        <f>SUM(E49:E53)</f>
        <v>80</v>
      </c>
      <c r="J49" s="156">
        <f>AVERAGE(F49:F53)</f>
        <v>0.20139817085494299</v>
      </c>
    </row>
    <row r="50" spans="2:13" x14ac:dyDescent="0.25">
      <c r="B50" s="12" t="s">
        <v>51</v>
      </c>
      <c r="C50" s="145"/>
      <c r="D50" s="2">
        <v>149</v>
      </c>
      <c r="E50" s="2">
        <v>18</v>
      </c>
      <c r="F50" s="64">
        <f t="shared" si="3"/>
        <v>0.12080536912751678</v>
      </c>
      <c r="G50" s="65">
        <f t="shared" si="1"/>
        <v>-0.13182620981985166</v>
      </c>
      <c r="H50" s="153"/>
      <c r="I50" s="155"/>
      <c r="J50" s="155"/>
    </row>
    <row r="51" spans="2:13" x14ac:dyDescent="0.25">
      <c r="B51" s="12" t="s">
        <v>52</v>
      </c>
      <c r="C51" s="145"/>
      <c r="D51" s="2">
        <v>72</v>
      </c>
      <c r="E51" s="2">
        <v>8</v>
      </c>
      <c r="F51" s="64">
        <f t="shared" si="3"/>
        <v>0.1111111111111111</v>
      </c>
      <c r="G51" s="65">
        <f t="shared" si="1"/>
        <v>-0.1603174603174603</v>
      </c>
      <c r="H51" s="153"/>
      <c r="I51" s="155"/>
      <c r="J51" s="155"/>
    </row>
    <row r="52" spans="2:13" x14ac:dyDescent="0.25">
      <c r="B52" s="12" t="s">
        <v>240</v>
      </c>
      <c r="C52" s="145"/>
      <c r="D52" s="2">
        <v>67</v>
      </c>
      <c r="E52" s="2">
        <v>20</v>
      </c>
      <c r="F52" s="64">
        <f t="shared" si="3"/>
        <v>0.29850746268656714</v>
      </c>
      <c r="G52" s="65">
        <f t="shared" si="1"/>
        <v>0.10961857379767825</v>
      </c>
      <c r="H52" s="153"/>
      <c r="I52" s="155"/>
      <c r="J52" s="155"/>
    </row>
    <row r="53" spans="2:13" x14ac:dyDescent="0.25">
      <c r="B53" s="9" t="s">
        <v>54</v>
      </c>
      <c r="C53" s="145"/>
      <c r="D53" s="2">
        <v>77</v>
      </c>
      <c r="E53" s="2">
        <v>30</v>
      </c>
      <c r="F53" s="64">
        <f t="shared" si="3"/>
        <v>0.38961038961038963</v>
      </c>
      <c r="G53" s="65">
        <f>F53-F48</f>
        <v>0.20072150072150075</v>
      </c>
      <c r="H53" s="154"/>
      <c r="I53" s="155"/>
      <c r="J53" s="155"/>
    </row>
    <row r="54" spans="2:13" x14ac:dyDescent="0.25">
      <c r="B54" s="12" t="s">
        <v>50</v>
      </c>
      <c r="C54" s="145" t="s">
        <v>72</v>
      </c>
      <c r="D54" s="2"/>
      <c r="E54" s="2"/>
      <c r="F54" s="64"/>
      <c r="G54" s="2"/>
      <c r="H54" s="2"/>
      <c r="I54" s="2"/>
      <c r="J54" s="2"/>
    </row>
    <row r="55" spans="2:13" x14ac:dyDescent="0.25">
      <c r="B55" s="12" t="s">
        <v>51</v>
      </c>
      <c r="C55" s="145"/>
      <c r="D55" s="2"/>
      <c r="E55" s="2"/>
      <c r="F55" s="64"/>
      <c r="G55" s="2"/>
      <c r="H55" s="2"/>
      <c r="I55" s="2"/>
      <c r="J55" s="2"/>
    </row>
    <row r="56" spans="2:13" x14ac:dyDescent="0.25">
      <c r="B56" s="12" t="s">
        <v>52</v>
      </c>
      <c r="C56" s="145"/>
      <c r="D56" s="2"/>
      <c r="E56" s="2"/>
      <c r="F56" s="64"/>
      <c r="G56" s="2"/>
      <c r="H56" s="2"/>
      <c r="I56" s="2"/>
      <c r="J56" s="2"/>
    </row>
    <row r="57" spans="2:13" ht="30" x14ac:dyDescent="0.25">
      <c r="B57" s="9" t="s">
        <v>54</v>
      </c>
      <c r="C57" s="145"/>
      <c r="D57" s="2"/>
      <c r="E57" s="2"/>
      <c r="F57" s="64"/>
      <c r="G57" s="2"/>
      <c r="H57" s="2"/>
      <c r="I57" s="2"/>
      <c r="J57" s="125"/>
      <c r="M57" s="43" t="s">
        <v>87</v>
      </c>
    </row>
    <row r="58" spans="2:13" x14ac:dyDescent="0.25">
      <c r="B58" s="12" t="s">
        <v>50</v>
      </c>
      <c r="C58" s="145" t="s">
        <v>73</v>
      </c>
      <c r="D58" s="2"/>
      <c r="E58" s="2"/>
      <c r="F58" s="64"/>
      <c r="G58" s="2"/>
      <c r="H58" s="2"/>
      <c r="I58" s="2"/>
      <c r="J58" s="126"/>
      <c r="M58" s="57">
        <f>AVERAGE(J20:J69)</f>
        <v>0.29540211150834772</v>
      </c>
    </row>
    <row r="59" spans="2:13" x14ac:dyDescent="0.25">
      <c r="B59" s="12" t="s">
        <v>51</v>
      </c>
      <c r="C59" s="145"/>
      <c r="D59" s="2"/>
      <c r="E59" s="2"/>
      <c r="F59" s="64"/>
      <c r="G59" s="2"/>
      <c r="H59" s="2"/>
      <c r="I59" s="2"/>
      <c r="J59" s="2"/>
    </row>
    <row r="60" spans="2:13" x14ac:dyDescent="0.25">
      <c r="B60" s="12" t="s">
        <v>52</v>
      </c>
      <c r="C60" s="145"/>
      <c r="D60" s="2"/>
      <c r="E60" s="2"/>
      <c r="F60" s="64"/>
      <c r="G60" s="2"/>
      <c r="H60" s="2"/>
      <c r="I60" s="2"/>
      <c r="J60" s="2"/>
    </row>
    <row r="61" spans="2:13" x14ac:dyDescent="0.25">
      <c r="B61" s="9" t="s">
        <v>54</v>
      </c>
      <c r="C61" s="145"/>
      <c r="D61" s="2"/>
      <c r="E61" s="2"/>
      <c r="F61" s="64"/>
      <c r="G61" s="2"/>
      <c r="H61" s="2"/>
      <c r="I61" s="2"/>
      <c r="J61" s="2"/>
    </row>
    <row r="62" spans="2:13" x14ac:dyDescent="0.25">
      <c r="B62" s="12" t="s">
        <v>50</v>
      </c>
      <c r="C62" s="145" t="s">
        <v>84</v>
      </c>
      <c r="D62" s="2"/>
      <c r="E62" s="2"/>
      <c r="F62" s="64"/>
      <c r="G62" s="2"/>
      <c r="H62" s="2"/>
      <c r="I62" s="2"/>
      <c r="J62" s="2"/>
    </row>
    <row r="63" spans="2:13" x14ac:dyDescent="0.25">
      <c r="B63" s="12" t="s">
        <v>51</v>
      </c>
      <c r="C63" s="145"/>
      <c r="D63" s="2"/>
      <c r="E63" s="2"/>
      <c r="F63" s="64"/>
      <c r="G63" s="2"/>
      <c r="H63" s="2"/>
      <c r="I63" s="2"/>
      <c r="J63" s="2"/>
    </row>
    <row r="64" spans="2:13" x14ac:dyDescent="0.25">
      <c r="B64" s="12" t="s">
        <v>52</v>
      </c>
      <c r="C64" s="145"/>
      <c r="D64" s="2"/>
      <c r="E64" s="2"/>
      <c r="F64" s="64"/>
      <c r="G64" s="2"/>
      <c r="H64" s="2"/>
      <c r="I64" s="2"/>
      <c r="J64" s="2"/>
    </row>
    <row r="65" spans="2:10" x14ac:dyDescent="0.25">
      <c r="B65" s="9" t="s">
        <v>54</v>
      </c>
      <c r="C65" s="145"/>
      <c r="D65" s="2"/>
      <c r="E65" s="2"/>
      <c r="F65" s="64"/>
      <c r="G65" s="2"/>
      <c r="H65" s="2"/>
      <c r="I65" s="2"/>
      <c r="J65" s="2"/>
    </row>
    <row r="66" spans="2:10" x14ac:dyDescent="0.25">
      <c r="B66" s="12" t="s">
        <v>50</v>
      </c>
      <c r="C66" s="145" t="s">
        <v>85</v>
      </c>
      <c r="D66" s="2"/>
      <c r="E66" s="2"/>
      <c r="F66" s="64"/>
      <c r="G66" s="2"/>
      <c r="H66" s="2"/>
      <c r="I66" s="2"/>
      <c r="J66" s="2"/>
    </row>
    <row r="67" spans="2:10" x14ac:dyDescent="0.25">
      <c r="B67" s="12" t="s">
        <v>51</v>
      </c>
      <c r="C67" s="145"/>
      <c r="D67" s="2"/>
      <c r="E67" s="2"/>
      <c r="F67" s="64"/>
      <c r="G67" s="2"/>
      <c r="H67" s="2"/>
      <c r="I67" s="2"/>
      <c r="J67" s="2"/>
    </row>
    <row r="68" spans="2:10" x14ac:dyDescent="0.25">
      <c r="B68" s="12" t="s">
        <v>52</v>
      </c>
      <c r="C68" s="145"/>
      <c r="D68" s="2"/>
      <c r="E68" s="2"/>
      <c r="F68" s="64"/>
      <c r="G68" s="2"/>
      <c r="H68" s="2"/>
      <c r="I68" s="2"/>
      <c r="J68" s="2"/>
    </row>
    <row r="69" spans="2:10" x14ac:dyDescent="0.25">
      <c r="B69" s="9" t="s">
        <v>54</v>
      </c>
      <c r="C69" s="145"/>
      <c r="D69" s="2"/>
      <c r="E69" s="2"/>
      <c r="F69" s="64"/>
      <c r="G69" s="2"/>
      <c r="H69" s="2"/>
      <c r="I69" s="2"/>
      <c r="J69" s="2"/>
    </row>
    <row r="70" spans="2:10" x14ac:dyDescent="0.25">
      <c r="B70" s="67" t="s">
        <v>88</v>
      </c>
      <c r="C70" s="2"/>
      <c r="D70" s="69">
        <f>SUM(D20:D69)</f>
        <v>2590</v>
      </c>
      <c r="E70" s="2"/>
      <c r="F70" s="66"/>
    </row>
    <row r="71" spans="2:10" ht="30" x14ac:dyDescent="0.25">
      <c r="B71" s="68" t="s">
        <v>89</v>
      </c>
      <c r="C71" s="2"/>
      <c r="D71" s="2"/>
      <c r="E71" s="69">
        <f>SUM(E20:E69)</f>
        <v>750</v>
      </c>
    </row>
    <row r="72" spans="2:10" x14ac:dyDescent="0.25">
      <c r="B72" s="67" t="s">
        <v>90</v>
      </c>
      <c r="C72" s="2"/>
      <c r="D72" s="2"/>
      <c r="E72" s="2"/>
    </row>
    <row r="73" spans="2:10" x14ac:dyDescent="0.25">
      <c r="B73" s="67" t="s">
        <v>91</v>
      </c>
      <c r="C73" s="2"/>
      <c r="D73" s="2"/>
      <c r="E73" s="2"/>
      <c r="F73" s="70">
        <f>D70-E71-E72</f>
        <v>1840</v>
      </c>
    </row>
    <row r="74" spans="2:10" ht="30" x14ac:dyDescent="0.25">
      <c r="B74" s="68" t="s">
        <v>92</v>
      </c>
      <c r="C74" s="71">
        <f>AVERAGE(H20:H53)</f>
        <v>323.75</v>
      </c>
      <c r="D74" s="2"/>
      <c r="E74" s="2"/>
    </row>
    <row r="75" spans="2:10" ht="30" x14ac:dyDescent="0.25">
      <c r="B75" s="68" t="s">
        <v>93</v>
      </c>
      <c r="C75" s="71">
        <f>AVERAGE(I20:I69)</f>
        <v>93.75</v>
      </c>
      <c r="D75" s="2"/>
      <c r="E75" s="2"/>
    </row>
    <row r="84" ht="272.25" customHeight="1" x14ac:dyDescent="0.25"/>
    <row r="91" ht="187.5" customHeight="1" x14ac:dyDescent="0.25"/>
  </sheetData>
  <mergeCells count="36">
    <mergeCell ref="C8:U8"/>
    <mergeCell ref="C20:C23"/>
    <mergeCell ref="C24:C27"/>
    <mergeCell ref="C28:C31"/>
    <mergeCell ref="C32:C35"/>
    <mergeCell ref="I20:I23"/>
    <mergeCell ref="I24:I27"/>
    <mergeCell ref="I28:I31"/>
    <mergeCell ref="I32:I35"/>
    <mergeCell ref="H20:H23"/>
    <mergeCell ref="H24:H27"/>
    <mergeCell ref="H28:H31"/>
    <mergeCell ref="J20:J23"/>
    <mergeCell ref="C66:C69"/>
    <mergeCell ref="C40:C43"/>
    <mergeCell ref="C44:C48"/>
    <mergeCell ref="C49:C53"/>
    <mergeCell ref="C54:C57"/>
    <mergeCell ref="C58:C61"/>
    <mergeCell ref="C62:C65"/>
    <mergeCell ref="I40:I43"/>
    <mergeCell ref="I44:I48"/>
    <mergeCell ref="C36:C39"/>
    <mergeCell ref="I36:I39"/>
    <mergeCell ref="I49:I53"/>
    <mergeCell ref="J49:J53"/>
    <mergeCell ref="J24:J28"/>
    <mergeCell ref="J29:J33"/>
    <mergeCell ref="J34:J38"/>
    <mergeCell ref="J39:J43"/>
    <mergeCell ref="J44:J48"/>
    <mergeCell ref="H32:H35"/>
    <mergeCell ref="H36:H39"/>
    <mergeCell ref="H40:H43"/>
    <mergeCell ref="H44:H48"/>
    <mergeCell ref="H49:H53"/>
  </mergeCells>
  <pageMargins left="0.75" right="0.75" top="1" bottom="1" header="0.5" footer="0.5"/>
  <pageSetup paperSize="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2500-0F79-4848-AEA3-2C925BB769BD}">
  <dimension ref="A2:K86"/>
  <sheetViews>
    <sheetView topLeftCell="A35" workbookViewId="0">
      <selection activeCell="F92" sqref="F92"/>
    </sheetView>
  </sheetViews>
  <sheetFormatPr defaultRowHeight="15" x14ac:dyDescent="0.25"/>
  <cols>
    <col min="2" max="2" width="20.85546875" customWidth="1"/>
    <col min="3" max="3" width="27.85546875" customWidth="1"/>
    <col min="4" max="4" width="14.140625" customWidth="1"/>
    <col min="5" max="5" width="32.140625" customWidth="1"/>
    <col min="6" max="6" width="25.42578125" customWidth="1"/>
    <col min="7" max="7" width="21" customWidth="1"/>
    <col min="8" max="8" width="8.85546875" customWidth="1"/>
    <col min="9" max="9" width="26.28515625" customWidth="1"/>
    <col min="10" max="10" width="39" customWidth="1"/>
    <col min="11" max="11" width="27.28515625" customWidth="1"/>
  </cols>
  <sheetData>
    <row r="2" spans="2:6" ht="45" x14ac:dyDescent="0.25">
      <c r="B2" s="81" t="s">
        <v>94</v>
      </c>
      <c r="C2" s="82">
        <v>0.253</v>
      </c>
      <c r="D2" s="83" t="s">
        <v>56</v>
      </c>
      <c r="E2" s="98" t="s">
        <v>116</v>
      </c>
      <c r="F2" s="107" t="s">
        <v>139</v>
      </c>
    </row>
    <row r="3" spans="2:6" ht="30" customHeight="1" x14ac:dyDescent="0.25">
      <c r="B3" s="85"/>
      <c r="C3" s="86" t="s">
        <v>105</v>
      </c>
      <c r="D3" s="87" t="s">
        <v>110</v>
      </c>
      <c r="E3" s="88" t="s">
        <v>107</v>
      </c>
      <c r="F3" s="88" t="s">
        <v>109</v>
      </c>
    </row>
    <row r="4" spans="2:6" ht="30" customHeight="1" x14ac:dyDescent="0.25">
      <c r="B4" s="89"/>
      <c r="C4" s="90" t="s">
        <v>95</v>
      </c>
      <c r="D4" s="89">
        <v>22</v>
      </c>
      <c r="E4" s="89"/>
      <c r="F4" s="89"/>
    </row>
    <row r="5" spans="2:6" ht="30" customHeight="1" x14ac:dyDescent="0.25">
      <c r="B5" s="89"/>
      <c r="C5" s="90" t="s">
        <v>96</v>
      </c>
      <c r="D5" s="89">
        <v>23</v>
      </c>
      <c r="E5" s="89"/>
      <c r="F5" s="89"/>
    </row>
    <row r="6" spans="2:6" ht="30" customHeight="1" x14ac:dyDescent="0.25">
      <c r="B6" s="89"/>
      <c r="C6" s="90" t="s">
        <v>97</v>
      </c>
      <c r="D6" s="89">
        <v>2</v>
      </c>
      <c r="E6" s="89"/>
      <c r="F6" s="89"/>
    </row>
    <row r="7" spans="2:6" ht="30" customHeight="1" x14ac:dyDescent="0.25">
      <c r="B7" s="89"/>
      <c r="C7" s="90" t="s">
        <v>98</v>
      </c>
      <c r="D7" s="89">
        <v>1</v>
      </c>
      <c r="E7" s="89"/>
      <c r="F7" s="89"/>
    </row>
    <row r="8" spans="2:6" ht="57" customHeight="1" x14ac:dyDescent="0.25">
      <c r="B8" s="94"/>
      <c r="C8" s="95" t="s">
        <v>99</v>
      </c>
      <c r="D8" s="94">
        <v>46</v>
      </c>
      <c r="E8" s="96" t="s">
        <v>114</v>
      </c>
      <c r="F8" s="96" t="s">
        <v>111</v>
      </c>
    </row>
    <row r="9" spans="2:6" ht="30" customHeight="1" x14ac:dyDescent="0.25">
      <c r="B9" s="89"/>
      <c r="C9" s="91" t="s">
        <v>100</v>
      </c>
      <c r="D9" s="89">
        <v>5</v>
      </c>
      <c r="E9" s="89"/>
      <c r="F9" s="89"/>
    </row>
    <row r="10" spans="2:6" ht="30" customHeight="1" x14ac:dyDescent="0.25">
      <c r="B10" s="89"/>
      <c r="C10" s="91" t="s">
        <v>101</v>
      </c>
      <c r="D10" s="89">
        <v>7</v>
      </c>
      <c r="E10" s="89"/>
      <c r="F10" s="89"/>
    </row>
    <row r="11" spans="2:6" ht="30" customHeight="1" x14ac:dyDescent="0.25">
      <c r="B11" s="89"/>
      <c r="C11" s="91" t="s">
        <v>102</v>
      </c>
      <c r="D11" s="89">
        <v>11</v>
      </c>
      <c r="E11" s="89"/>
      <c r="F11" s="89"/>
    </row>
    <row r="12" spans="2:6" ht="30" customHeight="1" x14ac:dyDescent="0.25">
      <c r="B12" s="89"/>
      <c r="C12" s="122" t="s">
        <v>238</v>
      </c>
      <c r="D12" s="89">
        <v>1</v>
      </c>
      <c r="E12" s="89"/>
      <c r="F12" s="89"/>
    </row>
    <row r="13" spans="2:6" ht="30" customHeight="1" x14ac:dyDescent="0.25">
      <c r="B13" s="89"/>
      <c r="C13" s="91" t="s">
        <v>104</v>
      </c>
      <c r="D13" s="89">
        <v>3</v>
      </c>
      <c r="E13" s="89"/>
      <c r="F13" s="89"/>
    </row>
    <row r="14" spans="2:6" ht="30" customHeight="1" x14ac:dyDescent="0.25">
      <c r="B14" s="89"/>
      <c r="C14" s="91" t="s">
        <v>106</v>
      </c>
      <c r="D14" s="89">
        <v>5</v>
      </c>
      <c r="E14" s="89"/>
      <c r="F14" s="89"/>
    </row>
    <row r="15" spans="2:6" ht="84" customHeight="1" x14ac:dyDescent="0.25">
      <c r="B15" s="94"/>
      <c r="C15" s="97" t="s">
        <v>108</v>
      </c>
      <c r="D15" s="94">
        <v>35</v>
      </c>
      <c r="E15" s="96" t="s">
        <v>113</v>
      </c>
      <c r="F15" s="96" t="s">
        <v>112</v>
      </c>
    </row>
    <row r="18" spans="2:11" ht="30" x14ac:dyDescent="0.25">
      <c r="B18" s="81" t="s">
        <v>115</v>
      </c>
      <c r="C18" s="92">
        <v>0.39</v>
      </c>
      <c r="D18" s="93" t="s">
        <v>82</v>
      </c>
      <c r="E18" s="99" t="s">
        <v>117</v>
      </c>
      <c r="F18" s="84"/>
    </row>
    <row r="19" spans="2:11" x14ac:dyDescent="0.25">
      <c r="B19" s="85" t="s">
        <v>127</v>
      </c>
      <c r="C19" s="86" t="s">
        <v>105</v>
      </c>
      <c r="D19" s="87" t="s">
        <v>110</v>
      </c>
      <c r="E19" s="88" t="s">
        <v>118</v>
      </c>
      <c r="F19" s="88" t="s">
        <v>123</v>
      </c>
      <c r="G19" s="79" t="s">
        <v>130</v>
      </c>
      <c r="I19" s="79" t="s">
        <v>132</v>
      </c>
      <c r="J19" s="79" t="s">
        <v>133</v>
      </c>
      <c r="K19" s="105" t="s">
        <v>134</v>
      </c>
    </row>
    <row r="20" spans="2:11" x14ac:dyDescent="0.25">
      <c r="B20" s="89"/>
      <c r="C20" s="90" t="s">
        <v>95</v>
      </c>
      <c r="D20" s="89">
        <v>23</v>
      </c>
      <c r="E20" s="100">
        <v>304777</v>
      </c>
      <c r="F20" s="89"/>
      <c r="G20" s="159" t="s">
        <v>129</v>
      </c>
      <c r="H20" t="s">
        <v>137</v>
      </c>
      <c r="I20" s="2">
        <v>18</v>
      </c>
      <c r="J20" s="2">
        <v>14</v>
      </c>
      <c r="K20" s="2">
        <v>11</v>
      </c>
    </row>
    <row r="21" spans="2:11" ht="60" x14ac:dyDescent="0.25">
      <c r="B21" s="90" t="s">
        <v>131</v>
      </c>
      <c r="C21" s="101" t="s">
        <v>96</v>
      </c>
      <c r="D21" s="102">
        <v>43</v>
      </c>
      <c r="E21" s="103">
        <v>1067378</v>
      </c>
      <c r="F21" s="101" t="s">
        <v>126</v>
      </c>
      <c r="G21" s="160"/>
      <c r="H21" t="s">
        <v>135</v>
      </c>
      <c r="I21" s="106">
        <v>473114</v>
      </c>
      <c r="J21" s="106">
        <v>341620</v>
      </c>
      <c r="K21" s="106">
        <v>239394</v>
      </c>
    </row>
    <row r="22" spans="2:11" x14ac:dyDescent="0.25">
      <c r="B22" s="89"/>
      <c r="C22" s="90" t="s">
        <v>97</v>
      </c>
      <c r="D22" s="89">
        <v>1</v>
      </c>
      <c r="E22" s="100">
        <v>15334</v>
      </c>
      <c r="F22" s="89"/>
      <c r="G22" s="160"/>
      <c r="H22" t="s">
        <v>136</v>
      </c>
      <c r="I22" s="106">
        <v>26284</v>
      </c>
      <c r="J22" s="106">
        <v>24401</v>
      </c>
      <c r="K22" s="106">
        <v>21763</v>
      </c>
    </row>
    <row r="23" spans="2:11" x14ac:dyDescent="0.25">
      <c r="B23" s="89"/>
      <c r="C23" s="90" t="s">
        <v>119</v>
      </c>
      <c r="D23" s="89">
        <v>2</v>
      </c>
      <c r="E23" s="100">
        <v>10980</v>
      </c>
      <c r="F23" s="89"/>
      <c r="G23" s="160"/>
      <c r="I23" s="2"/>
      <c r="J23" s="2"/>
      <c r="K23" s="2"/>
    </row>
    <row r="24" spans="2:11" ht="30" x14ac:dyDescent="0.25">
      <c r="B24" s="89"/>
      <c r="C24" s="90" t="s">
        <v>98</v>
      </c>
      <c r="D24" s="89">
        <v>0</v>
      </c>
      <c r="E24" s="100"/>
      <c r="F24" s="89"/>
      <c r="G24" s="160"/>
    </row>
    <row r="25" spans="2:11" x14ac:dyDescent="0.25">
      <c r="B25" s="89"/>
      <c r="C25" s="90" t="s">
        <v>122</v>
      </c>
      <c r="D25" s="89">
        <v>5</v>
      </c>
      <c r="E25" s="100">
        <v>29700</v>
      </c>
      <c r="F25" s="89" t="s">
        <v>124</v>
      </c>
      <c r="G25" s="160"/>
    </row>
    <row r="26" spans="2:11" x14ac:dyDescent="0.25">
      <c r="B26" s="89"/>
      <c r="C26" s="90" t="s">
        <v>121</v>
      </c>
      <c r="D26" s="89">
        <v>4</v>
      </c>
      <c r="E26" s="100">
        <v>120124</v>
      </c>
      <c r="F26" s="89"/>
      <c r="G26" s="160"/>
    </row>
    <row r="27" spans="2:11" x14ac:dyDescent="0.25">
      <c r="B27" s="89"/>
      <c r="C27" s="90" t="s">
        <v>120</v>
      </c>
      <c r="D27" s="89">
        <v>5</v>
      </c>
      <c r="E27" s="100">
        <v>162800</v>
      </c>
      <c r="F27" s="89"/>
      <c r="G27" s="160"/>
    </row>
    <row r="28" spans="2:11" ht="30" x14ac:dyDescent="0.25">
      <c r="B28" s="89"/>
      <c r="C28" s="91" t="s">
        <v>99</v>
      </c>
      <c r="D28" s="89">
        <v>0</v>
      </c>
      <c r="E28" s="100"/>
      <c r="F28" s="90"/>
      <c r="G28" s="160"/>
    </row>
    <row r="29" spans="2:11" x14ac:dyDescent="0.25">
      <c r="B29" s="89"/>
      <c r="C29" s="91" t="s">
        <v>100</v>
      </c>
      <c r="D29" s="89">
        <v>3</v>
      </c>
      <c r="E29" s="100">
        <v>76600</v>
      </c>
      <c r="F29" s="89"/>
      <c r="G29" s="160"/>
    </row>
    <row r="30" spans="2:11" ht="90" x14ac:dyDescent="0.25">
      <c r="B30" s="90" t="s">
        <v>128</v>
      </c>
      <c r="C30" s="104" t="s">
        <v>101</v>
      </c>
      <c r="D30" s="102">
        <v>9</v>
      </c>
      <c r="E30" s="103">
        <v>1178520</v>
      </c>
      <c r="F30" s="101" t="s">
        <v>125</v>
      </c>
      <c r="G30" s="160"/>
    </row>
    <row r="31" spans="2:11" x14ac:dyDescent="0.25">
      <c r="B31" s="89"/>
      <c r="C31" s="91" t="s">
        <v>102</v>
      </c>
      <c r="D31" s="89">
        <v>5</v>
      </c>
      <c r="E31" s="100">
        <v>140800</v>
      </c>
      <c r="F31" s="89"/>
      <c r="G31" s="160"/>
    </row>
    <row r="32" spans="2:11" x14ac:dyDescent="0.25">
      <c r="B32" s="89"/>
      <c r="C32" s="91" t="s">
        <v>103</v>
      </c>
      <c r="D32" s="89">
        <v>0</v>
      </c>
      <c r="E32" s="89"/>
      <c r="F32" s="89"/>
      <c r="G32" s="160"/>
    </row>
    <row r="33" spans="1:11" x14ac:dyDescent="0.25">
      <c r="B33" s="89"/>
      <c r="C33" s="122" t="s">
        <v>239</v>
      </c>
      <c r="D33" s="89">
        <v>0</v>
      </c>
      <c r="E33" s="89"/>
      <c r="F33" s="89"/>
      <c r="G33" s="160"/>
    </row>
    <row r="34" spans="1:11" x14ac:dyDescent="0.25">
      <c r="B34" s="89"/>
      <c r="C34" s="91" t="s">
        <v>106</v>
      </c>
      <c r="D34" s="89">
        <v>0</v>
      </c>
      <c r="E34" s="89"/>
      <c r="F34" s="89"/>
      <c r="G34" s="160"/>
    </row>
    <row r="35" spans="1:11" ht="75" x14ac:dyDescent="0.25">
      <c r="B35" s="89"/>
      <c r="C35" s="85" t="s">
        <v>108</v>
      </c>
      <c r="D35" s="89">
        <v>0</v>
      </c>
      <c r="E35" s="90"/>
      <c r="F35" s="90"/>
      <c r="G35" s="161"/>
    </row>
    <row r="36" spans="1:11" x14ac:dyDescent="0.25">
      <c r="D36">
        <f>SUM(D20:D35)</f>
        <v>100</v>
      </c>
      <c r="E36" s="29">
        <f>SUM(E20:E35)</f>
        <v>3107013</v>
      </c>
    </row>
    <row r="38" spans="1:11" x14ac:dyDescent="0.25">
      <c r="A38" s="138">
        <v>46235</v>
      </c>
    </row>
    <row r="39" spans="1:11" x14ac:dyDescent="0.25">
      <c r="A39" s="7"/>
      <c r="B39" s="7"/>
      <c r="C39" s="7"/>
    </row>
    <row r="40" spans="1:11" ht="72" hidden="1" customHeight="1" x14ac:dyDescent="0.25">
      <c r="A40" s="110"/>
      <c r="B40" s="110"/>
      <c r="C40" s="111"/>
      <c r="E40" s="61" t="s">
        <v>144</v>
      </c>
      <c r="F40" s="110" t="s">
        <v>141</v>
      </c>
      <c r="G40" s="111" t="s">
        <v>142</v>
      </c>
      <c r="I40" s="61" t="s">
        <v>145</v>
      </c>
      <c r="J40" s="110" t="s">
        <v>141</v>
      </c>
      <c r="K40" s="111" t="s">
        <v>142</v>
      </c>
    </row>
    <row r="41" spans="1:11" ht="15" hidden="1" customHeight="1" thickBot="1" x14ac:dyDescent="0.3">
      <c r="B41" s="109"/>
      <c r="C41" s="109"/>
      <c r="F41" s="109">
        <v>46238.443055555559</v>
      </c>
      <c r="G41" s="109">
        <v>46238.5</v>
      </c>
      <c r="J41" s="109">
        <v>46239.54791666667</v>
      </c>
      <c r="K41" s="109">
        <v>46240.4</v>
      </c>
    </row>
    <row r="42" spans="1:11" ht="43.9" hidden="1" customHeight="1" thickBot="1" x14ac:dyDescent="0.3">
      <c r="B42" s="109"/>
      <c r="C42" s="109"/>
      <c r="F42" s="109">
        <v>46238.668055555558</v>
      </c>
      <c r="G42" s="109">
        <v>46238.672222222223</v>
      </c>
      <c r="J42" s="109">
        <v>46244.958333333336</v>
      </c>
      <c r="K42" s="109">
        <v>46245.509027777778</v>
      </c>
    </row>
    <row r="43" spans="1:11" ht="15" hidden="1" customHeight="1" thickBot="1" x14ac:dyDescent="0.3">
      <c r="B43" s="109"/>
      <c r="C43" s="109"/>
      <c r="F43" s="109">
        <v>46239.657638888886</v>
      </c>
      <c r="G43" s="109">
        <v>46239.658333333333</v>
      </c>
      <c r="J43" s="109">
        <v>46245.50277777778</v>
      </c>
      <c r="K43" s="109">
        <v>46245.54791666667</v>
      </c>
    </row>
    <row r="44" spans="1:11" ht="15" hidden="1" customHeight="1" thickBot="1" x14ac:dyDescent="0.3">
      <c r="B44" s="109"/>
      <c r="C44" s="109"/>
      <c r="F44" s="109">
        <v>46240.424305555556</v>
      </c>
      <c r="G44" s="109">
        <v>46240.50277777778</v>
      </c>
      <c r="J44" s="109">
        <v>46251.522916666669</v>
      </c>
      <c r="K44" s="109">
        <v>46251.690972222219</v>
      </c>
    </row>
    <row r="45" spans="1:11" ht="15" hidden="1" customHeight="1" thickBot="1" x14ac:dyDescent="0.3">
      <c r="B45" s="109"/>
      <c r="C45" s="109"/>
      <c r="F45" s="109">
        <v>46244.645138888889</v>
      </c>
      <c r="G45" s="109">
        <v>46244.658333333333</v>
      </c>
      <c r="J45" s="109">
        <v>46251.552083333336</v>
      </c>
      <c r="K45" s="112"/>
    </row>
    <row r="46" spans="1:11" ht="15" hidden="1" customHeight="1" thickBot="1" x14ac:dyDescent="0.3">
      <c r="B46" s="109"/>
      <c r="C46" s="109"/>
      <c r="F46" s="109">
        <v>46245.711111111108</v>
      </c>
      <c r="G46" s="109">
        <v>46245.730555555558</v>
      </c>
      <c r="J46" s="109">
        <v>46252.46875</v>
      </c>
      <c r="K46" s="109">
        <v>46252.592361111114</v>
      </c>
    </row>
    <row r="47" spans="1:11" ht="15" hidden="1" customHeight="1" thickBot="1" x14ac:dyDescent="0.3">
      <c r="B47" s="109"/>
      <c r="C47" s="109"/>
      <c r="F47" s="109">
        <v>46253.00277777778</v>
      </c>
      <c r="G47" s="109">
        <v>46253.690972222219</v>
      </c>
      <c r="J47" s="109">
        <v>46252.918749999997</v>
      </c>
      <c r="K47" s="109">
        <v>46255.70416666667</v>
      </c>
    </row>
    <row r="48" spans="1:11" ht="15" hidden="1" customHeight="1" thickBot="1" x14ac:dyDescent="0.3">
      <c r="B48" s="109"/>
      <c r="C48" s="109"/>
      <c r="F48" s="109">
        <v>46253.55972222222</v>
      </c>
      <c r="G48" s="109">
        <v>46253.570138888892</v>
      </c>
      <c r="J48" s="109">
        <v>46253.185416666667</v>
      </c>
      <c r="K48" s="109">
        <v>46254.695833333331</v>
      </c>
    </row>
    <row r="49" spans="1:11" ht="29.45" hidden="1" customHeight="1" thickBot="1" x14ac:dyDescent="0.3">
      <c r="B49" s="109"/>
      <c r="C49" s="109"/>
      <c r="F49" s="109">
        <v>46256.555555555555</v>
      </c>
      <c r="G49" s="109">
        <v>46258.413888888892</v>
      </c>
      <c r="J49" s="109">
        <v>46253.74722222222</v>
      </c>
      <c r="K49" s="109">
        <v>46255.716666666667</v>
      </c>
    </row>
    <row r="50" spans="1:11" ht="15" hidden="1" customHeight="1" thickBot="1" x14ac:dyDescent="0.3">
      <c r="F50" s="109">
        <v>46259.465277777781</v>
      </c>
      <c r="G50" s="109">
        <v>46259.479861111111</v>
      </c>
      <c r="J50" s="109">
        <v>46254.007638888892</v>
      </c>
      <c r="K50" s="109">
        <v>46258.711805555555</v>
      </c>
    </row>
    <row r="51" spans="1:11" ht="87" hidden="1" customHeight="1" thickBot="1" x14ac:dyDescent="0.3">
      <c r="F51" s="109">
        <v>46259.863888888889</v>
      </c>
      <c r="G51" s="109">
        <v>46260.640972222223</v>
      </c>
      <c r="J51" s="109">
        <v>46254.666666666664</v>
      </c>
      <c r="K51" s="109">
        <v>46258.713194444441</v>
      </c>
    </row>
    <row r="52" spans="1:11" ht="15" hidden="1" customHeight="1" thickBot="1" x14ac:dyDescent="0.3">
      <c r="F52" s="109">
        <v>46260.377083333333</v>
      </c>
      <c r="G52" s="109">
        <v>46260.37777777778</v>
      </c>
      <c r="J52" s="109">
        <v>46255.184027777781</v>
      </c>
      <c r="K52" s="109">
        <v>46259.589583333334</v>
      </c>
    </row>
    <row r="53" spans="1:11" ht="15" hidden="1" customHeight="1" thickBot="1" x14ac:dyDescent="0.3">
      <c r="J53" s="109">
        <v>46258.185416666667</v>
      </c>
      <c r="K53" s="109">
        <v>46258.622916666667</v>
      </c>
    </row>
    <row r="54" spans="1:11" ht="15" hidden="1" customHeight="1" thickBot="1" x14ac:dyDescent="0.3">
      <c r="J54" s="109">
        <v>46258.828472222223</v>
      </c>
      <c r="K54" s="109">
        <v>46259.558333333334</v>
      </c>
    </row>
    <row r="55" spans="1:11" ht="15" hidden="1" customHeight="1" thickBot="1" x14ac:dyDescent="0.3">
      <c r="J55" s="109">
        <v>46258.831944444442</v>
      </c>
      <c r="K55" s="112"/>
    </row>
    <row r="56" spans="1:11" ht="58.15" hidden="1" customHeight="1" thickBot="1" x14ac:dyDescent="0.3">
      <c r="J56" s="109">
        <v>46259.418749999997</v>
      </c>
      <c r="K56" s="109">
        <v>46259.443055555559</v>
      </c>
    </row>
    <row r="57" spans="1:11" ht="15.75" hidden="1" thickBot="1" x14ac:dyDescent="0.3">
      <c r="J57" s="113">
        <v>46259.800694444442</v>
      </c>
    </row>
    <row r="58" spans="1:11" hidden="1" x14ac:dyDescent="0.25"/>
    <row r="59" spans="1:11" ht="165.75" hidden="1" thickBot="1" x14ac:dyDescent="0.3">
      <c r="A59" s="108" t="s">
        <v>146</v>
      </c>
      <c r="B59" s="110" t="s">
        <v>141</v>
      </c>
      <c r="C59" s="111" t="s">
        <v>142</v>
      </c>
    </row>
    <row r="60" spans="1:11" ht="15.75" hidden="1" thickBot="1" x14ac:dyDescent="0.3">
      <c r="B60" s="109">
        <v>46241.326388888891</v>
      </c>
      <c r="C60" s="109">
        <v>46244.42291666667</v>
      </c>
    </row>
    <row r="61" spans="1:11" ht="15.75" hidden="1" thickBot="1" x14ac:dyDescent="0.3">
      <c r="B61" s="109">
        <v>46244.664583333331</v>
      </c>
      <c r="C61" s="109">
        <v>46244.665277777778</v>
      </c>
    </row>
    <row r="62" spans="1:11" ht="15.75" hidden="1" thickBot="1" x14ac:dyDescent="0.3">
      <c r="B62" s="109">
        <v>46251.581944444442</v>
      </c>
      <c r="C62" s="109">
        <v>46251.651388888888</v>
      </c>
    </row>
    <row r="63" spans="1:11" ht="15.75" hidden="1" thickBot="1" x14ac:dyDescent="0.3">
      <c r="B63" s="109">
        <v>46253.47152777778</v>
      </c>
      <c r="C63" s="109">
        <v>46255.450694444444</v>
      </c>
    </row>
    <row r="64" spans="1:11" ht="15.75" hidden="1" thickBot="1" x14ac:dyDescent="0.3">
      <c r="B64" s="109">
        <v>46253.682638888888</v>
      </c>
      <c r="C64" s="109">
        <v>46253.756249999999</v>
      </c>
    </row>
    <row r="65" spans="2:10" ht="15.75" hidden="1" thickBot="1" x14ac:dyDescent="0.3">
      <c r="B65" s="109">
        <v>46258.311111111114</v>
      </c>
      <c r="C65" s="109">
        <v>46259.440972222219</v>
      </c>
    </row>
    <row r="66" spans="2:10" hidden="1" x14ac:dyDescent="0.25"/>
    <row r="67" spans="2:10" ht="30" x14ac:dyDescent="0.25">
      <c r="B67" s="81" t="s">
        <v>94</v>
      </c>
      <c r="C67" s="82">
        <v>0.2</v>
      </c>
      <c r="D67" s="140" t="s">
        <v>71</v>
      </c>
      <c r="E67" s="141" t="s">
        <v>252</v>
      </c>
      <c r="F67" s="142" t="s">
        <v>253</v>
      </c>
      <c r="G67" t="s">
        <v>274</v>
      </c>
    </row>
    <row r="68" spans="2:10" x14ac:dyDescent="0.25">
      <c r="B68" s="85"/>
      <c r="C68" s="86" t="s">
        <v>105</v>
      </c>
      <c r="D68" s="87" t="s">
        <v>110</v>
      </c>
      <c r="E68" s="88" t="s">
        <v>107</v>
      </c>
      <c r="F68" s="88" t="s">
        <v>109</v>
      </c>
      <c r="I68" s="144" t="s">
        <v>254</v>
      </c>
      <c r="J68" t="s">
        <v>255</v>
      </c>
    </row>
    <row r="69" spans="2:10" x14ac:dyDescent="0.25">
      <c r="B69" s="89"/>
      <c r="C69" s="90" t="s">
        <v>95</v>
      </c>
      <c r="D69" s="89"/>
      <c r="E69" s="89"/>
      <c r="F69" s="89"/>
      <c r="I69" s="143" t="s">
        <v>256</v>
      </c>
      <c r="J69">
        <v>1</v>
      </c>
    </row>
    <row r="70" spans="2:10" x14ac:dyDescent="0.25">
      <c r="B70" s="89"/>
      <c r="C70" s="90" t="s">
        <v>96</v>
      </c>
      <c r="D70" s="89"/>
      <c r="E70" s="89"/>
      <c r="F70" s="89"/>
      <c r="I70" s="143" t="s">
        <v>257</v>
      </c>
      <c r="J70">
        <v>4</v>
      </c>
    </row>
    <row r="71" spans="2:10" x14ac:dyDescent="0.25">
      <c r="B71" s="89"/>
      <c r="C71" s="90" t="s">
        <v>97</v>
      </c>
      <c r="D71" s="89"/>
      <c r="E71" s="89"/>
      <c r="F71" s="89"/>
      <c r="I71" s="143" t="s">
        <v>258</v>
      </c>
      <c r="J71">
        <v>4</v>
      </c>
    </row>
    <row r="72" spans="2:10" ht="30" x14ac:dyDescent="0.25">
      <c r="B72" s="89"/>
      <c r="C72" s="90" t="s">
        <v>98</v>
      </c>
      <c r="D72" s="89"/>
      <c r="E72" s="89"/>
      <c r="F72" s="89"/>
      <c r="I72" s="143" t="s">
        <v>259</v>
      </c>
      <c r="J72">
        <v>127</v>
      </c>
    </row>
    <row r="73" spans="2:10" ht="30" x14ac:dyDescent="0.25">
      <c r="B73" s="193"/>
      <c r="C73" s="194" t="s">
        <v>99</v>
      </c>
      <c r="D73" s="193"/>
      <c r="E73" s="195"/>
      <c r="F73" s="195"/>
      <c r="I73" s="143" t="s">
        <v>260</v>
      </c>
      <c r="J73">
        <v>22</v>
      </c>
    </row>
    <row r="74" spans="2:10" x14ac:dyDescent="0.25">
      <c r="B74" s="89"/>
      <c r="C74" s="91" t="s">
        <v>100</v>
      </c>
      <c r="D74" s="89"/>
      <c r="E74" s="89"/>
      <c r="F74" s="89"/>
      <c r="I74" s="143" t="s">
        <v>261</v>
      </c>
      <c r="J74">
        <v>17</v>
      </c>
    </row>
    <row r="75" spans="2:10" x14ac:dyDescent="0.25">
      <c r="B75" s="89"/>
      <c r="C75" s="91" t="s">
        <v>101</v>
      </c>
      <c r="D75" s="89"/>
      <c r="E75" s="89"/>
      <c r="F75" s="89"/>
      <c r="I75" s="143" t="s">
        <v>262</v>
      </c>
      <c r="J75">
        <v>20</v>
      </c>
    </row>
    <row r="76" spans="2:10" x14ac:dyDescent="0.25">
      <c r="B76" s="89"/>
      <c r="C76" s="91" t="s">
        <v>102</v>
      </c>
      <c r="D76" s="89"/>
      <c r="E76" s="89"/>
      <c r="F76" s="89"/>
      <c r="I76" s="143" t="s">
        <v>263</v>
      </c>
      <c r="J76">
        <v>28</v>
      </c>
    </row>
    <row r="77" spans="2:10" ht="45" x14ac:dyDescent="0.25">
      <c r="B77" s="89"/>
      <c r="C77" s="122" t="s">
        <v>238</v>
      </c>
      <c r="D77" s="89"/>
      <c r="E77" s="89"/>
      <c r="F77" s="89"/>
      <c r="I77" s="143" t="s">
        <v>264</v>
      </c>
      <c r="J77">
        <v>2</v>
      </c>
    </row>
    <row r="78" spans="2:10" x14ac:dyDescent="0.25">
      <c r="B78" s="89"/>
      <c r="C78" s="91" t="s">
        <v>104</v>
      </c>
      <c r="D78" s="89"/>
      <c r="E78" s="89"/>
      <c r="F78" s="89"/>
      <c r="I78" s="143" t="s">
        <v>265</v>
      </c>
      <c r="J78">
        <v>2</v>
      </c>
    </row>
    <row r="79" spans="2:10" x14ac:dyDescent="0.25">
      <c r="B79" s="89"/>
      <c r="C79" s="91" t="s">
        <v>106</v>
      </c>
      <c r="D79" s="89"/>
      <c r="E79" s="89"/>
      <c r="F79" s="89"/>
      <c r="I79" s="143" t="s">
        <v>266</v>
      </c>
      <c r="J79">
        <v>4</v>
      </c>
    </row>
    <row r="80" spans="2:10" ht="49.5" customHeight="1" x14ac:dyDescent="0.25">
      <c r="B80" s="193"/>
      <c r="C80" s="196" t="s">
        <v>108</v>
      </c>
      <c r="D80" s="193"/>
      <c r="E80" s="195"/>
      <c r="F80" s="195"/>
      <c r="I80" s="143" t="s">
        <v>267</v>
      </c>
      <c r="J80">
        <v>3</v>
      </c>
    </row>
    <row r="81" spans="9:10" x14ac:dyDescent="0.25">
      <c r="I81" s="143" t="s">
        <v>268</v>
      </c>
      <c r="J81">
        <v>1</v>
      </c>
    </row>
    <row r="82" spans="9:10" x14ac:dyDescent="0.25">
      <c r="I82" s="143" t="s">
        <v>269</v>
      </c>
      <c r="J82">
        <v>1</v>
      </c>
    </row>
    <row r="83" spans="9:10" x14ac:dyDescent="0.25">
      <c r="I83" s="143" t="s">
        <v>270</v>
      </c>
    </row>
    <row r="84" spans="9:10" x14ac:dyDescent="0.25">
      <c r="I84" s="143" t="s">
        <v>271</v>
      </c>
      <c r="J84">
        <v>2</v>
      </c>
    </row>
    <row r="85" spans="9:10" x14ac:dyDescent="0.25">
      <c r="I85" s="143" t="s">
        <v>272</v>
      </c>
      <c r="J85">
        <v>5</v>
      </c>
    </row>
    <row r="86" spans="9:10" x14ac:dyDescent="0.25">
      <c r="I86" s="143" t="s">
        <v>273</v>
      </c>
      <c r="J86">
        <v>243</v>
      </c>
    </row>
  </sheetData>
  <mergeCells count="1">
    <mergeCell ref="G20:G35"/>
  </mergeCells>
  <pageMargins left="0.7" right="0.7" top="0.75" bottom="0.75" header="0.3" footer="0.3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1950-18FD-48D1-9761-E605B168CB62}">
  <dimension ref="A1:O99"/>
  <sheetViews>
    <sheetView topLeftCell="A73" workbookViewId="0">
      <selection activeCell="O89" sqref="O89"/>
    </sheetView>
  </sheetViews>
  <sheetFormatPr defaultRowHeight="15" x14ac:dyDescent="0.25"/>
  <cols>
    <col min="1" max="1" width="18.7109375" customWidth="1"/>
    <col min="2" max="2" width="19.85546875" customWidth="1"/>
    <col min="3" max="3" width="19.5703125" customWidth="1"/>
    <col min="4" max="4" width="106.28515625" hidden="1" customWidth="1"/>
    <col min="5" max="5" width="24.28515625" hidden="1" customWidth="1"/>
    <col min="6" max="6" width="0" hidden="1" customWidth="1"/>
    <col min="7" max="7" width="21.42578125" hidden="1" customWidth="1"/>
    <col min="8" max="8" width="14.5703125" customWidth="1"/>
    <col min="9" max="9" width="14.7109375" customWidth="1"/>
    <col min="10" max="10" width="15.7109375" customWidth="1"/>
    <col min="14" max="14" width="18.140625" customWidth="1"/>
    <col min="15" max="15" width="62.140625" customWidth="1"/>
  </cols>
  <sheetData>
    <row r="1" spans="1:11" x14ac:dyDescent="0.25">
      <c r="A1" s="138">
        <v>46235</v>
      </c>
    </row>
    <row r="2" spans="1:11" ht="36" customHeight="1" thickBot="1" x14ac:dyDescent="0.3">
      <c r="A2" s="7" t="s">
        <v>140</v>
      </c>
      <c r="B2" s="7"/>
      <c r="C2" s="7"/>
      <c r="D2" s="108" t="s">
        <v>165</v>
      </c>
    </row>
    <row r="3" spans="1:11" ht="30.75" thickBot="1" x14ac:dyDescent="0.3">
      <c r="A3" s="110" t="s">
        <v>143</v>
      </c>
      <c r="B3" s="110" t="s">
        <v>141</v>
      </c>
      <c r="C3" s="111" t="s">
        <v>142</v>
      </c>
      <c r="D3" s="114" t="s">
        <v>147</v>
      </c>
      <c r="E3" s="114" t="s">
        <v>148</v>
      </c>
      <c r="G3" s="114" t="s">
        <v>147</v>
      </c>
      <c r="H3" s="114" t="s">
        <v>209</v>
      </c>
      <c r="I3" s="114" t="s">
        <v>202</v>
      </c>
      <c r="J3" s="114" t="s">
        <v>203</v>
      </c>
    </row>
    <row r="4" spans="1:11" ht="15.75" thickBot="1" x14ac:dyDescent="0.3">
      <c r="B4" s="109">
        <v>46244.682638888888</v>
      </c>
      <c r="C4" s="109">
        <v>46245.474999999999</v>
      </c>
      <c r="D4" s="115" t="s">
        <v>149</v>
      </c>
      <c r="E4" s="115">
        <v>9</v>
      </c>
      <c r="G4" s="115" t="s">
        <v>184</v>
      </c>
      <c r="H4" s="115">
        <v>9</v>
      </c>
      <c r="I4" s="115">
        <v>12</v>
      </c>
      <c r="J4" s="115">
        <v>17</v>
      </c>
    </row>
    <row r="5" spans="1:11" ht="29.25" thickBot="1" x14ac:dyDescent="0.3">
      <c r="B5" s="109">
        <v>46246.861805555556</v>
      </c>
      <c r="C5" s="109">
        <v>46248.638194444444</v>
      </c>
      <c r="D5" s="115" t="s">
        <v>150</v>
      </c>
      <c r="E5" s="116" t="s">
        <v>151</v>
      </c>
      <c r="G5" s="115" t="s">
        <v>150</v>
      </c>
      <c r="H5" s="115" t="s">
        <v>151</v>
      </c>
      <c r="I5" s="116" t="s">
        <v>168</v>
      </c>
      <c r="J5" s="115" t="s">
        <v>189</v>
      </c>
    </row>
    <row r="6" spans="1:11" ht="15.75" thickBot="1" x14ac:dyDescent="0.3">
      <c r="B6" s="109">
        <v>46247.084722222222</v>
      </c>
      <c r="C6" s="109">
        <v>46248.712500000001</v>
      </c>
      <c r="D6" s="115" t="s">
        <v>152</v>
      </c>
      <c r="E6" s="116" t="s">
        <v>153</v>
      </c>
      <c r="G6" s="115" t="s">
        <v>152</v>
      </c>
      <c r="H6" s="115" t="s">
        <v>153</v>
      </c>
      <c r="I6" s="116" t="s">
        <v>170</v>
      </c>
      <c r="J6" s="115" t="s">
        <v>190</v>
      </c>
    </row>
    <row r="7" spans="1:11" ht="29.25" thickBot="1" x14ac:dyDescent="0.3">
      <c r="B7" s="109">
        <v>46251.884027777778</v>
      </c>
      <c r="C7" s="109">
        <v>46253.660416666666</v>
      </c>
      <c r="D7" s="115" t="s">
        <v>154</v>
      </c>
      <c r="E7" s="116" t="s">
        <v>155</v>
      </c>
      <c r="G7" s="115" t="s">
        <v>204</v>
      </c>
      <c r="H7" s="117">
        <v>0</v>
      </c>
      <c r="I7" s="118">
        <v>0.66700000000000004</v>
      </c>
      <c r="J7" s="119">
        <v>7.0999999999999994E-2</v>
      </c>
    </row>
    <row r="8" spans="1:11" ht="29.25" thickBot="1" x14ac:dyDescent="0.3">
      <c r="B8" s="109">
        <v>46252.804166666669</v>
      </c>
      <c r="C8" s="109">
        <v>46253.744444444441</v>
      </c>
      <c r="D8" s="115" t="s">
        <v>156</v>
      </c>
      <c r="E8" s="116" t="s">
        <v>157</v>
      </c>
      <c r="G8" s="115" t="s">
        <v>205</v>
      </c>
      <c r="H8" s="119">
        <v>0.33300000000000002</v>
      </c>
      <c r="I8" s="120">
        <v>1</v>
      </c>
      <c r="J8" s="115" t="s">
        <v>206</v>
      </c>
    </row>
    <row r="9" spans="1:11" ht="29.25" thickBot="1" x14ac:dyDescent="0.3">
      <c r="B9" s="109">
        <v>46253.834722222222</v>
      </c>
      <c r="C9" s="109">
        <v>46255.44027777778</v>
      </c>
      <c r="D9" s="115" t="s">
        <v>158</v>
      </c>
      <c r="E9" s="115" t="s">
        <v>159</v>
      </c>
      <c r="G9" s="115" t="s">
        <v>187</v>
      </c>
      <c r="H9" s="115" t="s">
        <v>207</v>
      </c>
      <c r="I9" s="115" t="s">
        <v>208</v>
      </c>
      <c r="J9" s="118">
        <v>0.17599999999999999</v>
      </c>
    </row>
    <row r="10" spans="1:11" ht="15.75" thickBot="1" x14ac:dyDescent="0.3">
      <c r="B10" s="109">
        <v>46254.526388888888</v>
      </c>
      <c r="C10" s="109">
        <v>46255.572916666664</v>
      </c>
      <c r="D10" s="115" t="s">
        <v>160</v>
      </c>
      <c r="E10" s="115" t="s">
        <v>159</v>
      </c>
    </row>
    <row r="11" spans="1:11" ht="15.75" thickBot="1" x14ac:dyDescent="0.3">
      <c r="B11" s="109">
        <v>46254.620833333334</v>
      </c>
      <c r="C11" s="109">
        <v>46260.631249999999</v>
      </c>
      <c r="D11" s="115" t="s">
        <v>161</v>
      </c>
      <c r="E11" s="115" t="s">
        <v>162</v>
      </c>
    </row>
    <row r="12" spans="1:11" ht="15.75" thickBot="1" x14ac:dyDescent="0.3">
      <c r="B12" s="109">
        <v>46255.753472222219</v>
      </c>
      <c r="C12" s="109">
        <v>46258.684027777781</v>
      </c>
      <c r="D12" s="115" t="s">
        <v>163</v>
      </c>
      <c r="E12" s="115" t="s">
        <v>164</v>
      </c>
    </row>
    <row r="13" spans="1:11" ht="15.75" thickBot="1" x14ac:dyDescent="0.3">
      <c r="B13" s="109">
        <v>46261.62222222222</v>
      </c>
      <c r="C13" s="109">
        <v>46266.393055555556</v>
      </c>
      <c r="D13" s="115" t="s">
        <v>163</v>
      </c>
      <c r="E13" s="115" t="s">
        <v>284</v>
      </c>
    </row>
    <row r="14" spans="1:11" ht="15.75" thickBot="1" x14ac:dyDescent="0.3">
      <c r="B14" s="109">
        <v>46265.470833333333</v>
      </c>
      <c r="C14" s="109">
        <v>46387.5</v>
      </c>
      <c r="D14" s="115"/>
      <c r="E14" s="115"/>
    </row>
    <row r="15" spans="1:11" ht="15.75" thickBot="1" x14ac:dyDescent="0.3">
      <c r="B15" s="181"/>
      <c r="C15" s="181"/>
      <c r="D15" s="115"/>
      <c r="E15" s="115"/>
    </row>
    <row r="16" spans="1:11" ht="15.75" thickBot="1" x14ac:dyDescent="0.3">
      <c r="A16" s="185" t="s">
        <v>287</v>
      </c>
      <c r="B16" s="2" t="s">
        <v>286</v>
      </c>
      <c r="C16" s="64">
        <f>8/11*100%</f>
        <v>0.72727272727272729</v>
      </c>
      <c r="D16" s="167"/>
      <c r="E16" s="115"/>
      <c r="K16" s="185"/>
    </row>
    <row r="17" spans="1:5" ht="30" x14ac:dyDescent="0.25">
      <c r="B17" s="172" t="s">
        <v>275</v>
      </c>
      <c r="C17" s="173">
        <f>3/11*100%</f>
        <v>0.27272727272727271</v>
      </c>
    </row>
    <row r="18" spans="1:5" ht="30" x14ac:dyDescent="0.25">
      <c r="B18" s="174" t="s">
        <v>276</v>
      </c>
      <c r="C18" s="175">
        <v>0</v>
      </c>
    </row>
    <row r="19" spans="1:5" x14ac:dyDescent="0.25">
      <c r="B19" s="54" t="s">
        <v>280</v>
      </c>
      <c r="C19" s="53" t="s">
        <v>285</v>
      </c>
    </row>
    <row r="22" spans="1:5" ht="75.75" thickBot="1" x14ac:dyDescent="0.3">
      <c r="A22" s="61" t="s">
        <v>144</v>
      </c>
      <c r="B22" s="110" t="s">
        <v>141</v>
      </c>
      <c r="C22" s="111" t="s">
        <v>142</v>
      </c>
      <c r="D22" t="s">
        <v>166</v>
      </c>
    </row>
    <row r="23" spans="1:5" ht="15.75" thickBot="1" x14ac:dyDescent="0.3">
      <c r="B23" s="109">
        <v>46238.443055555559</v>
      </c>
      <c r="C23" s="109">
        <v>46238.5</v>
      </c>
      <c r="D23" s="114" t="s">
        <v>147</v>
      </c>
      <c r="E23" s="114" t="s">
        <v>167</v>
      </c>
    </row>
    <row r="24" spans="1:5" ht="15.75" thickBot="1" x14ac:dyDescent="0.3">
      <c r="B24" s="109">
        <v>46238.668055555558</v>
      </c>
      <c r="C24" s="109">
        <v>46238.672222222223</v>
      </c>
      <c r="D24" s="115" t="s">
        <v>149</v>
      </c>
      <c r="E24" s="115">
        <v>12</v>
      </c>
    </row>
    <row r="25" spans="1:5" ht="15.75" thickBot="1" x14ac:dyDescent="0.3">
      <c r="B25" s="109">
        <v>46239.657638888886</v>
      </c>
      <c r="C25" s="109">
        <v>46239.658333333333</v>
      </c>
      <c r="D25" s="115" t="s">
        <v>150</v>
      </c>
      <c r="E25" s="116" t="s">
        <v>168</v>
      </c>
    </row>
    <row r="26" spans="1:5" ht="15.75" thickBot="1" x14ac:dyDescent="0.3">
      <c r="B26" s="109">
        <v>46240.424305555556</v>
      </c>
      <c r="C26" s="109">
        <v>46240.50277777778</v>
      </c>
      <c r="D26" s="115" t="s">
        <v>169</v>
      </c>
      <c r="E26" s="123" t="s">
        <v>170</v>
      </c>
    </row>
    <row r="27" spans="1:5" ht="15.75" thickBot="1" x14ac:dyDescent="0.3">
      <c r="B27" s="109">
        <v>46244.645138888889</v>
      </c>
      <c r="C27" s="109">
        <v>46244.658333333333</v>
      </c>
      <c r="D27" s="115" t="s">
        <v>154</v>
      </c>
      <c r="E27" s="116" t="s">
        <v>171</v>
      </c>
    </row>
    <row r="28" spans="1:5" ht="15.75" thickBot="1" x14ac:dyDescent="0.3">
      <c r="B28" s="109">
        <v>46245.711111111108</v>
      </c>
      <c r="C28" s="109">
        <v>46245.730555555558</v>
      </c>
      <c r="D28" s="115" t="s">
        <v>156</v>
      </c>
      <c r="E28" s="116" t="s">
        <v>172</v>
      </c>
    </row>
    <row r="29" spans="1:5" ht="15.75" thickBot="1" x14ac:dyDescent="0.3">
      <c r="B29" s="109">
        <v>46253.00277777778</v>
      </c>
      <c r="C29" s="109">
        <v>46253.690972222219</v>
      </c>
      <c r="D29" s="115" t="s">
        <v>173</v>
      </c>
      <c r="E29" s="115" t="s">
        <v>174</v>
      </c>
    </row>
    <row r="30" spans="1:5" ht="15.75" thickBot="1" x14ac:dyDescent="0.3">
      <c r="B30" s="109">
        <v>46253.55972222222</v>
      </c>
      <c r="C30" s="109">
        <v>46253.570138888892</v>
      </c>
      <c r="D30" s="115" t="s">
        <v>175</v>
      </c>
      <c r="E30" s="115" t="s">
        <v>176</v>
      </c>
    </row>
    <row r="31" spans="1:5" ht="15.75" thickBot="1" x14ac:dyDescent="0.3">
      <c r="B31" s="109">
        <v>46256.555555555555</v>
      </c>
      <c r="C31" s="109">
        <v>46258.413888888892</v>
      </c>
      <c r="D31" s="115" t="s">
        <v>177</v>
      </c>
      <c r="E31" s="115" t="s">
        <v>178</v>
      </c>
    </row>
    <row r="32" spans="1:5" ht="15.75" thickBot="1" x14ac:dyDescent="0.3">
      <c r="B32" s="109">
        <v>46259.465277777781</v>
      </c>
      <c r="C32" s="109">
        <v>46259.479861111111</v>
      </c>
      <c r="D32" s="115" t="s">
        <v>179</v>
      </c>
      <c r="E32" s="115" t="s">
        <v>180</v>
      </c>
    </row>
    <row r="33" spans="1:5" ht="15.75" thickBot="1" x14ac:dyDescent="0.3">
      <c r="B33" s="109">
        <v>46259.863888888889</v>
      </c>
      <c r="C33" s="109">
        <v>46260.640972222223</v>
      </c>
      <c r="D33" s="115" t="s">
        <v>181</v>
      </c>
      <c r="E33" s="115" t="s">
        <v>182</v>
      </c>
    </row>
    <row r="34" spans="1:5" ht="15.75" thickBot="1" x14ac:dyDescent="0.3">
      <c r="B34" s="109">
        <v>46260.377083333333</v>
      </c>
      <c r="C34" s="109">
        <v>46260.37777777778</v>
      </c>
      <c r="D34" s="115" t="s">
        <v>183</v>
      </c>
      <c r="E34" s="116">
        <v>0</v>
      </c>
    </row>
    <row r="35" spans="1:5" ht="15.75" thickBot="1" x14ac:dyDescent="0.3">
      <c r="B35" s="109">
        <v>46261.543749999997</v>
      </c>
    </row>
    <row r="36" spans="1:5" ht="15.75" thickBot="1" x14ac:dyDescent="0.3">
      <c r="B36" s="109">
        <v>46265.474305555559</v>
      </c>
    </row>
    <row r="37" spans="1:5" x14ac:dyDescent="0.25">
      <c r="B37" s="181"/>
    </row>
    <row r="38" spans="1:5" x14ac:dyDescent="0.25">
      <c r="A38" t="s">
        <v>289</v>
      </c>
      <c r="B38" s="176" t="s">
        <v>288</v>
      </c>
      <c r="C38" s="64">
        <f>13/14*100%</f>
        <v>0.9285714285714286</v>
      </c>
    </row>
    <row r="39" spans="1:5" ht="30" x14ac:dyDescent="0.25">
      <c r="B39" s="172" t="s">
        <v>275</v>
      </c>
      <c r="C39" s="173">
        <f>8/14*100%</f>
        <v>0.5714285714285714</v>
      </c>
    </row>
    <row r="40" spans="1:5" ht="30" x14ac:dyDescent="0.25">
      <c r="A40" s="29">
        <v>24500</v>
      </c>
      <c r="B40" s="174" t="s">
        <v>276</v>
      </c>
      <c r="C40" s="175">
        <f>3/8*100%</f>
        <v>0.375</v>
      </c>
    </row>
    <row r="41" spans="1:5" x14ac:dyDescent="0.25">
      <c r="B41" s="54" t="s">
        <v>280</v>
      </c>
      <c r="C41" s="53" t="s">
        <v>283</v>
      </c>
    </row>
    <row r="42" spans="1:5" ht="15.75" thickBot="1" x14ac:dyDescent="0.3">
      <c r="B42" s="182"/>
      <c r="C42" s="183"/>
    </row>
    <row r="43" spans="1:5" ht="75.75" thickBot="1" x14ac:dyDescent="0.3">
      <c r="A43" s="61" t="s">
        <v>145</v>
      </c>
      <c r="B43" s="179" t="s">
        <v>278</v>
      </c>
      <c r="C43" s="180" t="s">
        <v>279</v>
      </c>
      <c r="D43" s="166" t="s">
        <v>147</v>
      </c>
      <c r="E43" s="114" t="s">
        <v>167</v>
      </c>
    </row>
    <row r="44" spans="1:5" ht="15.75" thickBot="1" x14ac:dyDescent="0.3">
      <c r="B44" s="176">
        <v>46239.54791666667</v>
      </c>
      <c r="C44" s="176">
        <v>46240.4</v>
      </c>
      <c r="D44" s="167" t="s">
        <v>184</v>
      </c>
      <c r="E44" s="115">
        <v>17</v>
      </c>
    </row>
    <row r="45" spans="1:5" ht="15.75" thickBot="1" x14ac:dyDescent="0.3">
      <c r="B45" s="176">
        <v>46244.958333333336</v>
      </c>
      <c r="C45" s="176">
        <v>46245.509027777778</v>
      </c>
      <c r="D45" s="167" t="s">
        <v>185</v>
      </c>
      <c r="E45" s="115" t="s">
        <v>186</v>
      </c>
    </row>
    <row r="46" spans="1:5" ht="15.75" thickBot="1" x14ac:dyDescent="0.3">
      <c r="B46" s="176">
        <v>46245.50277777778</v>
      </c>
      <c r="C46" s="176">
        <v>46245.54791666667</v>
      </c>
      <c r="D46" s="167" t="s">
        <v>187</v>
      </c>
      <c r="E46" s="115" t="s">
        <v>188</v>
      </c>
    </row>
    <row r="47" spans="1:5" ht="15.75" thickBot="1" x14ac:dyDescent="0.3">
      <c r="B47" s="176">
        <v>46251.522916666669</v>
      </c>
      <c r="C47" s="176">
        <v>46251.690972222219</v>
      </c>
      <c r="D47" s="167" t="s">
        <v>150</v>
      </c>
      <c r="E47" s="116" t="s">
        <v>189</v>
      </c>
    </row>
    <row r="48" spans="1:5" ht="15.75" thickBot="1" x14ac:dyDescent="0.3">
      <c r="B48" s="176">
        <v>46251.552083333336</v>
      </c>
      <c r="C48" s="177"/>
      <c r="D48" s="167" t="s">
        <v>169</v>
      </c>
      <c r="E48" s="116" t="s">
        <v>190</v>
      </c>
    </row>
    <row r="49" spans="2:5" ht="15.75" thickBot="1" x14ac:dyDescent="0.3">
      <c r="B49" s="176">
        <v>46252.46875</v>
      </c>
      <c r="C49" s="176">
        <v>46252.592361111114</v>
      </c>
      <c r="D49" s="167" t="s">
        <v>191</v>
      </c>
      <c r="E49" s="115" t="s">
        <v>192</v>
      </c>
    </row>
    <row r="50" spans="2:5" ht="15.75" thickBot="1" x14ac:dyDescent="0.3">
      <c r="B50" s="176">
        <v>46252.918749999997</v>
      </c>
      <c r="C50" s="176">
        <v>46255.70416666667</v>
      </c>
      <c r="D50" s="167" t="s">
        <v>193</v>
      </c>
      <c r="E50" s="116" t="s">
        <v>194</v>
      </c>
    </row>
    <row r="51" spans="2:5" ht="15.75" thickBot="1" x14ac:dyDescent="0.3">
      <c r="B51" s="176">
        <v>46253.185416666667</v>
      </c>
      <c r="C51" s="176">
        <v>46254.695833333331</v>
      </c>
      <c r="D51" s="167" t="s">
        <v>177</v>
      </c>
      <c r="E51" s="115" t="s">
        <v>195</v>
      </c>
    </row>
    <row r="52" spans="2:5" ht="15.75" thickBot="1" x14ac:dyDescent="0.3">
      <c r="B52" s="176">
        <v>46253.74722222222</v>
      </c>
      <c r="C52" s="176">
        <v>46255.716666666667</v>
      </c>
      <c r="D52" s="167" t="s">
        <v>179</v>
      </c>
      <c r="E52" s="115" t="s">
        <v>196</v>
      </c>
    </row>
    <row r="53" spans="2:5" ht="15.75" thickBot="1" x14ac:dyDescent="0.3">
      <c r="B53" s="176">
        <v>46254.007638888892</v>
      </c>
      <c r="C53" s="176">
        <v>46258.711805555555</v>
      </c>
      <c r="D53" s="167" t="s">
        <v>197</v>
      </c>
      <c r="E53" s="115" t="s">
        <v>198</v>
      </c>
    </row>
    <row r="54" spans="2:5" ht="15.75" thickBot="1" x14ac:dyDescent="0.3">
      <c r="B54" s="176">
        <v>46254.666666666664</v>
      </c>
      <c r="C54" s="176">
        <v>46258.713194444441</v>
      </c>
      <c r="D54" s="167" t="s">
        <v>199</v>
      </c>
      <c r="E54" s="115" t="s">
        <v>200</v>
      </c>
    </row>
    <row r="55" spans="2:5" ht="15.75" thickBot="1" x14ac:dyDescent="0.3">
      <c r="B55" s="176">
        <v>46255.184027777781</v>
      </c>
      <c r="C55" s="176">
        <v>46259.589583333334</v>
      </c>
      <c r="D55" s="167" t="s">
        <v>201</v>
      </c>
      <c r="E55" s="115" t="s">
        <v>196</v>
      </c>
    </row>
    <row r="56" spans="2:5" x14ac:dyDescent="0.25">
      <c r="B56" s="176">
        <v>46258.185416666667</v>
      </c>
      <c r="C56" s="176">
        <v>46258.622916666667</v>
      </c>
    </row>
    <row r="57" spans="2:5" x14ac:dyDescent="0.25">
      <c r="B57" s="176">
        <v>46258.828472222223</v>
      </c>
      <c r="C57" s="176">
        <v>46259.558333333334</v>
      </c>
    </row>
    <row r="58" spans="2:5" x14ac:dyDescent="0.25">
      <c r="B58" s="176">
        <v>46258.831944444442</v>
      </c>
      <c r="C58" s="177"/>
    </row>
    <row r="59" spans="2:5" x14ac:dyDescent="0.25">
      <c r="B59" s="176">
        <v>46259.418749999997</v>
      </c>
      <c r="C59" s="176">
        <v>46259.443055555559</v>
      </c>
    </row>
    <row r="60" spans="2:5" x14ac:dyDescent="0.25">
      <c r="B60" s="178">
        <v>46259.800694444442</v>
      </c>
      <c r="C60" s="176">
        <v>46261.711805555555</v>
      </c>
    </row>
    <row r="61" spans="2:5" x14ac:dyDescent="0.25">
      <c r="B61" s="176">
        <v>46261.730555555558</v>
      </c>
      <c r="C61" s="176">
        <v>46261.752083333333</v>
      </c>
    </row>
    <row r="62" spans="2:5" x14ac:dyDescent="0.25">
      <c r="B62" s="176">
        <v>46262.117361111108</v>
      </c>
      <c r="C62" s="176">
        <v>46262.478472222225</v>
      </c>
    </row>
    <row r="63" spans="2:5" x14ac:dyDescent="0.25">
      <c r="B63" s="176">
        <v>46262.611111111109</v>
      </c>
      <c r="C63" s="177"/>
    </row>
    <row r="64" spans="2:5" x14ac:dyDescent="0.25">
      <c r="B64" s="176">
        <v>46262.811805555553</v>
      </c>
      <c r="C64" s="176">
        <v>46266.659722222219</v>
      </c>
    </row>
    <row r="65" spans="1:5" x14ac:dyDescent="0.25">
      <c r="B65" s="176">
        <v>46265.157638888886</v>
      </c>
      <c r="C65" s="176">
        <v>46262.478472222225</v>
      </c>
    </row>
    <row r="66" spans="1:5" x14ac:dyDescent="0.25">
      <c r="B66" s="176">
        <v>46265.404166666667</v>
      </c>
      <c r="C66" s="176">
        <v>46265.611111111109</v>
      </c>
    </row>
    <row r="67" spans="1:5" x14ac:dyDescent="0.25">
      <c r="B67" s="176">
        <v>46265.424305555556</v>
      </c>
      <c r="C67" s="176">
        <v>46265.598611111112</v>
      </c>
    </row>
    <row r="68" spans="1:5" x14ac:dyDescent="0.25">
      <c r="A68" t="s">
        <v>290</v>
      </c>
      <c r="B68" s="2" t="s">
        <v>286</v>
      </c>
      <c r="C68" s="64">
        <f>18/24*100%</f>
        <v>0.75</v>
      </c>
    </row>
    <row r="69" spans="1:5" ht="30" x14ac:dyDescent="0.25">
      <c r="B69" s="172" t="s">
        <v>275</v>
      </c>
      <c r="C69" s="173">
        <f>6/24*100%</f>
        <v>0.25</v>
      </c>
      <c r="D69" t="s">
        <v>281</v>
      </c>
    </row>
    <row r="70" spans="1:5" ht="30" x14ac:dyDescent="0.25">
      <c r="B70" s="174" t="s">
        <v>276</v>
      </c>
      <c r="C70" s="175">
        <v>0</v>
      </c>
    </row>
    <row r="71" spans="1:5" x14ac:dyDescent="0.25">
      <c r="B71" s="54" t="s">
        <v>280</v>
      </c>
      <c r="C71" s="53" t="s">
        <v>282</v>
      </c>
    </row>
    <row r="72" spans="1:5" ht="15.75" thickBot="1" x14ac:dyDescent="0.3"/>
    <row r="73" spans="1:5" ht="90.75" thickBot="1" x14ac:dyDescent="0.3">
      <c r="A73" s="61" t="s">
        <v>146</v>
      </c>
      <c r="B73" s="168" t="s">
        <v>141</v>
      </c>
      <c r="C73" s="169" t="s">
        <v>142</v>
      </c>
      <c r="D73" s="166" t="s">
        <v>147</v>
      </c>
      <c r="E73" s="114" t="s">
        <v>167</v>
      </c>
    </row>
    <row r="74" spans="1:5" ht="15.75" thickBot="1" x14ac:dyDescent="0.3">
      <c r="B74" s="170">
        <v>46241.326388888891</v>
      </c>
      <c r="C74" s="170">
        <v>46244.42291666667</v>
      </c>
      <c r="D74" s="167" t="s">
        <v>184</v>
      </c>
      <c r="E74" s="115">
        <v>6</v>
      </c>
    </row>
    <row r="75" spans="1:5" ht="15.75" thickBot="1" x14ac:dyDescent="0.3">
      <c r="B75" s="170">
        <v>46244.664583333331</v>
      </c>
      <c r="C75" s="170">
        <v>46244.665277777778</v>
      </c>
      <c r="D75" s="167" t="s">
        <v>150</v>
      </c>
      <c r="E75" s="116" t="s">
        <v>210</v>
      </c>
    </row>
    <row r="76" spans="1:5" ht="15.75" thickBot="1" x14ac:dyDescent="0.3">
      <c r="B76" s="170">
        <v>46251.581944444442</v>
      </c>
      <c r="C76" s="170">
        <v>46251.651388888888</v>
      </c>
      <c r="D76" s="167" t="s">
        <v>169</v>
      </c>
      <c r="E76" s="116" t="s">
        <v>211</v>
      </c>
    </row>
    <row r="77" spans="1:5" ht="15.75" thickBot="1" x14ac:dyDescent="0.3">
      <c r="B77" s="170">
        <v>46253.47152777778</v>
      </c>
      <c r="C77" s="170">
        <v>46255.450694444444</v>
      </c>
      <c r="D77" s="167" t="s">
        <v>154</v>
      </c>
      <c r="E77" s="115" t="s">
        <v>171</v>
      </c>
    </row>
    <row r="78" spans="1:5" ht="15.75" thickBot="1" x14ac:dyDescent="0.3">
      <c r="B78" s="170">
        <v>46253.682638888888</v>
      </c>
      <c r="C78" s="170">
        <v>46253.756249999999</v>
      </c>
      <c r="D78" s="167" t="s">
        <v>156</v>
      </c>
      <c r="E78" s="116" t="s">
        <v>212</v>
      </c>
    </row>
    <row r="79" spans="1:5" ht="15.75" thickBot="1" x14ac:dyDescent="0.3">
      <c r="B79" s="170">
        <v>46258.311111111114</v>
      </c>
      <c r="C79" s="170">
        <v>46259.440972222219</v>
      </c>
      <c r="D79" s="167" t="s">
        <v>173</v>
      </c>
      <c r="E79" s="115" t="s">
        <v>213</v>
      </c>
    </row>
    <row r="80" spans="1:5" ht="15.75" thickBot="1" x14ac:dyDescent="0.3">
      <c r="B80" s="171">
        <v>46265.643750000003</v>
      </c>
      <c r="C80" s="171">
        <v>46265.652083333334</v>
      </c>
      <c r="D80" s="167" t="s">
        <v>177</v>
      </c>
      <c r="E80" s="115" t="s">
        <v>213</v>
      </c>
    </row>
    <row r="81" spans="1:15" ht="15.75" thickBot="1" x14ac:dyDescent="0.3">
      <c r="A81" t="s">
        <v>291</v>
      </c>
      <c r="B81" s="2" t="s">
        <v>286</v>
      </c>
      <c r="C81" s="65">
        <v>1</v>
      </c>
      <c r="D81" s="167" t="s">
        <v>179</v>
      </c>
      <c r="E81" s="115" t="s">
        <v>214</v>
      </c>
    </row>
    <row r="82" spans="1:15" ht="30.75" thickBot="1" x14ac:dyDescent="0.3">
      <c r="B82" s="172" t="s">
        <v>275</v>
      </c>
      <c r="C82" s="173">
        <v>1</v>
      </c>
      <c r="D82" s="167" t="s">
        <v>197</v>
      </c>
      <c r="E82" s="115" t="s">
        <v>214</v>
      </c>
    </row>
    <row r="83" spans="1:15" ht="30.75" thickBot="1" x14ac:dyDescent="0.3">
      <c r="A83" s="29">
        <v>15000</v>
      </c>
      <c r="B83" s="174" t="s">
        <v>276</v>
      </c>
      <c r="C83" s="175">
        <f>3/7*100%</f>
        <v>0.42857142857142855</v>
      </c>
      <c r="D83" s="167" t="s">
        <v>215</v>
      </c>
      <c r="E83" s="115" t="s">
        <v>214</v>
      </c>
    </row>
    <row r="84" spans="1:15" x14ac:dyDescent="0.25">
      <c r="B84" s="54" t="s">
        <v>277</v>
      </c>
      <c r="C84" s="53">
        <v>3400</v>
      </c>
    </row>
    <row r="86" spans="1:15" ht="15.75" thickBot="1" x14ac:dyDescent="0.3"/>
    <row r="87" spans="1:15" ht="45.75" thickBot="1" x14ac:dyDescent="0.3">
      <c r="A87" s="184"/>
      <c r="B87" s="184"/>
      <c r="C87" s="184"/>
      <c r="D87" s="114" t="s">
        <v>216</v>
      </c>
      <c r="E87" s="114" t="s">
        <v>217</v>
      </c>
      <c r="F87" s="114" t="s">
        <v>152</v>
      </c>
      <c r="G87" s="114" t="s">
        <v>218</v>
      </c>
      <c r="H87" s="114" t="s">
        <v>219</v>
      </c>
      <c r="I87" s="114" t="s">
        <v>220</v>
      </c>
      <c r="J87" s="114" t="s">
        <v>221</v>
      </c>
      <c r="N87" s="197" t="s">
        <v>333</v>
      </c>
      <c r="O87" s="4" t="s">
        <v>334</v>
      </c>
    </row>
    <row r="88" spans="1:15" ht="30.75" thickBot="1" x14ac:dyDescent="0.3">
      <c r="A88" s="115"/>
      <c r="B88" s="115"/>
      <c r="C88" s="115"/>
      <c r="D88" s="115">
        <v>0</v>
      </c>
      <c r="E88" s="116" t="s">
        <v>168</v>
      </c>
      <c r="F88" s="116" t="s">
        <v>222</v>
      </c>
      <c r="G88" s="118">
        <v>0.66700000000000004</v>
      </c>
      <c r="H88" s="118">
        <v>0.83299999999999996</v>
      </c>
      <c r="I88" s="120">
        <v>1</v>
      </c>
      <c r="J88" s="115" t="s">
        <v>172</v>
      </c>
      <c r="N88" s="2"/>
      <c r="O88" s="4" t="s">
        <v>335</v>
      </c>
    </row>
    <row r="89" spans="1:15" ht="29.25" thickBot="1" x14ac:dyDescent="0.3">
      <c r="A89" s="115"/>
      <c r="B89" s="115"/>
      <c r="C89" s="115"/>
      <c r="D89" s="115">
        <v>0</v>
      </c>
      <c r="E89" s="115" t="s">
        <v>210</v>
      </c>
      <c r="F89" s="115" t="s">
        <v>224</v>
      </c>
      <c r="G89" s="119">
        <v>0.16700000000000001</v>
      </c>
      <c r="H89" s="119">
        <v>0.5</v>
      </c>
      <c r="I89" s="119">
        <v>0.5</v>
      </c>
      <c r="J89" s="115" t="s">
        <v>212</v>
      </c>
    </row>
    <row r="90" spans="1:15" ht="29.25" thickBot="1" x14ac:dyDescent="0.3">
      <c r="A90" s="115"/>
      <c r="B90" s="115"/>
      <c r="C90" s="115"/>
      <c r="D90" s="116">
        <v>3</v>
      </c>
      <c r="E90" s="115" t="s">
        <v>189</v>
      </c>
      <c r="F90" s="115" t="s">
        <v>190</v>
      </c>
      <c r="G90" s="119">
        <v>7.0999999999999994E-2</v>
      </c>
      <c r="H90" s="119">
        <v>0.28599999999999998</v>
      </c>
      <c r="I90" s="119">
        <v>0.57099999999999995</v>
      </c>
      <c r="J90" s="115" t="s">
        <v>194</v>
      </c>
    </row>
    <row r="91" spans="1:15" ht="30.75" thickBot="1" x14ac:dyDescent="0.3">
      <c r="A91" s="115"/>
      <c r="B91" s="115"/>
      <c r="C91" s="115"/>
      <c r="D91" s="115">
        <v>0</v>
      </c>
      <c r="E91" s="116" t="s">
        <v>151</v>
      </c>
      <c r="F91" s="116" t="s">
        <v>153</v>
      </c>
      <c r="G91" s="120">
        <v>0</v>
      </c>
      <c r="H91" s="120">
        <v>0</v>
      </c>
      <c r="I91" s="118">
        <v>0.33300000000000002</v>
      </c>
      <c r="J91" s="115" t="s">
        <v>157</v>
      </c>
    </row>
    <row r="92" spans="1:15" ht="30.75" thickBot="1" x14ac:dyDescent="0.3">
      <c r="A92" s="116"/>
      <c r="B92" s="116"/>
      <c r="C92" s="116"/>
      <c r="D92" s="116">
        <v>3</v>
      </c>
      <c r="E92" s="116" t="s">
        <v>227</v>
      </c>
      <c r="F92" s="116" t="s">
        <v>228</v>
      </c>
      <c r="G92" s="118">
        <v>0.24399999999999999</v>
      </c>
      <c r="H92" s="118">
        <v>0.41499999999999998</v>
      </c>
      <c r="I92" s="118">
        <v>0.63400000000000001</v>
      </c>
      <c r="J92" s="115" t="s">
        <v>157</v>
      </c>
    </row>
    <row r="94" spans="1:15" ht="29.25" thickBot="1" x14ac:dyDescent="0.3">
      <c r="A94" s="121" t="s">
        <v>236</v>
      </c>
    </row>
    <row r="95" spans="1:15" ht="15.75" thickBot="1" x14ac:dyDescent="0.3">
      <c r="A95" s="114" t="s">
        <v>229</v>
      </c>
      <c r="B95" s="114" t="s">
        <v>230</v>
      </c>
      <c r="C95" s="114" t="s">
        <v>231</v>
      </c>
    </row>
    <row r="96" spans="1:15" ht="43.5" thickBot="1" x14ac:dyDescent="0.3">
      <c r="A96" s="115">
        <v>1</v>
      </c>
      <c r="B96" s="115" t="s">
        <v>202</v>
      </c>
      <c r="C96" s="115" t="s">
        <v>232</v>
      </c>
    </row>
    <row r="97" spans="1:3" ht="57.75" thickBot="1" x14ac:dyDescent="0.3">
      <c r="A97" s="115">
        <v>2</v>
      </c>
      <c r="B97" s="115" t="s">
        <v>223</v>
      </c>
      <c r="C97" s="115" t="s">
        <v>233</v>
      </c>
    </row>
    <row r="98" spans="1:3" ht="57.75" thickBot="1" x14ac:dyDescent="0.3">
      <c r="A98" s="115">
        <v>3</v>
      </c>
      <c r="B98" s="115" t="s">
        <v>225</v>
      </c>
      <c r="C98" s="115" t="s">
        <v>234</v>
      </c>
    </row>
    <row r="99" spans="1:3" ht="43.5" thickBot="1" x14ac:dyDescent="0.3">
      <c r="A99" s="115">
        <v>4</v>
      </c>
      <c r="B99" s="115" t="s">
        <v>237</v>
      </c>
      <c r="C99" s="115" t="s">
        <v>235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46B16-9239-4D35-B663-903B23C886AA}">
  <dimension ref="A1:E17"/>
  <sheetViews>
    <sheetView zoomScale="66" zoomScaleNormal="66" workbookViewId="0">
      <selection activeCell="J14" sqref="J14"/>
    </sheetView>
  </sheetViews>
  <sheetFormatPr defaultRowHeight="15" x14ac:dyDescent="0.25"/>
  <cols>
    <col min="1" max="1" width="55" customWidth="1"/>
    <col min="2" max="2" width="18.140625" customWidth="1"/>
    <col min="3" max="3" width="28.85546875" customWidth="1"/>
    <col min="4" max="4" width="26.5703125" customWidth="1"/>
    <col min="5" max="5" width="37.140625" customWidth="1"/>
  </cols>
  <sheetData>
    <row r="1" spans="1:5" ht="15.75" thickBot="1" x14ac:dyDescent="0.3">
      <c r="A1" s="139">
        <v>46235</v>
      </c>
    </row>
    <row r="2" spans="1:5" ht="62.45" customHeight="1" thickBot="1" x14ac:dyDescent="0.3">
      <c r="A2" s="128" t="s">
        <v>243</v>
      </c>
      <c r="B2" s="129" t="s">
        <v>244</v>
      </c>
      <c r="C2" s="129" t="s">
        <v>245</v>
      </c>
      <c r="D2" s="129" t="s">
        <v>246</v>
      </c>
      <c r="E2" s="129" t="s">
        <v>247</v>
      </c>
    </row>
    <row r="3" spans="1:5" ht="18.75" thickBot="1" x14ac:dyDescent="0.3">
      <c r="A3" s="130" t="s">
        <v>248</v>
      </c>
      <c r="B3" s="131">
        <v>5</v>
      </c>
      <c r="C3" s="131">
        <v>8</v>
      </c>
      <c r="D3" s="131">
        <v>35100</v>
      </c>
      <c r="E3" s="132">
        <v>1.6</v>
      </c>
    </row>
    <row r="4" spans="1:5" ht="18.75" thickBot="1" x14ac:dyDescent="0.3">
      <c r="A4" s="130" t="s">
        <v>249</v>
      </c>
      <c r="B4" s="131">
        <v>4</v>
      </c>
      <c r="C4" s="131">
        <v>5</v>
      </c>
      <c r="D4" s="131">
        <v>20000</v>
      </c>
      <c r="E4" s="132">
        <v>1.25</v>
      </c>
    </row>
    <row r="5" spans="1:5" ht="18.75" thickBot="1" x14ac:dyDescent="0.3">
      <c r="A5" s="130" t="s">
        <v>52</v>
      </c>
      <c r="B5" s="131">
        <v>5</v>
      </c>
      <c r="C5" s="133">
        <v>5</v>
      </c>
      <c r="D5" s="131">
        <v>49900</v>
      </c>
      <c r="E5" s="132">
        <v>1</v>
      </c>
    </row>
    <row r="6" spans="1:5" ht="18.75" thickBot="1" x14ac:dyDescent="0.3">
      <c r="A6" s="130" t="s">
        <v>250</v>
      </c>
      <c r="B6" s="131">
        <v>5</v>
      </c>
      <c r="C6" s="133">
        <v>12</v>
      </c>
      <c r="D6" s="131">
        <v>40200</v>
      </c>
      <c r="E6" s="132">
        <v>2.4</v>
      </c>
    </row>
    <row r="7" spans="1:5" ht="18.75" thickBot="1" x14ac:dyDescent="0.3">
      <c r="A7" s="130" t="s">
        <v>251</v>
      </c>
      <c r="B7" s="131">
        <v>3</v>
      </c>
      <c r="C7" s="133">
        <v>7</v>
      </c>
      <c r="D7" s="131">
        <v>39500</v>
      </c>
      <c r="E7" s="132">
        <v>2.3332999999999999</v>
      </c>
    </row>
    <row r="8" spans="1:5" ht="18.75" thickBot="1" x14ac:dyDescent="0.3">
      <c r="A8" s="134" t="s">
        <v>226</v>
      </c>
      <c r="B8" s="135">
        <v>22</v>
      </c>
      <c r="C8" s="136">
        <v>37</v>
      </c>
      <c r="D8" s="131">
        <v>184700</v>
      </c>
      <c r="E8" s="137">
        <v>1.7166999999999999</v>
      </c>
    </row>
    <row r="10" spans="1:5" ht="15.75" thickBot="1" x14ac:dyDescent="0.3">
      <c r="A10" s="139">
        <v>46266</v>
      </c>
    </row>
    <row r="11" spans="1:5" ht="57" customHeight="1" thickBot="1" x14ac:dyDescent="0.3">
      <c r="A11" s="128" t="s">
        <v>243</v>
      </c>
      <c r="B11" s="129" t="s">
        <v>244</v>
      </c>
      <c r="C11" s="129" t="s">
        <v>245</v>
      </c>
      <c r="D11" s="129" t="s">
        <v>246</v>
      </c>
      <c r="E11" s="129" t="s">
        <v>247</v>
      </c>
    </row>
    <row r="12" spans="1:5" ht="43.15" customHeight="1" thickBot="1" x14ac:dyDescent="0.3">
      <c r="A12" s="130" t="s">
        <v>248</v>
      </c>
      <c r="B12" s="131">
        <v>10</v>
      </c>
      <c r="C12" s="131"/>
      <c r="D12" s="131"/>
      <c r="E12" s="132"/>
    </row>
    <row r="13" spans="1:5" ht="44.45" customHeight="1" thickBot="1" x14ac:dyDescent="0.3">
      <c r="A13" s="130" t="s">
        <v>249</v>
      </c>
      <c r="B13" s="131">
        <v>10</v>
      </c>
      <c r="C13" s="131"/>
      <c r="D13" s="131"/>
      <c r="E13" s="132"/>
    </row>
    <row r="14" spans="1:5" ht="41.45" customHeight="1" thickBot="1" x14ac:dyDescent="0.3">
      <c r="A14" s="130" t="s">
        <v>52</v>
      </c>
      <c r="B14" s="131">
        <v>10</v>
      </c>
      <c r="C14" s="133"/>
      <c r="D14" s="131"/>
      <c r="E14" s="132"/>
    </row>
    <row r="15" spans="1:5" ht="28.15" customHeight="1" thickBot="1" x14ac:dyDescent="0.3">
      <c r="A15" s="130" t="s">
        <v>250</v>
      </c>
      <c r="B15" s="131">
        <v>10</v>
      </c>
      <c r="C15" s="133"/>
      <c r="D15" s="131"/>
      <c r="E15" s="132"/>
    </row>
    <row r="16" spans="1:5" ht="36" customHeight="1" thickBot="1" x14ac:dyDescent="0.3">
      <c r="A16" s="130" t="s">
        <v>251</v>
      </c>
      <c r="B16" s="131">
        <v>7</v>
      </c>
      <c r="C16" s="133"/>
      <c r="D16" s="131"/>
      <c r="E16" s="132"/>
    </row>
    <row r="17" spans="1:5" ht="18.75" thickBot="1" x14ac:dyDescent="0.3">
      <c r="A17" s="134" t="s">
        <v>226</v>
      </c>
      <c r="B17" s="135">
        <f>SUM(B12:B16)</f>
        <v>47</v>
      </c>
      <c r="C17" s="136">
        <f>SUM(C12:C16)</f>
        <v>0</v>
      </c>
      <c r="D17" s="131">
        <f>SUM(D12:D16)</f>
        <v>0</v>
      </c>
      <c r="E17" s="13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"/>
  <sheetViews>
    <sheetView workbookViewId="0">
      <selection activeCell="F19" sqref="F19"/>
    </sheetView>
  </sheetViews>
  <sheetFormatPr defaultRowHeight="15" x14ac:dyDescent="0.25"/>
  <cols>
    <col min="1" max="1" width="6.5703125" customWidth="1"/>
    <col min="2" max="2" width="31.85546875" customWidth="1"/>
    <col min="3" max="3" width="20.7109375" customWidth="1"/>
    <col min="4" max="4" width="23.42578125" customWidth="1"/>
    <col min="5" max="5" width="21.28515625" customWidth="1"/>
    <col min="6" max="6" width="21" customWidth="1"/>
    <col min="7" max="7" width="15.5703125" customWidth="1"/>
    <col min="8" max="8" width="15.42578125" customWidth="1"/>
  </cols>
  <sheetData>
    <row r="1" spans="1:8" ht="30" x14ac:dyDescent="0.25">
      <c r="A1" s="33" t="s">
        <v>0</v>
      </c>
      <c r="B1" s="33" t="s">
        <v>1</v>
      </c>
      <c r="C1" s="34" t="s">
        <v>24</v>
      </c>
      <c r="D1" s="34" t="s">
        <v>25</v>
      </c>
      <c r="E1" s="34" t="s">
        <v>26</v>
      </c>
      <c r="F1" s="34" t="s">
        <v>27</v>
      </c>
      <c r="G1" s="34" t="s">
        <v>28</v>
      </c>
      <c r="H1" s="34" t="s">
        <v>29</v>
      </c>
    </row>
    <row r="2" spans="1:8" x14ac:dyDescent="0.25">
      <c r="A2" s="2">
        <v>1</v>
      </c>
      <c r="B2" s="2" t="s">
        <v>30</v>
      </c>
      <c r="C2" s="32">
        <v>36</v>
      </c>
      <c r="D2" s="2"/>
      <c r="E2" s="2"/>
      <c r="F2" s="2"/>
      <c r="G2" s="2"/>
      <c r="H2" s="2">
        <v>0</v>
      </c>
    </row>
    <row r="3" spans="1:8" x14ac:dyDescent="0.25">
      <c r="A3" s="164">
        <v>2</v>
      </c>
      <c r="B3" s="162" t="s">
        <v>31</v>
      </c>
      <c r="C3" s="149">
        <v>36</v>
      </c>
      <c r="D3" s="2"/>
      <c r="E3" s="2"/>
      <c r="F3" s="2" t="s">
        <v>68</v>
      </c>
      <c r="G3" s="2"/>
      <c r="H3" s="2"/>
    </row>
    <row r="4" spans="1:8" x14ac:dyDescent="0.25">
      <c r="A4" s="165"/>
      <c r="B4" s="163"/>
      <c r="C4" s="151"/>
      <c r="D4" s="2"/>
      <c r="E4" s="2"/>
      <c r="F4" s="2" t="s">
        <v>69</v>
      </c>
      <c r="G4" s="2"/>
      <c r="H4" s="2">
        <v>0</v>
      </c>
    </row>
    <row r="5" spans="1:8" x14ac:dyDescent="0.25">
      <c r="A5" s="2">
        <v>3</v>
      </c>
      <c r="B5" s="2" t="s">
        <v>32</v>
      </c>
      <c r="C5" s="32">
        <v>36</v>
      </c>
      <c r="D5" s="2"/>
      <c r="E5" s="2"/>
      <c r="F5" s="2"/>
      <c r="G5" s="2">
        <v>3</v>
      </c>
      <c r="H5" s="2">
        <v>0</v>
      </c>
    </row>
    <row r="6" spans="1:8" x14ac:dyDescent="0.25">
      <c r="A6" s="2">
        <v>4</v>
      </c>
      <c r="B6" s="2" t="s">
        <v>33</v>
      </c>
      <c r="C6" s="32">
        <v>36</v>
      </c>
      <c r="D6" s="2"/>
      <c r="E6" s="2"/>
      <c r="F6" s="2" t="s">
        <v>23</v>
      </c>
      <c r="G6" s="2"/>
      <c r="H6" s="2">
        <v>0</v>
      </c>
    </row>
    <row r="7" spans="1:8" x14ac:dyDescent="0.25">
      <c r="A7" s="2">
        <v>5</v>
      </c>
      <c r="B7" s="2" t="s">
        <v>34</v>
      </c>
      <c r="C7" s="32">
        <v>36</v>
      </c>
      <c r="D7" s="2"/>
      <c r="E7" s="2"/>
      <c r="F7" s="2" t="s">
        <v>23</v>
      </c>
      <c r="G7" s="2"/>
      <c r="H7" s="2">
        <v>0</v>
      </c>
    </row>
    <row r="8" spans="1:8" x14ac:dyDescent="0.25">
      <c r="A8" s="5">
        <v>6</v>
      </c>
      <c r="B8" s="5" t="s">
        <v>39</v>
      </c>
      <c r="C8" s="32">
        <v>36</v>
      </c>
      <c r="D8" s="2"/>
      <c r="E8" s="2"/>
      <c r="F8" s="2" t="s">
        <v>70</v>
      </c>
      <c r="G8" s="2"/>
      <c r="H8" s="2"/>
    </row>
  </sheetData>
  <mergeCells count="3">
    <mergeCell ref="C3:C4"/>
    <mergeCell ref="B3:B4"/>
    <mergeCell ref="A3:A4"/>
  </mergeCells>
  <phoneticPr fontId="1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AA8FA-D92E-412D-8670-ACECAED0BFCF}">
  <dimension ref="A1:K16"/>
  <sheetViews>
    <sheetView tabSelected="1" topLeftCell="A4" workbookViewId="0">
      <selection activeCell="B15" sqref="B15"/>
    </sheetView>
  </sheetViews>
  <sheetFormatPr defaultRowHeight="15" x14ac:dyDescent="0.25"/>
  <cols>
    <col min="1" max="2" width="16.28515625" customWidth="1"/>
    <col min="3" max="3" width="23.85546875" customWidth="1"/>
    <col min="5" max="5" width="27.7109375" customWidth="1"/>
    <col min="6" max="6" width="18.28515625" customWidth="1"/>
    <col min="7" max="7" width="12.85546875" customWidth="1"/>
    <col min="8" max="8" width="27.42578125" customWidth="1"/>
    <col min="10" max="10" width="18" customWidth="1"/>
    <col min="11" max="11" width="18.140625" customWidth="1"/>
  </cols>
  <sheetData>
    <row r="1" spans="1:11" ht="30" x14ac:dyDescent="0.25">
      <c r="A1" s="191" t="s">
        <v>278</v>
      </c>
      <c r="B1" s="191" t="s">
        <v>294</v>
      </c>
      <c r="C1" s="191" t="s">
        <v>296</v>
      </c>
      <c r="D1" s="191" t="s">
        <v>0</v>
      </c>
      <c r="E1" s="191" t="s">
        <v>295</v>
      </c>
      <c r="F1" s="191" t="s">
        <v>297</v>
      </c>
      <c r="G1" s="191" t="s">
        <v>298</v>
      </c>
      <c r="H1" s="191" t="s">
        <v>301</v>
      </c>
      <c r="I1" s="191" t="s">
        <v>314</v>
      </c>
      <c r="J1" s="192" t="s">
        <v>275</v>
      </c>
      <c r="K1" s="191" t="s">
        <v>332</v>
      </c>
    </row>
    <row r="2" spans="1:11" ht="30" x14ac:dyDescent="0.25">
      <c r="A2" s="186">
        <v>46267</v>
      </c>
      <c r="B2" s="187">
        <v>0.65069444444444402</v>
      </c>
      <c r="C2" s="187">
        <v>0.70833333333333337</v>
      </c>
      <c r="D2" s="4" t="s">
        <v>292</v>
      </c>
      <c r="E2" s="2" t="s">
        <v>293</v>
      </c>
      <c r="F2" s="2">
        <v>0</v>
      </c>
      <c r="G2" s="2" t="s">
        <v>299</v>
      </c>
      <c r="H2" s="2" t="s">
        <v>315</v>
      </c>
      <c r="I2" s="2"/>
      <c r="J2" s="188">
        <f>2/11*100%</f>
        <v>0.18181818181818182</v>
      </c>
      <c r="K2" s="188">
        <f>1/2*100%</f>
        <v>0.5</v>
      </c>
    </row>
    <row r="3" spans="1:11" ht="60" customHeight="1" x14ac:dyDescent="0.25">
      <c r="A3" s="186">
        <v>46267</v>
      </c>
      <c r="B3" s="187">
        <v>0.66388888888888886</v>
      </c>
      <c r="C3" s="187">
        <v>0.66388888888888886</v>
      </c>
      <c r="D3" s="2">
        <v>268370</v>
      </c>
      <c r="E3" s="2" t="s">
        <v>302</v>
      </c>
      <c r="F3" s="2">
        <v>0</v>
      </c>
      <c r="G3" s="2" t="s">
        <v>300</v>
      </c>
      <c r="H3" s="4" t="s">
        <v>303</v>
      </c>
      <c r="I3" s="2"/>
      <c r="J3" s="189"/>
      <c r="K3" s="189"/>
    </row>
    <row r="4" spans="1:11" ht="60" x14ac:dyDescent="0.25">
      <c r="A4" s="186">
        <v>46267</v>
      </c>
      <c r="B4" s="187"/>
      <c r="C4" s="187"/>
      <c r="D4" s="4" t="s">
        <v>304</v>
      </c>
      <c r="E4" s="2" t="s">
        <v>305</v>
      </c>
      <c r="F4" s="2">
        <v>0</v>
      </c>
      <c r="G4" s="2"/>
      <c r="H4" s="4" t="s">
        <v>306</v>
      </c>
      <c r="I4" s="2"/>
      <c r="J4" s="189"/>
      <c r="K4" s="189"/>
    </row>
    <row r="5" spans="1:11" ht="30" x14ac:dyDescent="0.25">
      <c r="A5" s="186">
        <v>46267</v>
      </c>
      <c r="B5" s="187">
        <v>0.6166666666666667</v>
      </c>
      <c r="C5" s="187">
        <v>0.62708333333333333</v>
      </c>
      <c r="D5" s="2">
        <v>268319</v>
      </c>
      <c r="E5" s="4" t="s">
        <v>309</v>
      </c>
      <c r="F5" s="2">
        <v>0</v>
      </c>
      <c r="G5" s="2" t="s">
        <v>307</v>
      </c>
      <c r="H5" s="2" t="s">
        <v>308</v>
      </c>
      <c r="I5" s="2"/>
      <c r="J5" s="189"/>
      <c r="K5" s="189"/>
    </row>
    <row r="6" spans="1:11" ht="45" x14ac:dyDescent="0.25">
      <c r="A6" s="186">
        <v>46267</v>
      </c>
      <c r="B6" s="187">
        <v>0.61597222222222225</v>
      </c>
      <c r="C6" s="2"/>
      <c r="D6" s="4" t="s">
        <v>312</v>
      </c>
      <c r="E6" s="4" t="s">
        <v>311</v>
      </c>
      <c r="F6" s="2">
        <v>1</v>
      </c>
      <c r="G6" s="4" t="s">
        <v>310</v>
      </c>
      <c r="H6" s="4" t="s">
        <v>313</v>
      </c>
      <c r="I6" s="2">
        <v>3660</v>
      </c>
      <c r="J6" s="189"/>
      <c r="K6" s="189"/>
    </row>
    <row r="7" spans="1:11" x14ac:dyDescent="0.25">
      <c r="A7" s="186">
        <v>46267</v>
      </c>
      <c r="B7" s="187">
        <v>0.54305555555555551</v>
      </c>
      <c r="C7" s="187">
        <v>0.56111111111111112</v>
      </c>
      <c r="D7" s="2">
        <v>268257</v>
      </c>
      <c r="E7" s="2" t="s">
        <v>317</v>
      </c>
      <c r="F7" s="2">
        <v>1</v>
      </c>
      <c r="G7" s="2" t="s">
        <v>316</v>
      </c>
      <c r="H7" s="2" t="s">
        <v>318</v>
      </c>
      <c r="I7" s="2"/>
      <c r="J7" s="189"/>
      <c r="K7" s="189"/>
    </row>
    <row r="8" spans="1:11" ht="45" x14ac:dyDescent="0.25">
      <c r="A8" s="186">
        <v>46267</v>
      </c>
      <c r="B8" s="187">
        <v>0.52152777777777781</v>
      </c>
      <c r="C8" s="2"/>
      <c r="D8" s="4" t="s">
        <v>319</v>
      </c>
      <c r="E8" s="4" t="s">
        <v>322</v>
      </c>
      <c r="F8" s="2">
        <v>0</v>
      </c>
      <c r="G8" s="4" t="s">
        <v>310</v>
      </c>
      <c r="H8" s="4" t="s">
        <v>320</v>
      </c>
      <c r="I8" s="2"/>
      <c r="J8" s="189"/>
      <c r="K8" s="189"/>
    </row>
    <row r="9" spans="1:11" ht="90" x14ac:dyDescent="0.25">
      <c r="A9" s="186">
        <v>46267</v>
      </c>
      <c r="B9" s="4" t="s">
        <v>325</v>
      </c>
      <c r="C9" s="2"/>
      <c r="D9" s="4" t="s">
        <v>324</v>
      </c>
      <c r="E9" s="4" t="s">
        <v>323</v>
      </c>
      <c r="F9" s="2">
        <v>0</v>
      </c>
      <c r="G9" s="4" t="s">
        <v>310</v>
      </c>
      <c r="H9" s="4" t="s">
        <v>321</v>
      </c>
      <c r="I9" s="2"/>
      <c r="J9" s="189"/>
      <c r="K9" s="189"/>
    </row>
    <row r="10" spans="1:11" ht="30" x14ac:dyDescent="0.25">
      <c r="A10" s="186">
        <v>46267</v>
      </c>
      <c r="B10" s="187">
        <v>0.38819444444444445</v>
      </c>
      <c r="C10" s="2"/>
      <c r="D10" s="2">
        <v>268164</v>
      </c>
      <c r="E10" s="2" t="s">
        <v>326</v>
      </c>
      <c r="F10" s="2">
        <v>0</v>
      </c>
      <c r="G10" s="4" t="s">
        <v>310</v>
      </c>
      <c r="H10" s="4" t="s">
        <v>327</v>
      </c>
      <c r="I10" s="2"/>
      <c r="J10" s="189"/>
      <c r="K10" s="189"/>
    </row>
    <row r="11" spans="1:11" x14ac:dyDescent="0.25">
      <c r="A11" s="186">
        <v>46267</v>
      </c>
      <c r="B11" s="187">
        <v>0.30555555555555552</v>
      </c>
      <c r="C11" s="2"/>
      <c r="D11" s="2">
        <v>268154</v>
      </c>
      <c r="E11" s="2" t="s">
        <v>328</v>
      </c>
      <c r="F11" s="2"/>
      <c r="G11" s="2" t="s">
        <v>307</v>
      </c>
      <c r="H11" s="2" t="s">
        <v>329</v>
      </c>
      <c r="I11" s="2"/>
      <c r="J11" s="189"/>
      <c r="K11" s="189"/>
    </row>
    <row r="12" spans="1:11" ht="60" x14ac:dyDescent="0.25">
      <c r="A12" s="186">
        <v>46267</v>
      </c>
      <c r="B12" s="187">
        <v>9.0277777777777787E-3</v>
      </c>
      <c r="C12" s="2"/>
      <c r="D12" s="2">
        <v>268152</v>
      </c>
      <c r="E12" s="2" t="s">
        <v>328</v>
      </c>
      <c r="F12" s="2"/>
      <c r="G12" s="2" t="s">
        <v>330</v>
      </c>
      <c r="H12" s="4" t="s">
        <v>331</v>
      </c>
      <c r="I12" s="2"/>
      <c r="J12" s="190"/>
      <c r="K12" s="190"/>
    </row>
    <row r="13" spans="1:11" x14ac:dyDescent="0.25">
      <c r="A13" s="186">
        <v>46268</v>
      </c>
      <c r="B13" s="2"/>
      <c r="C13" s="2"/>
      <c r="D13" s="2"/>
      <c r="E13" s="2"/>
      <c r="F13" s="2"/>
      <c r="G13" s="2"/>
      <c r="I13" s="2"/>
    </row>
    <row r="14" spans="1:11" x14ac:dyDescent="0.25">
      <c r="A14" s="186">
        <v>46268</v>
      </c>
      <c r="B14" s="2"/>
      <c r="C14" s="2"/>
      <c r="D14" s="2"/>
      <c r="E14" s="2"/>
      <c r="F14" s="2"/>
      <c r="G14" s="2"/>
      <c r="H14" s="2"/>
      <c r="I14" s="2"/>
    </row>
    <row r="15" spans="1:11" x14ac:dyDescent="0.25">
      <c r="A15" s="186">
        <v>46268</v>
      </c>
      <c r="B15" s="2"/>
      <c r="C15" s="2"/>
      <c r="D15" s="2"/>
      <c r="E15" s="2"/>
      <c r="F15" s="2"/>
      <c r="G15" s="2"/>
      <c r="H15" s="2"/>
      <c r="I15" s="2"/>
    </row>
    <row r="16" spans="1:11" x14ac:dyDescent="0.25">
      <c r="A16" s="186">
        <v>46268</v>
      </c>
      <c r="B16" s="2"/>
      <c r="C16" s="2"/>
      <c r="D16" s="2"/>
      <c r="E16" s="2"/>
      <c r="F16" s="2"/>
      <c r="G16" s="2"/>
      <c r="H16" s="2"/>
      <c r="I16" s="2"/>
    </row>
  </sheetData>
  <mergeCells count="2">
    <mergeCell ref="J2:J12"/>
    <mergeCell ref="K2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Сотрудники</vt:lpstr>
      <vt:lpstr>Зарплата</vt:lpstr>
      <vt:lpstr>тест</vt:lpstr>
      <vt:lpstr>МД и эффективность 2026</vt:lpstr>
      <vt:lpstr>конверсия</vt:lpstr>
      <vt:lpstr>РК ЭПД</vt:lpstr>
      <vt:lpstr>планы ЭПД</vt:lpstr>
      <vt:lpstr>Отпуска</vt:lpstr>
      <vt:lpstr>контроль лидов Б24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Савинская Евгения</cp:lastModifiedBy>
  <dcterms:created xsi:type="dcterms:W3CDTF">2026-08-18T01:45:48Z</dcterms:created>
  <dcterms:modified xsi:type="dcterms:W3CDTF">2026-09-04T01:04:22Z</dcterms:modified>
</cp:coreProperties>
</file>