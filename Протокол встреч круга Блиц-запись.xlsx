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токол круга" sheetId="1" state="visible" r:id="rId1"/>
  </sheets>
  <definedNames>
    <definedName name="_xlnm.Print_Titles" localSheetId="0">'Протокол круга'!$1:$2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sz val="11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1B3A4B"/>
      <sz val="11"/>
    </font>
  </fonts>
  <fills count="9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2A9D8F"/>
      </patternFill>
    </fill>
    <fill>
      <patternFill patternType="solid">
        <fgColor rgb="00ECECEC"/>
      </patternFill>
    </fill>
    <fill>
      <patternFill patternType="solid">
        <fgColor rgb="00FFF2CC"/>
      </patternFill>
    </fill>
    <fill>
      <patternFill patternType="solid">
        <fgColor rgb="00F7FAFC"/>
      </patternFill>
    </fill>
    <fill>
      <patternFill patternType="solid">
        <fgColor rgb="008BC34A"/>
      </patternFill>
    </fill>
    <fill>
      <patternFill patternType="solid">
        <fgColor rgb="00E2EF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5" borderId="1" pivotButton="0" quotePrefix="0" xfId="0"/>
    <xf numFmtId="1" fontId="3" fillId="5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4" borderId="1" pivotButton="0" quotePrefix="0" xfId="0"/>
    <xf numFmtId="0" fontId="0" fillId="4" borderId="1" pivotButton="0" quotePrefix="0" xfId="0"/>
    <xf numFmtId="1" fontId="4" fillId="4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12" customWidth="1" min="4" max="4"/>
    <col width="16" customWidth="1" min="5" max="5"/>
    <col width="18" customWidth="1" min="6" max="6"/>
    <col width="18" customWidth="1" min="7" max="7"/>
    <col width="18" customWidth="1" min="8" max="8"/>
    <col width="22" customWidth="1" min="9" max="9"/>
  </cols>
  <sheetData>
    <row r="1" ht="32" customHeight="1">
      <c r="A1" s="1" t="inlineStr">
        <is>
          <t>Протокол встречи круга — проект «Блиц-запись»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Группа продуктового запуска · руководитель проекта: Блохина Елизавета · менеджер по продажам: Коршак Михаил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4" customHeight="1">
      <c r="A3" s="3" t="inlineStr">
        <is>
          <t>Дата встречи</t>
        </is>
      </c>
      <c r="B3" s="4" t="n"/>
      <c r="C3" s="3" t="inlineStr">
        <is>
          <t>Формат</t>
        </is>
      </c>
      <c r="D3" s="5" t="n"/>
      <c r="E3" s="4" t="inlineStr">
        <is>
          <t>Круг / очно / онлайн</t>
        </is>
      </c>
      <c r="F3" s="3" t="inlineStr">
        <is>
          <t>Участники</t>
        </is>
      </c>
      <c r="G3" s="5" t="n"/>
      <c r="H3" s="6" t="inlineStr">
        <is>
          <t>Блохина Елизавета, Коршак Михаил</t>
        </is>
      </c>
      <c r="I3" s="6" t="n"/>
    </row>
    <row r="4" ht="18" customHeight="1">
      <c r="A4" s="7" t="inlineStr">
        <is>
          <t>Жёлтые ячейки — для ввода. Конверсии считаются автоматически. Можно добавить несколько строк баз.</t>
        </is>
      </c>
      <c r="B4" s="7" t="n"/>
      <c r="C4" s="7" t="n"/>
      <c r="D4" s="7" t="n"/>
      <c r="E4" s="7" t="n"/>
      <c r="F4" s="7" t="n"/>
      <c r="G4" s="7" t="n"/>
      <c r="H4" s="7" t="n"/>
      <c r="I4" s="7" t="n"/>
    </row>
    <row r="5" ht="24" customHeight="1">
      <c r="A5" s="8" t="inlineStr">
        <is>
          <t>1. Показатели по работе менеджера по продажам — Коршак Михаил</t>
        </is>
      </c>
      <c r="B5" s="8" t="n"/>
      <c r="C5" s="8" t="n"/>
      <c r="D5" s="8" t="n"/>
      <c r="E5" s="8" t="n"/>
      <c r="F5" s="8" t="n"/>
      <c r="G5" s="8" t="n"/>
      <c r="H5" s="8" t="n"/>
      <c r="I5" s="8" t="n"/>
    </row>
    <row r="6" ht="36" customHeight="1">
      <c r="A6" s="9" t="inlineStr">
        <is>
          <t>№</t>
        </is>
      </c>
      <c r="B6" s="9" t="inlineStr">
        <is>
          <t>База</t>
        </is>
      </c>
      <c r="C6" s="9" t="inlineStr">
        <is>
          <t>Обработано</t>
        </is>
      </c>
      <c r="D6" s="9" t="inlineStr">
        <is>
          <t>Сделок</t>
        </is>
      </c>
      <c r="E6" s="9" t="inlineStr">
        <is>
          <t>Отправлено КП</t>
        </is>
      </c>
      <c r="F6" s="9" t="inlineStr">
        <is>
          <t>Записано на демонстрацию</t>
        </is>
      </c>
      <c r="G6" s="9" t="inlineStr">
        <is>
          <t>Конверсия обзвон → сделка</t>
        </is>
      </c>
      <c r="H6" s="9" t="inlineStr">
        <is>
          <t>Конверсия сделка → демонстрация</t>
        </is>
      </c>
      <c r="I6" s="9" t="inlineStr">
        <is>
          <t>Комментарий по базе</t>
        </is>
      </c>
    </row>
    <row r="7" ht="22" customHeight="1">
      <c r="A7" s="6" t="n">
        <v>1</v>
      </c>
      <c r="B7" s="10" t="inlineStr">
        <is>
          <t>Холодная база</t>
        </is>
      </c>
      <c r="C7" s="11" t="n"/>
      <c r="D7" s="11" t="n"/>
      <c r="E7" s="11" t="n"/>
      <c r="F7" s="11" t="n"/>
      <c r="G7" s="12">
        <f>IF(OR(C7="",C7=0),"",D7/C7)</f>
        <v/>
      </c>
      <c r="H7" s="12">
        <f>IF(OR(D7="",D7=0),"",F7/D7)</f>
        <v/>
      </c>
      <c r="I7" s="13" t="n"/>
    </row>
    <row r="8" ht="22" customHeight="1">
      <c r="A8" s="6" t="n">
        <v>2</v>
      </c>
      <c r="B8" s="10" t="inlineStr">
        <is>
          <t>Тёплая база (клиенты Форус)</t>
        </is>
      </c>
      <c r="C8" s="11" t="n"/>
      <c r="D8" s="11" t="n"/>
      <c r="E8" s="11" t="n"/>
      <c r="F8" s="11" t="n"/>
      <c r="G8" s="12">
        <f>IF(OR(C8="",C8=0),"",D8/C8)</f>
        <v/>
      </c>
      <c r="H8" s="12">
        <f>IF(OR(D8="",D8=0),"",F8/D8)</f>
        <v/>
      </c>
      <c r="I8" s="13" t="n"/>
    </row>
    <row r="9" ht="22" customHeight="1">
      <c r="A9" s="6" t="n">
        <v>3</v>
      </c>
      <c r="B9" s="10" t="n"/>
      <c r="C9" s="11" t="n"/>
      <c r="D9" s="11" t="n"/>
      <c r="E9" s="11" t="n"/>
      <c r="F9" s="11" t="n"/>
      <c r="G9" s="12">
        <f>IF(OR(C9="",C9=0),"",D9/C9)</f>
        <v/>
      </c>
      <c r="H9" s="12">
        <f>IF(OR(D9="",D9=0),"",F9/D9)</f>
        <v/>
      </c>
      <c r="I9" s="13" t="n"/>
    </row>
    <row r="10" ht="22" customHeight="1">
      <c r="A10" s="6" t="n">
        <v>4</v>
      </c>
      <c r="B10" s="10" t="n"/>
      <c r="C10" s="11" t="n"/>
      <c r="D10" s="11" t="n"/>
      <c r="E10" s="11" t="n"/>
      <c r="F10" s="11" t="n"/>
      <c r="G10" s="12">
        <f>IF(OR(C10="",C10=0),"",D10/C10)</f>
        <v/>
      </c>
      <c r="H10" s="12">
        <f>IF(OR(D10="",D10=0),"",F10/D10)</f>
        <v/>
      </c>
      <c r="I10" s="13" t="n"/>
    </row>
    <row r="11" ht="22" customHeight="1">
      <c r="A11" s="6" t="n">
        <v>5</v>
      </c>
      <c r="B11" s="10" t="n"/>
      <c r="C11" s="11" t="n"/>
      <c r="D11" s="11" t="n"/>
      <c r="E11" s="11" t="n"/>
      <c r="F11" s="11" t="n"/>
      <c r="G11" s="12">
        <f>IF(OR(C11="",C11=0),"",D11/C11)</f>
        <v/>
      </c>
      <c r="H11" s="12">
        <f>IF(OR(D11="",D11=0),"",F11/D11)</f>
        <v/>
      </c>
      <c r="I11" s="13" t="n"/>
    </row>
    <row r="12" ht="24" customHeight="1">
      <c r="A12" s="14" t="inlineStr">
        <is>
          <t>Итого</t>
        </is>
      </c>
      <c r="B12" s="15" t="n"/>
      <c r="C12" s="16">
        <f>SUM(C7:C11)</f>
        <v/>
      </c>
      <c r="D12" s="16">
        <f>SUM(D7:D11)</f>
        <v/>
      </c>
      <c r="E12" s="16">
        <f>SUM(E7:E11)</f>
        <v/>
      </c>
      <c r="F12" s="16">
        <f>SUM(F7:F11)</f>
        <v/>
      </c>
      <c r="G12" s="17">
        <f>IF(OR(C12="",C12=0),"",D12/C12)</f>
        <v/>
      </c>
      <c r="H12" s="17">
        <f>IF(OR(D12="",D12=0),"",F12/D12)</f>
        <v/>
      </c>
      <c r="I12" s="15" t="n"/>
    </row>
    <row r="13" ht="28" customHeight="1">
      <c r="A13" s="18" t="inlineStr">
        <is>
          <t>Конверсия «обзвон → сделка» = сделки ÷ обработано. Конверсия «сделка → демонстрация» = записано на демонстрацию ÷ сделки. Период показателей укажите в комментарии или в дате встречи.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5" ht="24" customHeight="1">
      <c r="A15" s="8" t="inlineStr">
        <is>
          <t>2. Обсуждаемые темы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8" customHeight="1">
      <c r="A16" s="9" t="inlineStr">
        <is>
          <t>№</t>
        </is>
      </c>
      <c r="B16" s="9" t="inlineStr">
        <is>
          <t>Вопрос / тема</t>
        </is>
      </c>
      <c r="C16" s="9" t="n"/>
      <c r="D16" s="9" t="n"/>
      <c r="E16" s="9" t="inlineStr">
        <is>
          <t>Ответственный</t>
        </is>
      </c>
      <c r="F16" s="9" t="inlineStr">
        <is>
          <t>Сроки</t>
        </is>
      </c>
      <c r="G16" s="9" t="inlineStr">
        <is>
          <t>Статус</t>
        </is>
      </c>
      <c r="H16" s="9" t="inlineStr">
        <is>
          <t>Комментарий</t>
        </is>
      </c>
      <c r="I16" s="9" t="n"/>
    </row>
    <row r="17" ht="28" customHeight="1">
      <c r="A17" s="6" t="n">
        <v>1</v>
      </c>
      <c r="B17" s="19" t="n"/>
      <c r="C17" s="10" t="n"/>
      <c r="D17" s="10" t="n"/>
      <c r="E17" s="4" t="inlineStr">
        <is>
          <t>Коршак Михаил</t>
        </is>
      </c>
      <c r="F17" s="4" t="n"/>
      <c r="G17" s="4" t="n"/>
      <c r="H17" s="19" t="n"/>
      <c r="I17" s="10" t="n"/>
    </row>
    <row r="18" ht="28" customHeight="1">
      <c r="A18" s="6" t="n">
        <v>2</v>
      </c>
      <c r="B18" s="19" t="n"/>
      <c r="C18" s="10" t="n"/>
      <c r="D18" s="10" t="n"/>
      <c r="E18" s="4" t="inlineStr">
        <is>
          <t>Блохина Елизавета</t>
        </is>
      </c>
      <c r="F18" s="4" t="n"/>
      <c r="G18" s="4" t="n"/>
      <c r="H18" s="19" t="n"/>
      <c r="I18" s="10" t="n"/>
    </row>
    <row r="19" ht="28" customHeight="1">
      <c r="A19" s="6" t="n">
        <v>3</v>
      </c>
      <c r="B19" s="19" t="n"/>
      <c r="C19" s="10" t="n"/>
      <c r="D19" s="10" t="n"/>
      <c r="E19" s="4" t="n"/>
      <c r="F19" s="4" t="n"/>
      <c r="G19" s="4" t="n"/>
      <c r="H19" s="19" t="n"/>
      <c r="I19" s="10" t="n"/>
    </row>
    <row r="20" ht="28" customHeight="1">
      <c r="A20" s="6" t="n">
        <v>4</v>
      </c>
      <c r="B20" s="19" t="n"/>
      <c r="C20" s="10" t="n"/>
      <c r="D20" s="10" t="n"/>
      <c r="E20" s="4" t="n"/>
      <c r="F20" s="4" t="n"/>
      <c r="G20" s="4" t="n"/>
      <c r="H20" s="19" t="n"/>
      <c r="I20" s="10" t="n"/>
    </row>
    <row r="21" ht="28" customHeight="1">
      <c r="A21" s="6" t="n">
        <v>5</v>
      </c>
      <c r="B21" s="19" t="n"/>
      <c r="C21" s="10" t="n"/>
      <c r="D21" s="10" t="n"/>
      <c r="E21" s="4" t="n"/>
      <c r="F21" s="4" t="n"/>
      <c r="G21" s="4" t="n"/>
      <c r="H21" s="19" t="n"/>
      <c r="I21" s="10" t="n"/>
    </row>
    <row r="22" ht="28" customHeight="1">
      <c r="A22" s="6" t="n">
        <v>6</v>
      </c>
      <c r="B22" s="19" t="n"/>
      <c r="C22" s="10" t="n"/>
      <c r="D22" s="10" t="n"/>
      <c r="E22" s="4" t="n"/>
      <c r="F22" s="4" t="n"/>
      <c r="G22" s="4" t="n"/>
      <c r="H22" s="19" t="n"/>
      <c r="I22" s="10" t="n"/>
    </row>
    <row r="23" ht="28" customHeight="1">
      <c r="A23" s="6" t="n">
        <v>7</v>
      </c>
      <c r="B23" s="19" t="n"/>
      <c r="C23" s="10" t="n"/>
      <c r="D23" s="10" t="n"/>
      <c r="E23" s="4" t="n"/>
      <c r="F23" s="4" t="n"/>
      <c r="G23" s="4" t="n"/>
      <c r="H23" s="19" t="n"/>
      <c r="I23" s="10" t="n"/>
    </row>
    <row r="24" ht="28" customHeight="1">
      <c r="A24" s="6" t="n">
        <v>8</v>
      </c>
      <c r="B24" s="19" t="n"/>
      <c r="C24" s="10" t="n"/>
      <c r="D24" s="10" t="n"/>
      <c r="E24" s="4" t="n"/>
      <c r="F24" s="4" t="n"/>
      <c r="G24" s="4" t="n"/>
      <c r="H24" s="19" t="n"/>
      <c r="I24" s="10" t="n"/>
    </row>
    <row r="25" ht="28" customHeight="1">
      <c r="A25" s="6" t="n">
        <v>9</v>
      </c>
      <c r="B25" s="19" t="n"/>
      <c r="C25" s="10" t="n"/>
      <c r="D25" s="10" t="n"/>
      <c r="E25" s="4" t="n"/>
      <c r="F25" s="4" t="n"/>
      <c r="G25" s="4" t="n"/>
      <c r="H25" s="19" t="n"/>
      <c r="I25" s="10" t="n"/>
    </row>
    <row r="26" ht="28" customHeight="1">
      <c r="A26" s="6" t="n">
        <v>10</v>
      </c>
      <c r="B26" s="19" t="n"/>
      <c r="C26" s="10" t="n"/>
      <c r="D26" s="10" t="n"/>
      <c r="E26" s="4" t="n"/>
      <c r="F26" s="4" t="n"/>
      <c r="G26" s="4" t="n"/>
      <c r="H26" s="19" t="n"/>
      <c r="I26" s="10" t="n"/>
    </row>
    <row r="28" ht="24" customHeight="1">
      <c r="A28" s="8" t="inlineStr">
        <is>
          <t>3. Итоги встречи и следующие шаги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</row>
    <row r="29" ht="22" customHeight="1">
      <c r="A29" s="19" t="inlineStr">
        <is>
          <t>Кратко зафиксируйте решения встречи и договорённости на следующую неделю:</t>
        </is>
      </c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ht="22" customHeight="1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ht="22" customHeight="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3">
      <c r="A33" s="7" t="inlineStr">
        <is>
          <t>Статусы вопросов: в работе · выполнено · отложено · снято. Файл можно копировать на каждую новую дату встречи (переименовать лист).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</row>
  </sheetData>
  <mergeCells count="35">
    <mergeCell ref="H20:I20"/>
    <mergeCell ref="B23:D23"/>
    <mergeCell ref="B17:D17"/>
    <mergeCell ref="F3:G3"/>
    <mergeCell ref="H25:I25"/>
    <mergeCell ref="B19:D19"/>
    <mergeCell ref="A2:I2"/>
    <mergeCell ref="H21:I21"/>
    <mergeCell ref="A33:I33"/>
    <mergeCell ref="A5:I5"/>
    <mergeCell ref="A4:I4"/>
    <mergeCell ref="B24:D24"/>
    <mergeCell ref="B20:D20"/>
    <mergeCell ref="H17:I17"/>
    <mergeCell ref="A12:B12"/>
    <mergeCell ref="A29:I31"/>
    <mergeCell ref="H16:I16"/>
    <mergeCell ref="A28:I28"/>
    <mergeCell ref="A13:I13"/>
    <mergeCell ref="B26:D26"/>
    <mergeCell ref="H19:I19"/>
    <mergeCell ref="H22:I22"/>
    <mergeCell ref="B25:D25"/>
    <mergeCell ref="B16:D16"/>
    <mergeCell ref="H3:I3"/>
    <mergeCell ref="A15:I15"/>
    <mergeCell ref="B22:D22"/>
    <mergeCell ref="H24:I24"/>
    <mergeCell ref="H18:I18"/>
    <mergeCell ref="A1:I1"/>
    <mergeCell ref="B18:D18"/>
    <mergeCell ref="H23:I23"/>
    <mergeCell ref="B21:D21"/>
    <mergeCell ref="C3:D3"/>
    <mergeCell ref="H26:I26"/>
  </mergeCells>
  <dataValidations count="1">
    <dataValidation sqref="G17 G18 G19 G20 G21 G22 G23 G24 G25 G26" showDropDown="0" showInputMessage="0" showErrorMessage="0" allowBlank="1" errorTitle="Статус" error="Выберите статус из списка" type="list">
      <formula1>"в работе,выполнено,отложено,снято"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2026-09-14T06:22:06Z</dcterms:created>
  <dcterms:modified xmlns:dcterms="http://purl.org/dc/terms/" xmlns:xsi="http://www.w3.org/2001/XMLSchema-instance" xsi:type="dcterms:W3CDTF">2026-09-14T06:22:06Z</dcterms:modified>
</cp:coreProperties>
</file>