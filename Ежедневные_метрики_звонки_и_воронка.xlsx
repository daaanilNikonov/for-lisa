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Ежедневные метрики" sheetId="1" state="visible" r:id="rId1"/>
    <sheet name="Справочник метрик" sheetId="2" state="visible" r:id="rId2"/>
  </sheets>
  <definedNames>
    <definedName name="_xlnm.Print_Titles" localSheetId="0">'Ежедневные метрики'!$4:$4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8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i val="1"/>
      <color rgb="00666666"/>
      <sz val="10"/>
    </font>
    <font>
      <name val="Calibri"/>
      <b val="1"/>
      <color rgb="00FFFFFF"/>
      <sz val="11"/>
    </font>
    <font>
      <name val="Calibri"/>
      <b val="1"/>
      <sz val="10"/>
    </font>
    <font>
      <b val="1"/>
      <color rgb="001F4E79"/>
      <sz val="12"/>
    </font>
    <font>
      <b val="1"/>
      <color rgb="00FFFFFF"/>
      <sz val="9"/>
    </font>
    <font>
      <b val="1"/>
    </font>
  </fonts>
  <fills count="1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548235"/>
      </patternFill>
    </fill>
    <fill>
      <patternFill patternType="solid">
        <fgColor rgb="00C65911"/>
      </patternFill>
    </fill>
    <fill>
      <patternFill patternType="solid">
        <fgColor rgb="007030A0"/>
      </patternFill>
    </fill>
    <fill>
      <patternFill patternType="solid">
        <fgColor rgb="00833C0C"/>
      </patternFill>
    </fill>
    <fill>
      <patternFill patternType="solid">
        <fgColor rgb="00FFF2CC"/>
      </patternFill>
    </fill>
    <fill>
      <patternFill patternType="solid">
        <fgColor rgb="00D6EAF8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6B6B"/>
      </patternFill>
    </fill>
    <fill>
      <patternFill patternType="solid">
        <fgColor rgb="00C6EFCE"/>
      </patternFill>
    </fill>
  </fills>
  <borders count="5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1" fontId="0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165" fontId="0" fillId="1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2" borderId="1" pivotButton="0" quotePrefix="0" xfId="0"/>
    <xf numFmtId="0" fontId="0" fillId="2" borderId="1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left" vertical="center" wrapText="1"/>
    </xf>
    <xf numFmtId="0" fontId="0" fillId="0" borderId="4" pivotButton="0" quotePrefix="0" xfId="0"/>
    <xf numFmtId="1" fontId="0" fillId="0" borderId="1" applyAlignment="1" pivotButton="0" quotePrefix="0" xfId="0">
      <alignment horizontal="center" vertical="center" wrapText="1"/>
    </xf>
    <xf numFmtId="0" fontId="0" fillId="12" borderId="1" applyAlignment="1" pivotButton="0" quotePrefix="0" xfId="0">
      <alignment horizontal="left" vertical="center" wrapText="1"/>
    </xf>
    <xf numFmtId="0" fontId="7" fillId="0" borderId="0" pivotButton="0" quotePrefix="0" xfId="0"/>
    <xf numFmtId="0" fontId="0" fillId="8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9" borderId="0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2">
    <dxf>
      <font>
        <name val="Calibri"/>
        <b val="1"/>
        <color rgb="009C0006"/>
      </font>
      <fill>
        <patternFill patternType="solid">
          <fgColor rgb="00FF6B6B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7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6" customWidth="1" min="4" max="4"/>
    <col width="18" customWidth="1" min="5" max="5"/>
    <col width="14" customWidth="1" min="6" max="6"/>
    <col width="14" customWidth="1" min="7" max="7"/>
    <col width="12" customWidth="1" min="8" max="8"/>
    <col width="12" customWidth="1" min="9" max="9"/>
    <col width="18" customWidth="1" min="10" max="10"/>
    <col width="16" customWidth="1" min="11" max="11"/>
    <col width="14" customWidth="1" min="12" max="12"/>
    <col width="28" customWidth="1" min="13" max="13"/>
  </cols>
  <sheetData>
    <row r="1" ht="28" customHeight="1">
      <c r="A1" s="1" t="inlineStr">
        <is>
          <t>Ежедневные метрики продаж (месяц нарастающим итогом)</t>
        </is>
      </c>
    </row>
    <row r="2" ht="36" customHeight="1">
      <c r="A2" s="2" t="inlineStr">
        <is>
          <t>Заполняйте нарастающий итог с начала месяца. База — из списка. Число звонков &lt; 20 подсвечивается красным. Колонка «Формат» собирает метрики как 2/3/4/5/6/7/8/9/10/11 автоматически.</t>
        </is>
      </c>
    </row>
    <row r="3" ht="8" customHeight="1"/>
    <row r="4" ht="55" customHeight="1">
      <c r="A4" s="3" t="inlineStr">
        <is>
          <t>Дата</t>
        </is>
      </c>
      <c r="B4" s="3" t="inlineStr">
        <is>
          <t>База</t>
        </is>
      </c>
      <c r="C4" s="3" t="inlineStr">
        <is>
          <t>1. Число звонков
(месяц нарастающим)</t>
        </is>
      </c>
      <c r="D4" s="4" t="inlineStr">
        <is>
          <t>2. Получен номер ЛПР /
Состоялся контакт с ЛПР</t>
        </is>
      </c>
      <c r="E4" s="4" t="inlineStr">
        <is>
          <t>3. Квалификация пройдена /
Выявлен интерес / Отправлено КП</t>
        </is>
      </c>
      <c r="F4" s="4" t="inlineStr">
        <is>
          <t>4. Получена ОС от ЛПР</t>
        </is>
      </c>
      <c r="G4" s="5" t="inlineStr">
        <is>
          <t>5. Назначена встреча
на текущий месяц</t>
        </is>
      </c>
      <c r="H4" s="5" t="inlineStr">
        <is>
          <t>6. Проведено
презентаций</t>
        </is>
      </c>
      <c r="I4" s="6" t="inlineStr">
        <is>
          <t>7. Тестовый доступ
подключен</t>
        </is>
      </c>
      <c r="J4" s="6" t="inlineStr">
        <is>
          <t>8. Онбординг пройден партнером /
Список услуг, прайс, вводные</t>
        </is>
      </c>
      <c r="K4" s="7" t="inlineStr">
        <is>
          <t>9. Личный кабинет настроен
и подготовлен к работе</t>
        </is>
      </c>
      <c r="L4" s="7" t="inlineStr">
        <is>
          <t>10. Ссылка на запись
опубликована</t>
        </is>
      </c>
      <c r="M4" s="8" t="inlineStr">
        <is>
          <t>Формат
2/3/4/5/6/7/8/9/10/11</t>
        </is>
      </c>
    </row>
    <row r="5">
      <c r="A5" s="9" t="n">
        <v>46296</v>
      </c>
      <c r="B5" s="10" t="inlineStr">
        <is>
          <t>холодная база салонов красоты</t>
        </is>
      </c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  <c r="M5" s="12">
        <f>IF(COUNTA(C5:L5)=0,"",TEXT(IF(C5="",0,C5),"0")&amp;"/"&amp;TEXT(IF(D5="",0,D5),"0")&amp;"/"&amp;TEXT(IF(E5="",0,E5),"0")&amp;"/"&amp;TEXT(IF(F5="",0,F5),"0")&amp;"/"&amp;TEXT(IF(G5="",0,G5),"0")&amp;"/"&amp;TEXT(IF(H5="",0,H5),"0")&amp;"/"&amp;TEXT(IF(I5="",0,I5),"0")&amp;"/"&amp;TEXT(IF(J5="",0,J5),"0")&amp;"/"&amp;TEXT(IF(K5="",0,K5),"0")&amp;"/"&amp;TEXT(IF(L5="",0,L5),"0"))</f>
        <v/>
      </c>
    </row>
    <row r="6">
      <c r="A6" s="9" t="n">
        <v>46296</v>
      </c>
      <c r="B6" s="10" t="inlineStr">
        <is>
          <t>база АБУ</t>
        </is>
      </c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2">
        <f>IF(COUNTA(C6:L6)=0,"",TEXT(IF(C6="",0,C6),"0")&amp;"/"&amp;TEXT(IF(D6="",0,D6),"0")&amp;"/"&amp;TEXT(IF(E6="",0,E6),"0")&amp;"/"&amp;TEXT(IF(F6="",0,F6),"0")&amp;"/"&amp;TEXT(IF(G6="",0,G6),"0")&amp;"/"&amp;TEXT(IF(H6="",0,H6),"0")&amp;"/"&amp;TEXT(IF(I6="",0,I6),"0")&amp;"/"&amp;TEXT(IF(J6="",0,J6),"0")&amp;"/"&amp;TEXT(IF(K6="",0,K6),"0")&amp;"/"&amp;TEXT(IF(L6="",0,L6),"0"))</f>
        <v/>
      </c>
    </row>
    <row r="7">
      <c r="A7" s="13" t="n">
        <v>46297</v>
      </c>
      <c r="B7" s="10" t="inlineStr">
        <is>
          <t>холодная база салонов красоты</t>
        </is>
      </c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2">
        <f>IF(COUNTA(C7:L7)=0,"",TEXT(IF(C7="",0,C7),"0")&amp;"/"&amp;TEXT(IF(D7="",0,D7),"0")&amp;"/"&amp;TEXT(IF(E7="",0,E7),"0")&amp;"/"&amp;TEXT(IF(F7="",0,F7),"0")&amp;"/"&amp;TEXT(IF(G7="",0,G7),"0")&amp;"/"&amp;TEXT(IF(H7="",0,H7),"0")&amp;"/"&amp;TEXT(IF(I7="",0,I7),"0")&amp;"/"&amp;TEXT(IF(J7="",0,J7),"0")&amp;"/"&amp;TEXT(IF(K7="",0,K7),"0")&amp;"/"&amp;TEXT(IF(L7="",0,L7),"0"))</f>
        <v/>
      </c>
    </row>
    <row r="8">
      <c r="A8" s="13" t="n">
        <v>46297</v>
      </c>
      <c r="B8" s="10" t="inlineStr">
        <is>
          <t>база АБУ</t>
        </is>
      </c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M8" s="12">
        <f>IF(COUNTA(C8:L8)=0,"",TEXT(IF(C8="",0,C8),"0")&amp;"/"&amp;TEXT(IF(D8="",0,D8),"0")&amp;"/"&amp;TEXT(IF(E8="",0,E8),"0")&amp;"/"&amp;TEXT(IF(F8="",0,F8),"0")&amp;"/"&amp;TEXT(IF(G8="",0,G8),"0")&amp;"/"&amp;TEXT(IF(H8="",0,H8),"0")&amp;"/"&amp;TEXT(IF(I8="",0,I8),"0")&amp;"/"&amp;TEXT(IF(J8="",0,J8),"0")&amp;"/"&amp;TEXT(IF(K8="",0,K8),"0")&amp;"/"&amp;TEXT(IF(L8="",0,L8),"0"))</f>
        <v/>
      </c>
    </row>
    <row r="9">
      <c r="A9" s="9" t="n">
        <v>46298</v>
      </c>
      <c r="B9" s="10" t="inlineStr">
        <is>
          <t>холодная база салонов красоты</t>
        </is>
      </c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2">
        <f>IF(COUNTA(C9:L9)=0,"",TEXT(IF(C9="",0,C9),"0")&amp;"/"&amp;TEXT(IF(D9="",0,D9),"0")&amp;"/"&amp;TEXT(IF(E9="",0,E9),"0")&amp;"/"&amp;TEXT(IF(F9="",0,F9),"0")&amp;"/"&amp;TEXT(IF(G9="",0,G9),"0")&amp;"/"&amp;TEXT(IF(H9="",0,H9),"0")&amp;"/"&amp;TEXT(IF(I9="",0,I9),"0")&amp;"/"&amp;TEXT(IF(J9="",0,J9),"0")&amp;"/"&amp;TEXT(IF(K9="",0,K9),"0")&amp;"/"&amp;TEXT(IF(L9="",0,L9),"0"))</f>
        <v/>
      </c>
    </row>
    <row r="10">
      <c r="A10" s="9" t="n">
        <v>46298</v>
      </c>
      <c r="B10" s="10" t="inlineStr">
        <is>
          <t>база АБУ</t>
        </is>
      </c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2">
        <f>IF(COUNTA(C10:L10)=0,"",TEXT(IF(C10="",0,C10),"0")&amp;"/"&amp;TEXT(IF(D10="",0,D10),"0")&amp;"/"&amp;TEXT(IF(E10="",0,E10),"0")&amp;"/"&amp;TEXT(IF(F10="",0,F10),"0")&amp;"/"&amp;TEXT(IF(G10="",0,G10),"0")&amp;"/"&amp;TEXT(IF(H10="",0,H10),"0")&amp;"/"&amp;TEXT(IF(I10="",0,I10),"0")&amp;"/"&amp;TEXT(IF(J10="",0,J10),"0")&amp;"/"&amp;TEXT(IF(K10="",0,K10),"0")&amp;"/"&amp;TEXT(IF(L10="",0,L10),"0"))</f>
        <v/>
      </c>
    </row>
    <row r="11">
      <c r="A11" s="13" t="n">
        <v>46299</v>
      </c>
      <c r="B11" s="10" t="inlineStr">
        <is>
          <t>холодная база салонов красоты</t>
        </is>
      </c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2">
        <f>IF(COUNTA(C11:L11)=0,"",TEXT(IF(C11="",0,C11),"0")&amp;"/"&amp;TEXT(IF(D11="",0,D11),"0")&amp;"/"&amp;TEXT(IF(E11="",0,E11),"0")&amp;"/"&amp;TEXT(IF(F11="",0,F11),"0")&amp;"/"&amp;TEXT(IF(G11="",0,G11),"0")&amp;"/"&amp;TEXT(IF(H11="",0,H11),"0")&amp;"/"&amp;TEXT(IF(I11="",0,I11),"0")&amp;"/"&amp;TEXT(IF(J11="",0,J11),"0")&amp;"/"&amp;TEXT(IF(K11="",0,K11),"0")&amp;"/"&amp;TEXT(IF(L11="",0,L11),"0"))</f>
        <v/>
      </c>
    </row>
    <row r="12">
      <c r="A12" s="13" t="n">
        <v>46299</v>
      </c>
      <c r="B12" s="10" t="inlineStr">
        <is>
          <t>база АБУ</t>
        </is>
      </c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2">
        <f>IF(COUNTA(C12:L12)=0,"",TEXT(IF(C12="",0,C12),"0")&amp;"/"&amp;TEXT(IF(D12="",0,D12),"0")&amp;"/"&amp;TEXT(IF(E12="",0,E12),"0")&amp;"/"&amp;TEXT(IF(F12="",0,F12),"0")&amp;"/"&amp;TEXT(IF(G12="",0,G12),"0")&amp;"/"&amp;TEXT(IF(H12="",0,H12),"0")&amp;"/"&amp;TEXT(IF(I12="",0,I12),"0")&amp;"/"&amp;TEXT(IF(J12="",0,J12),"0")&amp;"/"&amp;TEXT(IF(K12="",0,K12),"0")&amp;"/"&amp;TEXT(IF(L12="",0,L12),"0"))</f>
        <v/>
      </c>
    </row>
    <row r="13">
      <c r="A13" s="9" t="n">
        <v>46300</v>
      </c>
      <c r="B13" s="10" t="inlineStr">
        <is>
          <t>холодная база салонов красоты</t>
        </is>
      </c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2">
        <f>IF(COUNTA(C13:L13)=0,"",TEXT(IF(C13="",0,C13),"0")&amp;"/"&amp;TEXT(IF(D13="",0,D13),"0")&amp;"/"&amp;TEXT(IF(E13="",0,E13),"0")&amp;"/"&amp;TEXT(IF(F13="",0,F13),"0")&amp;"/"&amp;TEXT(IF(G13="",0,G13),"0")&amp;"/"&amp;TEXT(IF(H13="",0,H13),"0")&amp;"/"&amp;TEXT(IF(I13="",0,I13),"0")&amp;"/"&amp;TEXT(IF(J13="",0,J13),"0")&amp;"/"&amp;TEXT(IF(K13="",0,K13),"0")&amp;"/"&amp;TEXT(IF(L13="",0,L13),"0"))</f>
        <v/>
      </c>
    </row>
    <row r="14">
      <c r="A14" s="9" t="n">
        <v>46300</v>
      </c>
      <c r="B14" s="10" t="inlineStr">
        <is>
          <t>база АБУ</t>
        </is>
      </c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  <c r="M14" s="12">
        <f>IF(COUNTA(C14:L14)=0,"",TEXT(IF(C14="",0,C14),"0")&amp;"/"&amp;TEXT(IF(D14="",0,D14),"0")&amp;"/"&amp;TEXT(IF(E14="",0,E14),"0")&amp;"/"&amp;TEXT(IF(F14="",0,F14),"0")&amp;"/"&amp;TEXT(IF(G14="",0,G14),"0")&amp;"/"&amp;TEXT(IF(H14="",0,H14),"0")&amp;"/"&amp;TEXT(IF(I14="",0,I14),"0")&amp;"/"&amp;TEXT(IF(J14="",0,J14),"0")&amp;"/"&amp;TEXT(IF(K14="",0,K14),"0")&amp;"/"&amp;TEXT(IF(L14="",0,L14),"0"))</f>
        <v/>
      </c>
    </row>
    <row r="15">
      <c r="A15" s="13" t="n">
        <v>46301</v>
      </c>
      <c r="B15" s="10" t="inlineStr">
        <is>
          <t>холодная база салонов красоты</t>
        </is>
      </c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2">
        <f>IF(COUNTA(C15:L15)=0,"",TEXT(IF(C15="",0,C15),"0")&amp;"/"&amp;TEXT(IF(D15="",0,D15),"0")&amp;"/"&amp;TEXT(IF(E15="",0,E15),"0")&amp;"/"&amp;TEXT(IF(F15="",0,F15),"0")&amp;"/"&amp;TEXT(IF(G15="",0,G15),"0")&amp;"/"&amp;TEXT(IF(H15="",0,H15),"0")&amp;"/"&amp;TEXT(IF(I15="",0,I15),"0")&amp;"/"&amp;TEXT(IF(J15="",0,J15),"0")&amp;"/"&amp;TEXT(IF(K15="",0,K15),"0")&amp;"/"&amp;TEXT(IF(L15="",0,L15),"0"))</f>
        <v/>
      </c>
    </row>
    <row r="16">
      <c r="A16" s="13" t="n">
        <v>46301</v>
      </c>
      <c r="B16" s="10" t="inlineStr">
        <is>
          <t>база АБУ</t>
        </is>
      </c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2">
        <f>IF(COUNTA(C16:L16)=0,"",TEXT(IF(C16="",0,C16),"0")&amp;"/"&amp;TEXT(IF(D16="",0,D16),"0")&amp;"/"&amp;TEXT(IF(E16="",0,E16),"0")&amp;"/"&amp;TEXT(IF(F16="",0,F16),"0")&amp;"/"&amp;TEXT(IF(G16="",0,G16),"0")&amp;"/"&amp;TEXT(IF(H16="",0,H16),"0")&amp;"/"&amp;TEXT(IF(I16="",0,I16),"0")&amp;"/"&amp;TEXT(IF(J16="",0,J16),"0")&amp;"/"&amp;TEXT(IF(K16="",0,K16),"0")&amp;"/"&amp;TEXT(IF(L16="",0,L16),"0"))</f>
        <v/>
      </c>
    </row>
    <row r="17">
      <c r="A17" s="9" t="n">
        <v>46302</v>
      </c>
      <c r="B17" s="10" t="inlineStr">
        <is>
          <t>холодная база салонов красоты</t>
        </is>
      </c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2">
        <f>IF(COUNTA(C17:L17)=0,"",TEXT(IF(C17="",0,C17),"0")&amp;"/"&amp;TEXT(IF(D17="",0,D17),"0")&amp;"/"&amp;TEXT(IF(E17="",0,E17),"0")&amp;"/"&amp;TEXT(IF(F17="",0,F17),"0")&amp;"/"&amp;TEXT(IF(G17="",0,G17),"0")&amp;"/"&amp;TEXT(IF(H17="",0,H17),"0")&amp;"/"&amp;TEXT(IF(I17="",0,I17),"0")&amp;"/"&amp;TEXT(IF(J17="",0,J17),"0")&amp;"/"&amp;TEXT(IF(K17="",0,K17),"0")&amp;"/"&amp;TEXT(IF(L17="",0,L17),"0"))</f>
        <v/>
      </c>
    </row>
    <row r="18">
      <c r="A18" s="9" t="n">
        <v>46302</v>
      </c>
      <c r="B18" s="10" t="inlineStr">
        <is>
          <t>база АБУ</t>
        </is>
      </c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2">
        <f>IF(COUNTA(C18:L18)=0,"",TEXT(IF(C18="",0,C18),"0")&amp;"/"&amp;TEXT(IF(D18="",0,D18),"0")&amp;"/"&amp;TEXT(IF(E18="",0,E18),"0")&amp;"/"&amp;TEXT(IF(F18="",0,F18),"0")&amp;"/"&amp;TEXT(IF(G18="",0,G18),"0")&amp;"/"&amp;TEXT(IF(H18="",0,H18),"0")&amp;"/"&amp;TEXT(IF(I18="",0,I18),"0")&amp;"/"&amp;TEXT(IF(J18="",0,J18),"0")&amp;"/"&amp;TEXT(IF(K18="",0,K18),"0")&amp;"/"&amp;TEXT(IF(L18="",0,L18),"0"))</f>
        <v/>
      </c>
    </row>
    <row r="19">
      <c r="A19" s="13" t="n">
        <v>46303</v>
      </c>
      <c r="B19" s="10" t="inlineStr">
        <is>
          <t>холодная база салонов красоты</t>
        </is>
      </c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2">
        <f>IF(COUNTA(C19:L19)=0,"",TEXT(IF(C19="",0,C19),"0")&amp;"/"&amp;TEXT(IF(D19="",0,D19),"0")&amp;"/"&amp;TEXT(IF(E19="",0,E19),"0")&amp;"/"&amp;TEXT(IF(F19="",0,F19),"0")&amp;"/"&amp;TEXT(IF(G19="",0,G19),"0")&amp;"/"&amp;TEXT(IF(H19="",0,H19),"0")&amp;"/"&amp;TEXT(IF(I19="",0,I19),"0")&amp;"/"&amp;TEXT(IF(J19="",0,J19),"0")&amp;"/"&amp;TEXT(IF(K19="",0,K19),"0")&amp;"/"&amp;TEXT(IF(L19="",0,L19),"0"))</f>
        <v/>
      </c>
    </row>
    <row r="20">
      <c r="A20" s="13" t="n">
        <v>46303</v>
      </c>
      <c r="B20" s="10" t="inlineStr">
        <is>
          <t>база АБУ</t>
        </is>
      </c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2">
        <f>IF(COUNTA(C20:L20)=0,"",TEXT(IF(C20="",0,C20),"0")&amp;"/"&amp;TEXT(IF(D20="",0,D20),"0")&amp;"/"&amp;TEXT(IF(E20="",0,E20),"0")&amp;"/"&amp;TEXT(IF(F20="",0,F20),"0")&amp;"/"&amp;TEXT(IF(G20="",0,G20),"0")&amp;"/"&amp;TEXT(IF(H20="",0,H20),"0")&amp;"/"&amp;TEXT(IF(I20="",0,I20),"0")&amp;"/"&amp;TEXT(IF(J20="",0,J20),"0")&amp;"/"&amp;TEXT(IF(K20="",0,K20),"0")&amp;"/"&amp;TEXT(IF(L20="",0,L20),"0"))</f>
        <v/>
      </c>
    </row>
    <row r="21">
      <c r="A21" s="9" t="n">
        <v>46304</v>
      </c>
      <c r="B21" s="10" t="inlineStr">
        <is>
          <t>холодная база салонов красоты</t>
        </is>
      </c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2">
        <f>IF(COUNTA(C21:L21)=0,"",TEXT(IF(C21="",0,C21),"0")&amp;"/"&amp;TEXT(IF(D21="",0,D21),"0")&amp;"/"&amp;TEXT(IF(E21="",0,E21),"0")&amp;"/"&amp;TEXT(IF(F21="",0,F21),"0")&amp;"/"&amp;TEXT(IF(G21="",0,G21),"0")&amp;"/"&amp;TEXT(IF(H21="",0,H21),"0")&amp;"/"&amp;TEXT(IF(I21="",0,I21),"0")&amp;"/"&amp;TEXT(IF(J21="",0,J21),"0")&amp;"/"&amp;TEXT(IF(K21="",0,K21),"0")&amp;"/"&amp;TEXT(IF(L21="",0,L21),"0"))</f>
        <v/>
      </c>
    </row>
    <row r="22">
      <c r="A22" s="9" t="n">
        <v>46304</v>
      </c>
      <c r="B22" s="10" t="inlineStr">
        <is>
          <t>база АБУ</t>
        </is>
      </c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2">
        <f>IF(COUNTA(C22:L22)=0,"",TEXT(IF(C22="",0,C22),"0")&amp;"/"&amp;TEXT(IF(D22="",0,D22),"0")&amp;"/"&amp;TEXT(IF(E22="",0,E22),"0")&amp;"/"&amp;TEXT(IF(F22="",0,F22),"0")&amp;"/"&amp;TEXT(IF(G22="",0,G22),"0")&amp;"/"&amp;TEXT(IF(H22="",0,H22),"0")&amp;"/"&amp;TEXT(IF(I22="",0,I22),"0")&amp;"/"&amp;TEXT(IF(J22="",0,J22),"0")&amp;"/"&amp;TEXT(IF(K22="",0,K22),"0")&amp;"/"&amp;TEXT(IF(L22="",0,L22),"0"))</f>
        <v/>
      </c>
    </row>
    <row r="23">
      <c r="A23" s="13" t="n">
        <v>46305</v>
      </c>
      <c r="B23" s="10" t="inlineStr">
        <is>
          <t>холодная база салонов красоты</t>
        </is>
      </c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2">
        <f>IF(COUNTA(C23:L23)=0,"",TEXT(IF(C23="",0,C23),"0")&amp;"/"&amp;TEXT(IF(D23="",0,D23),"0")&amp;"/"&amp;TEXT(IF(E23="",0,E23),"0")&amp;"/"&amp;TEXT(IF(F23="",0,F23),"0")&amp;"/"&amp;TEXT(IF(G23="",0,G23),"0")&amp;"/"&amp;TEXT(IF(H23="",0,H23),"0")&amp;"/"&amp;TEXT(IF(I23="",0,I23),"0")&amp;"/"&amp;TEXT(IF(J23="",0,J23),"0")&amp;"/"&amp;TEXT(IF(K23="",0,K23),"0")&amp;"/"&amp;TEXT(IF(L23="",0,L23),"0"))</f>
        <v/>
      </c>
    </row>
    <row r="24">
      <c r="A24" s="13" t="n">
        <v>46305</v>
      </c>
      <c r="B24" s="10" t="inlineStr">
        <is>
          <t>база АБУ</t>
        </is>
      </c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  <c r="M24" s="12">
        <f>IF(COUNTA(C24:L24)=0,"",TEXT(IF(C24="",0,C24),"0")&amp;"/"&amp;TEXT(IF(D24="",0,D24),"0")&amp;"/"&amp;TEXT(IF(E24="",0,E24),"0")&amp;"/"&amp;TEXT(IF(F24="",0,F24),"0")&amp;"/"&amp;TEXT(IF(G24="",0,G24),"0")&amp;"/"&amp;TEXT(IF(H24="",0,H24),"0")&amp;"/"&amp;TEXT(IF(I24="",0,I24),"0")&amp;"/"&amp;TEXT(IF(J24="",0,J24),"0")&amp;"/"&amp;TEXT(IF(K24="",0,K24),"0")&amp;"/"&amp;TEXT(IF(L24="",0,L24),"0"))</f>
        <v/>
      </c>
    </row>
    <row r="25">
      <c r="A25" s="9" t="n">
        <v>46306</v>
      </c>
      <c r="B25" s="10" t="inlineStr">
        <is>
          <t>холодная база салонов красоты</t>
        </is>
      </c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2">
        <f>IF(COUNTA(C25:L25)=0,"",TEXT(IF(C25="",0,C25),"0")&amp;"/"&amp;TEXT(IF(D25="",0,D25),"0")&amp;"/"&amp;TEXT(IF(E25="",0,E25),"0")&amp;"/"&amp;TEXT(IF(F25="",0,F25),"0")&amp;"/"&amp;TEXT(IF(G25="",0,G25),"0")&amp;"/"&amp;TEXT(IF(H25="",0,H25),"0")&amp;"/"&amp;TEXT(IF(I25="",0,I25),"0")&amp;"/"&amp;TEXT(IF(J25="",0,J25),"0")&amp;"/"&amp;TEXT(IF(K25="",0,K25),"0")&amp;"/"&amp;TEXT(IF(L25="",0,L25),"0"))</f>
        <v/>
      </c>
    </row>
    <row r="26">
      <c r="A26" s="9" t="n">
        <v>46306</v>
      </c>
      <c r="B26" s="10" t="inlineStr">
        <is>
          <t>база АБУ</t>
        </is>
      </c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  <c r="M26" s="12">
        <f>IF(COUNTA(C26:L26)=0,"",TEXT(IF(C26="",0,C26),"0")&amp;"/"&amp;TEXT(IF(D26="",0,D26),"0")&amp;"/"&amp;TEXT(IF(E26="",0,E26),"0")&amp;"/"&amp;TEXT(IF(F26="",0,F26),"0")&amp;"/"&amp;TEXT(IF(G26="",0,G26),"0")&amp;"/"&amp;TEXT(IF(H26="",0,H26),"0")&amp;"/"&amp;TEXT(IF(I26="",0,I26),"0")&amp;"/"&amp;TEXT(IF(J26="",0,J26),"0")&amp;"/"&amp;TEXT(IF(K26="",0,K26),"0")&amp;"/"&amp;TEXT(IF(L26="",0,L26),"0"))</f>
        <v/>
      </c>
    </row>
    <row r="27">
      <c r="A27" s="13" t="n">
        <v>46307</v>
      </c>
      <c r="B27" s="10" t="inlineStr">
        <is>
          <t>холодная база салонов красоты</t>
        </is>
      </c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2">
        <f>IF(COUNTA(C27:L27)=0,"",TEXT(IF(C27="",0,C27),"0")&amp;"/"&amp;TEXT(IF(D27="",0,D27),"0")&amp;"/"&amp;TEXT(IF(E27="",0,E27),"0")&amp;"/"&amp;TEXT(IF(F27="",0,F27),"0")&amp;"/"&amp;TEXT(IF(G27="",0,G27),"0")&amp;"/"&amp;TEXT(IF(H27="",0,H27),"0")&amp;"/"&amp;TEXT(IF(I27="",0,I27),"0")&amp;"/"&amp;TEXT(IF(J27="",0,J27),"0")&amp;"/"&amp;TEXT(IF(K27="",0,K27),"0")&amp;"/"&amp;TEXT(IF(L27="",0,L27),"0"))</f>
        <v/>
      </c>
    </row>
    <row r="28">
      <c r="A28" s="13" t="n">
        <v>46307</v>
      </c>
      <c r="B28" s="10" t="inlineStr">
        <is>
          <t>база АБУ</t>
        </is>
      </c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M28" s="12">
        <f>IF(COUNTA(C28:L28)=0,"",TEXT(IF(C28="",0,C28),"0")&amp;"/"&amp;TEXT(IF(D28="",0,D28),"0")&amp;"/"&amp;TEXT(IF(E28="",0,E28),"0")&amp;"/"&amp;TEXT(IF(F28="",0,F28),"0")&amp;"/"&amp;TEXT(IF(G28="",0,G28),"0")&amp;"/"&amp;TEXT(IF(H28="",0,H28),"0")&amp;"/"&amp;TEXT(IF(I28="",0,I28),"0")&amp;"/"&amp;TEXT(IF(J28="",0,J28),"0")&amp;"/"&amp;TEXT(IF(K28="",0,K28),"0")&amp;"/"&amp;TEXT(IF(L28="",0,L28),"0"))</f>
        <v/>
      </c>
    </row>
    <row r="29">
      <c r="A29" s="9" t="n">
        <v>46308</v>
      </c>
      <c r="B29" s="10" t="inlineStr">
        <is>
          <t>холодная база салонов красоты</t>
        </is>
      </c>
      <c r="C29" s="11" t="n">
        <v>22</v>
      </c>
      <c r="D29" s="11" t="n">
        <v>4</v>
      </c>
      <c r="E29" s="11" t="n">
        <v>2</v>
      </c>
      <c r="F29" s="11" t="n">
        <v>1</v>
      </c>
      <c r="G29" s="11" t="n">
        <v>1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IF(COUNTA(C29:L29)=0,"",TEXT(IF(C29="",0,C29),"0")&amp;"/"&amp;TEXT(IF(D29="",0,D29),"0")&amp;"/"&amp;TEXT(IF(E29="",0,E29),"0")&amp;"/"&amp;TEXT(IF(F29="",0,F29),"0")&amp;"/"&amp;TEXT(IF(G29="",0,G29),"0")&amp;"/"&amp;TEXT(IF(H29="",0,H29),"0")&amp;"/"&amp;TEXT(IF(I29="",0,I29),"0")&amp;"/"&amp;TEXT(IF(J29="",0,J29),"0")&amp;"/"&amp;TEXT(IF(K29="",0,K29),"0")&amp;"/"&amp;TEXT(IF(L29="",0,L29),"0"))</f>
        <v/>
      </c>
    </row>
    <row r="30">
      <c r="A30" s="9" t="n">
        <v>46308</v>
      </c>
      <c r="B30" s="10" t="inlineStr">
        <is>
          <t>база АБУ</t>
        </is>
      </c>
      <c r="C30" s="11" t="n">
        <v>12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0</v>
      </c>
      <c r="M30" s="12">
        <f>IF(COUNTA(C30:L30)=0,"",TEXT(IF(C30="",0,C30),"0")&amp;"/"&amp;TEXT(IF(D30="",0,D30),"0")&amp;"/"&amp;TEXT(IF(E30="",0,E30),"0")&amp;"/"&amp;TEXT(IF(F30="",0,F30),"0")&amp;"/"&amp;TEXT(IF(G30="",0,G30),"0")&amp;"/"&amp;TEXT(IF(H30="",0,H30),"0")&amp;"/"&amp;TEXT(IF(I30="",0,I30),"0")&amp;"/"&amp;TEXT(IF(J30="",0,J30),"0")&amp;"/"&amp;TEXT(IF(K30="",0,K30),"0")&amp;"/"&amp;TEXT(IF(L30="",0,L30),"0"))</f>
        <v/>
      </c>
    </row>
    <row r="31">
      <c r="A31" s="13" t="n">
        <v>46309</v>
      </c>
      <c r="B31" s="10" t="inlineStr">
        <is>
          <t>холодная база салонов красоты</t>
        </is>
      </c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2">
        <f>IF(COUNTA(C31:L31)=0,"",TEXT(IF(C31="",0,C31),"0")&amp;"/"&amp;TEXT(IF(D31="",0,D31),"0")&amp;"/"&amp;TEXT(IF(E31="",0,E31),"0")&amp;"/"&amp;TEXT(IF(F31="",0,F31),"0")&amp;"/"&amp;TEXT(IF(G31="",0,G31),"0")&amp;"/"&amp;TEXT(IF(H31="",0,H31),"0")&amp;"/"&amp;TEXT(IF(I31="",0,I31),"0")&amp;"/"&amp;TEXT(IF(J31="",0,J31),"0")&amp;"/"&amp;TEXT(IF(K31="",0,K31),"0")&amp;"/"&amp;TEXT(IF(L31="",0,L31),"0"))</f>
        <v/>
      </c>
    </row>
    <row r="32">
      <c r="A32" s="13" t="n">
        <v>46309</v>
      </c>
      <c r="B32" s="10" t="inlineStr">
        <is>
          <t>база АБУ</t>
        </is>
      </c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  <c r="M32" s="12">
        <f>IF(COUNTA(C32:L32)=0,"",TEXT(IF(C32="",0,C32),"0")&amp;"/"&amp;TEXT(IF(D32="",0,D32),"0")&amp;"/"&amp;TEXT(IF(E32="",0,E32),"0")&amp;"/"&amp;TEXT(IF(F32="",0,F32),"0")&amp;"/"&amp;TEXT(IF(G32="",0,G32),"0")&amp;"/"&amp;TEXT(IF(H32="",0,H32),"0")&amp;"/"&amp;TEXT(IF(I32="",0,I32),"0")&amp;"/"&amp;TEXT(IF(J32="",0,J32),"0")&amp;"/"&amp;TEXT(IF(K32="",0,K32),"0")&amp;"/"&amp;TEXT(IF(L32="",0,L32),"0"))</f>
        <v/>
      </c>
    </row>
    <row r="33">
      <c r="A33" s="9" t="n">
        <v>46310</v>
      </c>
      <c r="B33" s="10" t="inlineStr">
        <is>
          <t>холодная база салонов красоты</t>
        </is>
      </c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2">
        <f>IF(COUNTA(C33:L33)=0,"",TEXT(IF(C33="",0,C33),"0")&amp;"/"&amp;TEXT(IF(D33="",0,D33),"0")&amp;"/"&amp;TEXT(IF(E33="",0,E33),"0")&amp;"/"&amp;TEXT(IF(F33="",0,F33),"0")&amp;"/"&amp;TEXT(IF(G33="",0,G33),"0")&amp;"/"&amp;TEXT(IF(H33="",0,H33),"0")&amp;"/"&amp;TEXT(IF(I33="",0,I33),"0")&amp;"/"&amp;TEXT(IF(J33="",0,J33),"0")&amp;"/"&amp;TEXT(IF(K33="",0,K33),"0")&amp;"/"&amp;TEXT(IF(L33="",0,L33),"0"))</f>
        <v/>
      </c>
    </row>
    <row r="34">
      <c r="A34" s="9" t="n">
        <v>46310</v>
      </c>
      <c r="B34" s="10" t="inlineStr">
        <is>
          <t>база АБУ</t>
        </is>
      </c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  <c r="M34" s="12">
        <f>IF(COUNTA(C34:L34)=0,"",TEXT(IF(C34="",0,C34),"0")&amp;"/"&amp;TEXT(IF(D34="",0,D34),"0")&amp;"/"&amp;TEXT(IF(E34="",0,E34),"0")&amp;"/"&amp;TEXT(IF(F34="",0,F34),"0")&amp;"/"&amp;TEXT(IF(G34="",0,G34),"0")&amp;"/"&amp;TEXT(IF(H34="",0,H34),"0")&amp;"/"&amp;TEXT(IF(I34="",0,I34),"0")&amp;"/"&amp;TEXT(IF(J34="",0,J34),"0")&amp;"/"&amp;TEXT(IF(K34="",0,K34),"0")&amp;"/"&amp;TEXT(IF(L34="",0,L34),"0"))</f>
        <v/>
      </c>
    </row>
    <row r="35">
      <c r="A35" s="13" t="n">
        <v>46311</v>
      </c>
      <c r="B35" s="10" t="inlineStr">
        <is>
          <t>холодная база салонов красоты</t>
        </is>
      </c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2">
        <f>IF(COUNTA(C35:L35)=0,"",TEXT(IF(C35="",0,C35),"0")&amp;"/"&amp;TEXT(IF(D35="",0,D35),"0")&amp;"/"&amp;TEXT(IF(E35="",0,E35),"0")&amp;"/"&amp;TEXT(IF(F35="",0,F35),"0")&amp;"/"&amp;TEXT(IF(G35="",0,G35),"0")&amp;"/"&amp;TEXT(IF(H35="",0,H35),"0")&amp;"/"&amp;TEXT(IF(I35="",0,I35),"0")&amp;"/"&amp;TEXT(IF(J35="",0,J35),"0")&amp;"/"&amp;TEXT(IF(K35="",0,K35),"0")&amp;"/"&amp;TEXT(IF(L35="",0,L35),"0"))</f>
        <v/>
      </c>
    </row>
    <row r="36">
      <c r="A36" s="13" t="n">
        <v>46311</v>
      </c>
      <c r="B36" s="10" t="inlineStr">
        <is>
          <t>база АБУ</t>
        </is>
      </c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  <c r="L36" s="11" t="n"/>
      <c r="M36" s="12">
        <f>IF(COUNTA(C36:L36)=0,"",TEXT(IF(C36="",0,C36),"0")&amp;"/"&amp;TEXT(IF(D36="",0,D36),"0")&amp;"/"&amp;TEXT(IF(E36="",0,E36),"0")&amp;"/"&amp;TEXT(IF(F36="",0,F36),"0")&amp;"/"&amp;TEXT(IF(G36="",0,G36),"0")&amp;"/"&amp;TEXT(IF(H36="",0,H36),"0")&amp;"/"&amp;TEXT(IF(I36="",0,I36),"0")&amp;"/"&amp;TEXT(IF(J36="",0,J36),"0")&amp;"/"&amp;TEXT(IF(K36="",0,K36),"0")&amp;"/"&amp;TEXT(IF(L36="",0,L36),"0"))</f>
        <v/>
      </c>
    </row>
    <row r="37">
      <c r="A37" s="9" t="n">
        <v>46312</v>
      </c>
      <c r="B37" s="10" t="inlineStr">
        <is>
          <t>холодная база салонов красоты</t>
        </is>
      </c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  <c r="M37" s="12">
        <f>IF(COUNTA(C37:L37)=0,"",TEXT(IF(C37="",0,C37),"0")&amp;"/"&amp;TEXT(IF(D37="",0,D37),"0")&amp;"/"&amp;TEXT(IF(E37="",0,E37),"0")&amp;"/"&amp;TEXT(IF(F37="",0,F37),"0")&amp;"/"&amp;TEXT(IF(G37="",0,G37),"0")&amp;"/"&amp;TEXT(IF(H37="",0,H37),"0")&amp;"/"&amp;TEXT(IF(I37="",0,I37),"0")&amp;"/"&amp;TEXT(IF(J37="",0,J37),"0")&amp;"/"&amp;TEXT(IF(K37="",0,K37),"0")&amp;"/"&amp;TEXT(IF(L37="",0,L37),"0"))</f>
        <v/>
      </c>
    </row>
    <row r="38">
      <c r="A38" s="9" t="n">
        <v>46312</v>
      </c>
      <c r="B38" s="10" t="inlineStr">
        <is>
          <t>база АБУ</t>
        </is>
      </c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  <c r="L38" s="11" t="n"/>
      <c r="M38" s="12">
        <f>IF(COUNTA(C38:L38)=0,"",TEXT(IF(C38="",0,C38),"0")&amp;"/"&amp;TEXT(IF(D38="",0,D38),"0")&amp;"/"&amp;TEXT(IF(E38="",0,E38),"0")&amp;"/"&amp;TEXT(IF(F38="",0,F38),"0")&amp;"/"&amp;TEXT(IF(G38="",0,G38),"0")&amp;"/"&amp;TEXT(IF(H38="",0,H38),"0")&amp;"/"&amp;TEXT(IF(I38="",0,I38),"0")&amp;"/"&amp;TEXT(IF(J38="",0,J38),"0")&amp;"/"&amp;TEXT(IF(K38="",0,K38),"0")&amp;"/"&amp;TEXT(IF(L38="",0,L38),"0"))</f>
        <v/>
      </c>
    </row>
    <row r="39">
      <c r="A39" s="13" t="n">
        <v>46313</v>
      </c>
      <c r="B39" s="10" t="inlineStr">
        <is>
          <t>холодная база салонов красоты</t>
        </is>
      </c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  <c r="M39" s="12">
        <f>IF(COUNTA(C39:L39)=0,"",TEXT(IF(C39="",0,C39),"0")&amp;"/"&amp;TEXT(IF(D39="",0,D39),"0")&amp;"/"&amp;TEXT(IF(E39="",0,E39),"0")&amp;"/"&amp;TEXT(IF(F39="",0,F39),"0")&amp;"/"&amp;TEXT(IF(G39="",0,G39),"0")&amp;"/"&amp;TEXT(IF(H39="",0,H39),"0")&amp;"/"&amp;TEXT(IF(I39="",0,I39),"0")&amp;"/"&amp;TEXT(IF(J39="",0,J39),"0")&amp;"/"&amp;TEXT(IF(K39="",0,K39),"0")&amp;"/"&amp;TEXT(IF(L39="",0,L39),"0"))</f>
        <v/>
      </c>
    </row>
    <row r="40">
      <c r="A40" s="13" t="n">
        <v>46313</v>
      </c>
      <c r="B40" s="10" t="inlineStr">
        <is>
          <t>база АБУ</t>
        </is>
      </c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  <c r="M40" s="12">
        <f>IF(COUNTA(C40:L40)=0,"",TEXT(IF(C40="",0,C40),"0")&amp;"/"&amp;TEXT(IF(D40="",0,D40),"0")&amp;"/"&amp;TEXT(IF(E40="",0,E40),"0")&amp;"/"&amp;TEXT(IF(F40="",0,F40),"0")&amp;"/"&amp;TEXT(IF(G40="",0,G40),"0")&amp;"/"&amp;TEXT(IF(H40="",0,H40),"0")&amp;"/"&amp;TEXT(IF(I40="",0,I40),"0")&amp;"/"&amp;TEXT(IF(J40="",0,J40),"0")&amp;"/"&amp;TEXT(IF(K40="",0,K40),"0")&amp;"/"&amp;TEXT(IF(L40="",0,L40),"0"))</f>
        <v/>
      </c>
    </row>
    <row r="41">
      <c r="A41" s="9" t="n">
        <v>46314</v>
      </c>
      <c r="B41" s="10" t="inlineStr">
        <is>
          <t>холодная база салонов красоты</t>
        </is>
      </c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  <c r="M41" s="12">
        <f>IF(COUNTA(C41:L41)=0,"",TEXT(IF(C41="",0,C41),"0")&amp;"/"&amp;TEXT(IF(D41="",0,D41),"0")&amp;"/"&amp;TEXT(IF(E41="",0,E41),"0")&amp;"/"&amp;TEXT(IF(F41="",0,F41),"0")&amp;"/"&amp;TEXT(IF(G41="",0,G41),"0")&amp;"/"&amp;TEXT(IF(H41="",0,H41),"0")&amp;"/"&amp;TEXT(IF(I41="",0,I41),"0")&amp;"/"&amp;TEXT(IF(J41="",0,J41),"0")&amp;"/"&amp;TEXT(IF(K41="",0,K41),"0")&amp;"/"&amp;TEXT(IF(L41="",0,L41),"0"))</f>
        <v/>
      </c>
    </row>
    <row r="42">
      <c r="A42" s="9" t="n">
        <v>46314</v>
      </c>
      <c r="B42" s="10" t="inlineStr">
        <is>
          <t>база АБУ</t>
        </is>
      </c>
      <c r="C42" s="11" t="n"/>
      <c r="D42" s="11" t="n"/>
      <c r="E42" s="11" t="n"/>
      <c r="F42" s="11" t="n"/>
      <c r="G42" s="11" t="n"/>
      <c r="H42" s="11" t="n"/>
      <c r="I42" s="11" t="n"/>
      <c r="J42" s="11" t="n"/>
      <c r="K42" s="11" t="n"/>
      <c r="L42" s="11" t="n"/>
      <c r="M42" s="12">
        <f>IF(COUNTA(C42:L42)=0,"",TEXT(IF(C42="",0,C42),"0")&amp;"/"&amp;TEXT(IF(D42="",0,D42),"0")&amp;"/"&amp;TEXT(IF(E42="",0,E42),"0")&amp;"/"&amp;TEXT(IF(F42="",0,F42),"0")&amp;"/"&amp;TEXT(IF(G42="",0,G42),"0")&amp;"/"&amp;TEXT(IF(H42="",0,H42),"0")&amp;"/"&amp;TEXT(IF(I42="",0,I42),"0")&amp;"/"&amp;TEXT(IF(J42="",0,J42),"0")&amp;"/"&amp;TEXT(IF(K42="",0,K42),"0")&amp;"/"&amp;TEXT(IF(L42="",0,L42),"0"))</f>
        <v/>
      </c>
    </row>
    <row r="43">
      <c r="A43" s="13" t="n">
        <v>46315</v>
      </c>
      <c r="B43" s="10" t="inlineStr">
        <is>
          <t>холодная база салонов красоты</t>
        </is>
      </c>
      <c r="C43" s="11" t="n"/>
      <c r="D43" s="11" t="n"/>
      <c r="E43" s="11" t="n"/>
      <c r="F43" s="11" t="n"/>
      <c r="G43" s="11" t="n"/>
      <c r="H43" s="11" t="n"/>
      <c r="I43" s="11" t="n"/>
      <c r="J43" s="11" t="n"/>
      <c r="K43" s="11" t="n"/>
      <c r="L43" s="11" t="n"/>
      <c r="M43" s="12">
        <f>IF(COUNTA(C43:L43)=0,"",TEXT(IF(C43="",0,C43),"0")&amp;"/"&amp;TEXT(IF(D43="",0,D43),"0")&amp;"/"&amp;TEXT(IF(E43="",0,E43),"0")&amp;"/"&amp;TEXT(IF(F43="",0,F43),"0")&amp;"/"&amp;TEXT(IF(G43="",0,G43),"0")&amp;"/"&amp;TEXT(IF(H43="",0,H43),"0")&amp;"/"&amp;TEXT(IF(I43="",0,I43),"0")&amp;"/"&amp;TEXT(IF(J43="",0,J43),"0")&amp;"/"&amp;TEXT(IF(K43="",0,K43),"0")&amp;"/"&amp;TEXT(IF(L43="",0,L43),"0"))</f>
        <v/>
      </c>
    </row>
    <row r="44">
      <c r="A44" s="13" t="n">
        <v>46315</v>
      </c>
      <c r="B44" s="10" t="inlineStr">
        <is>
          <t>база АБУ</t>
        </is>
      </c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2">
        <f>IF(COUNTA(C44:L44)=0,"",TEXT(IF(C44="",0,C44),"0")&amp;"/"&amp;TEXT(IF(D44="",0,D44),"0")&amp;"/"&amp;TEXT(IF(E44="",0,E44),"0")&amp;"/"&amp;TEXT(IF(F44="",0,F44),"0")&amp;"/"&amp;TEXT(IF(G44="",0,G44),"0")&amp;"/"&amp;TEXT(IF(H44="",0,H44),"0")&amp;"/"&amp;TEXT(IF(I44="",0,I44),"0")&amp;"/"&amp;TEXT(IF(J44="",0,J44),"0")&amp;"/"&amp;TEXT(IF(K44="",0,K44),"0")&amp;"/"&amp;TEXT(IF(L44="",0,L44),"0"))</f>
        <v/>
      </c>
    </row>
    <row r="45">
      <c r="A45" s="9" t="n">
        <v>46316</v>
      </c>
      <c r="B45" s="10" t="inlineStr">
        <is>
          <t>холодная база салонов красоты</t>
        </is>
      </c>
      <c r="C45" s="11" t="n"/>
      <c r="D45" s="11" t="n"/>
      <c r="E45" s="11" t="n"/>
      <c r="F45" s="11" t="n"/>
      <c r="G45" s="11" t="n"/>
      <c r="H45" s="11" t="n"/>
      <c r="I45" s="11" t="n"/>
      <c r="J45" s="11" t="n"/>
      <c r="K45" s="11" t="n"/>
      <c r="L45" s="11" t="n"/>
      <c r="M45" s="12">
        <f>IF(COUNTA(C45:L45)=0,"",TEXT(IF(C45="",0,C45),"0")&amp;"/"&amp;TEXT(IF(D45="",0,D45),"0")&amp;"/"&amp;TEXT(IF(E45="",0,E45),"0")&amp;"/"&amp;TEXT(IF(F45="",0,F45),"0")&amp;"/"&amp;TEXT(IF(G45="",0,G45),"0")&amp;"/"&amp;TEXT(IF(H45="",0,H45),"0")&amp;"/"&amp;TEXT(IF(I45="",0,I45),"0")&amp;"/"&amp;TEXT(IF(J45="",0,J45),"0")&amp;"/"&amp;TEXT(IF(K45="",0,K45),"0")&amp;"/"&amp;TEXT(IF(L45="",0,L45),"0"))</f>
        <v/>
      </c>
    </row>
    <row r="46">
      <c r="A46" s="9" t="n">
        <v>46316</v>
      </c>
      <c r="B46" s="10" t="inlineStr">
        <is>
          <t>база АБУ</t>
        </is>
      </c>
      <c r="C46" s="11" t="n"/>
      <c r="D46" s="11" t="n"/>
      <c r="E46" s="11" t="n"/>
      <c r="F46" s="11" t="n"/>
      <c r="G46" s="11" t="n"/>
      <c r="H46" s="11" t="n"/>
      <c r="I46" s="11" t="n"/>
      <c r="J46" s="11" t="n"/>
      <c r="K46" s="11" t="n"/>
      <c r="L46" s="11" t="n"/>
      <c r="M46" s="12">
        <f>IF(COUNTA(C46:L46)=0,"",TEXT(IF(C46="",0,C46),"0")&amp;"/"&amp;TEXT(IF(D46="",0,D46),"0")&amp;"/"&amp;TEXT(IF(E46="",0,E46),"0")&amp;"/"&amp;TEXT(IF(F46="",0,F46),"0")&amp;"/"&amp;TEXT(IF(G46="",0,G46),"0")&amp;"/"&amp;TEXT(IF(H46="",0,H46),"0")&amp;"/"&amp;TEXT(IF(I46="",0,I46),"0")&amp;"/"&amp;TEXT(IF(J46="",0,J46),"0")&amp;"/"&amp;TEXT(IF(K46="",0,K46),"0")&amp;"/"&amp;TEXT(IF(L46="",0,L46),"0"))</f>
        <v/>
      </c>
    </row>
    <row r="47">
      <c r="A47" s="13" t="n">
        <v>46317</v>
      </c>
      <c r="B47" s="10" t="inlineStr">
        <is>
          <t>холодная база салонов красоты</t>
        </is>
      </c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  <c r="L47" s="11" t="n"/>
      <c r="M47" s="12">
        <f>IF(COUNTA(C47:L47)=0,"",TEXT(IF(C47="",0,C47),"0")&amp;"/"&amp;TEXT(IF(D47="",0,D47),"0")&amp;"/"&amp;TEXT(IF(E47="",0,E47),"0")&amp;"/"&amp;TEXT(IF(F47="",0,F47),"0")&amp;"/"&amp;TEXT(IF(G47="",0,G47),"0")&amp;"/"&amp;TEXT(IF(H47="",0,H47),"0")&amp;"/"&amp;TEXT(IF(I47="",0,I47),"0")&amp;"/"&amp;TEXT(IF(J47="",0,J47),"0")&amp;"/"&amp;TEXT(IF(K47="",0,K47),"0")&amp;"/"&amp;TEXT(IF(L47="",0,L47),"0"))</f>
        <v/>
      </c>
    </row>
    <row r="48">
      <c r="A48" s="13" t="n">
        <v>46317</v>
      </c>
      <c r="B48" s="10" t="inlineStr">
        <is>
          <t>база АБУ</t>
        </is>
      </c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2">
        <f>IF(COUNTA(C48:L48)=0,"",TEXT(IF(C48="",0,C48),"0")&amp;"/"&amp;TEXT(IF(D48="",0,D48),"0")&amp;"/"&amp;TEXT(IF(E48="",0,E48),"0")&amp;"/"&amp;TEXT(IF(F48="",0,F48),"0")&amp;"/"&amp;TEXT(IF(G48="",0,G48),"0")&amp;"/"&amp;TEXT(IF(H48="",0,H48),"0")&amp;"/"&amp;TEXT(IF(I48="",0,I48),"0")&amp;"/"&amp;TEXT(IF(J48="",0,J48),"0")&amp;"/"&amp;TEXT(IF(K48="",0,K48),"0")&amp;"/"&amp;TEXT(IF(L48="",0,L48),"0"))</f>
        <v/>
      </c>
    </row>
    <row r="49">
      <c r="A49" s="9" t="n">
        <v>46318</v>
      </c>
      <c r="B49" s="10" t="inlineStr">
        <is>
          <t>холодная база салонов красоты</t>
        </is>
      </c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2">
        <f>IF(COUNTA(C49:L49)=0,"",TEXT(IF(C49="",0,C49),"0")&amp;"/"&amp;TEXT(IF(D49="",0,D49),"0")&amp;"/"&amp;TEXT(IF(E49="",0,E49),"0")&amp;"/"&amp;TEXT(IF(F49="",0,F49),"0")&amp;"/"&amp;TEXT(IF(G49="",0,G49),"0")&amp;"/"&amp;TEXT(IF(H49="",0,H49),"0")&amp;"/"&amp;TEXT(IF(I49="",0,I49),"0")&amp;"/"&amp;TEXT(IF(J49="",0,J49),"0")&amp;"/"&amp;TEXT(IF(K49="",0,K49),"0")&amp;"/"&amp;TEXT(IF(L49="",0,L49),"0"))</f>
        <v/>
      </c>
    </row>
    <row r="50">
      <c r="A50" s="9" t="n">
        <v>46318</v>
      </c>
      <c r="B50" s="10" t="inlineStr">
        <is>
          <t>база АБУ</t>
        </is>
      </c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  <c r="L50" s="11" t="n"/>
      <c r="M50" s="12">
        <f>IF(COUNTA(C50:L50)=0,"",TEXT(IF(C50="",0,C50),"0")&amp;"/"&amp;TEXT(IF(D50="",0,D50),"0")&amp;"/"&amp;TEXT(IF(E50="",0,E50),"0")&amp;"/"&amp;TEXT(IF(F50="",0,F50),"0")&amp;"/"&amp;TEXT(IF(G50="",0,G50),"0")&amp;"/"&amp;TEXT(IF(H50="",0,H50),"0")&amp;"/"&amp;TEXT(IF(I50="",0,I50),"0")&amp;"/"&amp;TEXT(IF(J50="",0,J50),"0")&amp;"/"&amp;TEXT(IF(K50="",0,K50),"0")&amp;"/"&amp;TEXT(IF(L50="",0,L50),"0"))</f>
        <v/>
      </c>
    </row>
    <row r="51">
      <c r="A51" s="13" t="n">
        <v>46319</v>
      </c>
      <c r="B51" s="10" t="inlineStr">
        <is>
          <t>холодная база салонов красоты</t>
        </is>
      </c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2">
        <f>IF(COUNTA(C51:L51)=0,"",TEXT(IF(C51="",0,C51),"0")&amp;"/"&amp;TEXT(IF(D51="",0,D51),"0")&amp;"/"&amp;TEXT(IF(E51="",0,E51),"0")&amp;"/"&amp;TEXT(IF(F51="",0,F51),"0")&amp;"/"&amp;TEXT(IF(G51="",0,G51),"0")&amp;"/"&amp;TEXT(IF(H51="",0,H51),"0")&amp;"/"&amp;TEXT(IF(I51="",0,I51),"0")&amp;"/"&amp;TEXT(IF(J51="",0,J51),"0")&amp;"/"&amp;TEXT(IF(K51="",0,K51),"0")&amp;"/"&amp;TEXT(IF(L51="",0,L51),"0"))</f>
        <v/>
      </c>
    </row>
    <row r="52">
      <c r="A52" s="13" t="n">
        <v>46319</v>
      </c>
      <c r="B52" s="10" t="inlineStr">
        <is>
          <t>база АБУ</t>
        </is>
      </c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2">
        <f>IF(COUNTA(C52:L52)=0,"",TEXT(IF(C52="",0,C52),"0")&amp;"/"&amp;TEXT(IF(D52="",0,D52),"0")&amp;"/"&amp;TEXT(IF(E52="",0,E52),"0")&amp;"/"&amp;TEXT(IF(F52="",0,F52),"0")&amp;"/"&amp;TEXT(IF(G52="",0,G52),"0")&amp;"/"&amp;TEXT(IF(H52="",0,H52),"0")&amp;"/"&amp;TEXT(IF(I52="",0,I52),"0")&amp;"/"&amp;TEXT(IF(J52="",0,J52),"0")&amp;"/"&amp;TEXT(IF(K52="",0,K52),"0")&amp;"/"&amp;TEXT(IF(L52="",0,L52),"0"))</f>
        <v/>
      </c>
    </row>
    <row r="53">
      <c r="A53" s="9" t="n">
        <v>46320</v>
      </c>
      <c r="B53" s="10" t="inlineStr">
        <is>
          <t>холодная база салонов красоты</t>
        </is>
      </c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2">
        <f>IF(COUNTA(C53:L53)=0,"",TEXT(IF(C53="",0,C53),"0")&amp;"/"&amp;TEXT(IF(D53="",0,D53),"0")&amp;"/"&amp;TEXT(IF(E53="",0,E53),"0")&amp;"/"&amp;TEXT(IF(F53="",0,F53),"0")&amp;"/"&amp;TEXT(IF(G53="",0,G53),"0")&amp;"/"&amp;TEXT(IF(H53="",0,H53),"0")&amp;"/"&amp;TEXT(IF(I53="",0,I53),"0")&amp;"/"&amp;TEXT(IF(J53="",0,J53),"0")&amp;"/"&amp;TEXT(IF(K53="",0,K53),"0")&amp;"/"&amp;TEXT(IF(L53="",0,L53),"0"))</f>
        <v/>
      </c>
    </row>
    <row r="54">
      <c r="A54" s="9" t="n">
        <v>46320</v>
      </c>
      <c r="B54" s="10" t="inlineStr">
        <is>
          <t>база АБУ</t>
        </is>
      </c>
      <c r="C54" s="11" t="n"/>
      <c r="D54" s="11" t="n"/>
      <c r="E54" s="11" t="n"/>
      <c r="F54" s="11" t="n"/>
      <c r="G54" s="11" t="n"/>
      <c r="H54" s="11" t="n"/>
      <c r="I54" s="11" t="n"/>
      <c r="J54" s="11" t="n"/>
      <c r="K54" s="11" t="n"/>
      <c r="L54" s="11" t="n"/>
      <c r="M54" s="12">
        <f>IF(COUNTA(C54:L54)=0,"",TEXT(IF(C54="",0,C54),"0")&amp;"/"&amp;TEXT(IF(D54="",0,D54),"0")&amp;"/"&amp;TEXT(IF(E54="",0,E54),"0")&amp;"/"&amp;TEXT(IF(F54="",0,F54),"0")&amp;"/"&amp;TEXT(IF(G54="",0,G54),"0")&amp;"/"&amp;TEXT(IF(H54="",0,H54),"0")&amp;"/"&amp;TEXT(IF(I54="",0,I54),"0")&amp;"/"&amp;TEXT(IF(J54="",0,J54),"0")&amp;"/"&amp;TEXT(IF(K54="",0,K54),"0")&amp;"/"&amp;TEXT(IF(L54="",0,L54),"0"))</f>
        <v/>
      </c>
    </row>
    <row r="55">
      <c r="A55" s="13" t="n">
        <v>46321</v>
      </c>
      <c r="B55" s="10" t="inlineStr">
        <is>
          <t>холодная база салонов красоты</t>
        </is>
      </c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2">
        <f>IF(COUNTA(C55:L55)=0,"",TEXT(IF(C55="",0,C55),"0")&amp;"/"&amp;TEXT(IF(D55="",0,D55),"0")&amp;"/"&amp;TEXT(IF(E55="",0,E55),"0")&amp;"/"&amp;TEXT(IF(F55="",0,F55),"0")&amp;"/"&amp;TEXT(IF(G55="",0,G55),"0")&amp;"/"&amp;TEXT(IF(H55="",0,H55),"0")&amp;"/"&amp;TEXT(IF(I55="",0,I55),"0")&amp;"/"&amp;TEXT(IF(J55="",0,J55),"0")&amp;"/"&amp;TEXT(IF(K55="",0,K55),"0")&amp;"/"&amp;TEXT(IF(L55="",0,L55),"0"))</f>
        <v/>
      </c>
    </row>
    <row r="56">
      <c r="A56" s="13" t="n">
        <v>46321</v>
      </c>
      <c r="B56" s="10" t="inlineStr">
        <is>
          <t>база АБУ</t>
        </is>
      </c>
      <c r="C56" s="11" t="n"/>
      <c r="D56" s="11" t="n"/>
      <c r="E56" s="11" t="n"/>
      <c r="F56" s="11" t="n"/>
      <c r="G56" s="11" t="n"/>
      <c r="H56" s="11" t="n"/>
      <c r="I56" s="11" t="n"/>
      <c r="J56" s="11" t="n"/>
      <c r="K56" s="11" t="n"/>
      <c r="L56" s="11" t="n"/>
      <c r="M56" s="12">
        <f>IF(COUNTA(C56:L56)=0,"",TEXT(IF(C56="",0,C56),"0")&amp;"/"&amp;TEXT(IF(D56="",0,D56),"0")&amp;"/"&amp;TEXT(IF(E56="",0,E56),"0")&amp;"/"&amp;TEXT(IF(F56="",0,F56),"0")&amp;"/"&amp;TEXT(IF(G56="",0,G56),"0")&amp;"/"&amp;TEXT(IF(H56="",0,H56),"0")&amp;"/"&amp;TEXT(IF(I56="",0,I56),"0")&amp;"/"&amp;TEXT(IF(J56="",0,J56),"0")&amp;"/"&amp;TEXT(IF(K56="",0,K56),"0")&amp;"/"&amp;TEXT(IF(L56="",0,L56),"0"))</f>
        <v/>
      </c>
    </row>
    <row r="57">
      <c r="A57" s="9" t="n">
        <v>46322</v>
      </c>
      <c r="B57" s="10" t="inlineStr">
        <is>
          <t>холодная база салонов красоты</t>
        </is>
      </c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2">
        <f>IF(COUNTA(C57:L57)=0,"",TEXT(IF(C57="",0,C57),"0")&amp;"/"&amp;TEXT(IF(D57="",0,D57),"0")&amp;"/"&amp;TEXT(IF(E57="",0,E57),"0")&amp;"/"&amp;TEXT(IF(F57="",0,F57),"0")&amp;"/"&amp;TEXT(IF(G57="",0,G57),"0")&amp;"/"&amp;TEXT(IF(H57="",0,H57),"0")&amp;"/"&amp;TEXT(IF(I57="",0,I57),"0")&amp;"/"&amp;TEXT(IF(J57="",0,J57),"0")&amp;"/"&amp;TEXT(IF(K57="",0,K57),"0")&amp;"/"&amp;TEXT(IF(L57="",0,L57),"0"))</f>
        <v/>
      </c>
    </row>
    <row r="58">
      <c r="A58" s="9" t="n">
        <v>46322</v>
      </c>
      <c r="B58" s="10" t="inlineStr">
        <is>
          <t>база АБУ</t>
        </is>
      </c>
      <c r="C58" s="11" t="n"/>
      <c r="D58" s="11" t="n"/>
      <c r="E58" s="11" t="n"/>
      <c r="F58" s="11" t="n"/>
      <c r="G58" s="11" t="n"/>
      <c r="H58" s="11" t="n"/>
      <c r="I58" s="11" t="n"/>
      <c r="J58" s="11" t="n"/>
      <c r="K58" s="11" t="n"/>
      <c r="L58" s="11" t="n"/>
      <c r="M58" s="12">
        <f>IF(COUNTA(C58:L58)=0,"",TEXT(IF(C58="",0,C58),"0")&amp;"/"&amp;TEXT(IF(D58="",0,D58),"0")&amp;"/"&amp;TEXT(IF(E58="",0,E58),"0")&amp;"/"&amp;TEXT(IF(F58="",0,F58),"0")&amp;"/"&amp;TEXT(IF(G58="",0,G58),"0")&amp;"/"&amp;TEXT(IF(H58="",0,H58),"0")&amp;"/"&amp;TEXT(IF(I58="",0,I58),"0")&amp;"/"&amp;TEXT(IF(J58="",0,J58),"0")&amp;"/"&amp;TEXT(IF(K58="",0,K58),"0")&amp;"/"&amp;TEXT(IF(L58="",0,L58),"0"))</f>
        <v/>
      </c>
    </row>
    <row r="59">
      <c r="A59" s="13" t="n">
        <v>46323</v>
      </c>
      <c r="B59" s="10" t="inlineStr">
        <is>
          <t>холодная база салонов красоты</t>
        </is>
      </c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2">
        <f>IF(COUNTA(C59:L59)=0,"",TEXT(IF(C59="",0,C59),"0")&amp;"/"&amp;TEXT(IF(D59="",0,D59),"0")&amp;"/"&amp;TEXT(IF(E59="",0,E59),"0")&amp;"/"&amp;TEXT(IF(F59="",0,F59),"0")&amp;"/"&amp;TEXT(IF(G59="",0,G59),"0")&amp;"/"&amp;TEXT(IF(H59="",0,H59),"0")&amp;"/"&amp;TEXT(IF(I59="",0,I59),"0")&amp;"/"&amp;TEXT(IF(J59="",0,J59),"0")&amp;"/"&amp;TEXT(IF(K59="",0,K59),"0")&amp;"/"&amp;TEXT(IF(L59="",0,L59),"0"))</f>
        <v/>
      </c>
    </row>
    <row r="60">
      <c r="A60" s="13" t="n">
        <v>46323</v>
      </c>
      <c r="B60" s="10" t="inlineStr">
        <is>
          <t>база АБУ</t>
        </is>
      </c>
      <c r="C60" s="11" t="n"/>
      <c r="D60" s="11" t="n"/>
      <c r="E60" s="11" t="n"/>
      <c r="F60" s="11" t="n"/>
      <c r="G60" s="11" t="n"/>
      <c r="H60" s="11" t="n"/>
      <c r="I60" s="11" t="n"/>
      <c r="J60" s="11" t="n"/>
      <c r="K60" s="11" t="n"/>
      <c r="L60" s="11" t="n"/>
      <c r="M60" s="12">
        <f>IF(COUNTA(C60:L60)=0,"",TEXT(IF(C60="",0,C60),"0")&amp;"/"&amp;TEXT(IF(D60="",0,D60),"0")&amp;"/"&amp;TEXT(IF(E60="",0,E60),"0")&amp;"/"&amp;TEXT(IF(F60="",0,F60),"0")&amp;"/"&amp;TEXT(IF(G60="",0,G60),"0")&amp;"/"&amp;TEXT(IF(H60="",0,H60),"0")&amp;"/"&amp;TEXT(IF(I60="",0,I60),"0")&amp;"/"&amp;TEXT(IF(J60="",0,J60),"0")&amp;"/"&amp;TEXT(IF(K60="",0,K60),"0")&amp;"/"&amp;TEXT(IF(L60="",0,L60),"0"))</f>
        <v/>
      </c>
    </row>
    <row r="61">
      <c r="A61" s="9" t="n">
        <v>46324</v>
      </c>
      <c r="B61" s="10" t="inlineStr">
        <is>
          <t>холодная база салонов красоты</t>
        </is>
      </c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2">
        <f>IF(COUNTA(C61:L61)=0,"",TEXT(IF(C61="",0,C61),"0")&amp;"/"&amp;TEXT(IF(D61="",0,D61),"0")&amp;"/"&amp;TEXT(IF(E61="",0,E61),"0")&amp;"/"&amp;TEXT(IF(F61="",0,F61),"0")&amp;"/"&amp;TEXT(IF(G61="",0,G61),"0")&amp;"/"&amp;TEXT(IF(H61="",0,H61),"0")&amp;"/"&amp;TEXT(IF(I61="",0,I61),"0")&amp;"/"&amp;TEXT(IF(J61="",0,J61),"0")&amp;"/"&amp;TEXT(IF(K61="",0,K61),"0")&amp;"/"&amp;TEXT(IF(L61="",0,L61),"0"))</f>
        <v/>
      </c>
    </row>
    <row r="62">
      <c r="A62" s="9" t="n">
        <v>46324</v>
      </c>
      <c r="B62" s="10" t="inlineStr">
        <is>
          <t>база АБУ</t>
        </is>
      </c>
      <c r="C62" s="11" t="n"/>
      <c r="D62" s="11" t="n"/>
      <c r="E62" s="11" t="n"/>
      <c r="F62" s="11" t="n"/>
      <c r="G62" s="11" t="n"/>
      <c r="H62" s="11" t="n"/>
      <c r="I62" s="11" t="n"/>
      <c r="J62" s="11" t="n"/>
      <c r="K62" s="11" t="n"/>
      <c r="L62" s="11" t="n"/>
      <c r="M62" s="12">
        <f>IF(COUNTA(C62:L62)=0,"",TEXT(IF(C62="",0,C62),"0")&amp;"/"&amp;TEXT(IF(D62="",0,D62),"0")&amp;"/"&amp;TEXT(IF(E62="",0,E62),"0")&amp;"/"&amp;TEXT(IF(F62="",0,F62),"0")&amp;"/"&amp;TEXT(IF(G62="",0,G62),"0")&amp;"/"&amp;TEXT(IF(H62="",0,H62),"0")&amp;"/"&amp;TEXT(IF(I62="",0,I62),"0")&amp;"/"&amp;TEXT(IF(J62="",0,J62),"0")&amp;"/"&amp;TEXT(IF(K62="",0,K62),"0")&amp;"/"&amp;TEXT(IF(L62="",0,L62),"0"))</f>
        <v/>
      </c>
    </row>
    <row r="63">
      <c r="A63" s="13" t="n">
        <v>46325</v>
      </c>
      <c r="B63" s="10" t="inlineStr">
        <is>
          <t>холодная база салонов красоты</t>
        </is>
      </c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2">
        <f>IF(COUNTA(C63:L63)=0,"",TEXT(IF(C63="",0,C63),"0")&amp;"/"&amp;TEXT(IF(D63="",0,D63),"0")&amp;"/"&amp;TEXT(IF(E63="",0,E63),"0")&amp;"/"&amp;TEXT(IF(F63="",0,F63),"0")&amp;"/"&amp;TEXT(IF(G63="",0,G63),"0")&amp;"/"&amp;TEXT(IF(H63="",0,H63),"0")&amp;"/"&amp;TEXT(IF(I63="",0,I63),"0")&amp;"/"&amp;TEXT(IF(J63="",0,J63),"0")&amp;"/"&amp;TEXT(IF(K63="",0,K63),"0")&amp;"/"&amp;TEXT(IF(L63="",0,L63),"0"))</f>
        <v/>
      </c>
    </row>
    <row r="64">
      <c r="A64" s="13" t="n">
        <v>46325</v>
      </c>
      <c r="B64" s="10" t="inlineStr">
        <is>
          <t>база АБУ</t>
        </is>
      </c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2">
        <f>IF(COUNTA(C64:L64)=0,"",TEXT(IF(C64="",0,C64),"0")&amp;"/"&amp;TEXT(IF(D64="",0,D64),"0")&amp;"/"&amp;TEXT(IF(E64="",0,E64),"0")&amp;"/"&amp;TEXT(IF(F64="",0,F64),"0")&amp;"/"&amp;TEXT(IF(G64="",0,G64),"0")&amp;"/"&amp;TEXT(IF(H64="",0,H64),"0")&amp;"/"&amp;TEXT(IF(I64="",0,I64),"0")&amp;"/"&amp;TEXT(IF(J64="",0,J64),"0")&amp;"/"&amp;TEXT(IF(K64="",0,K64),"0")&amp;"/"&amp;TEXT(IF(L64="",0,L64),"0"))</f>
        <v/>
      </c>
    </row>
    <row r="65">
      <c r="A65" s="9" t="n">
        <v>46326</v>
      </c>
      <c r="B65" s="10" t="inlineStr">
        <is>
          <t>холодная база салонов красоты</t>
        </is>
      </c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2">
        <f>IF(COUNTA(C65:L65)=0,"",TEXT(IF(C65="",0,C65),"0")&amp;"/"&amp;TEXT(IF(D65="",0,D65),"0")&amp;"/"&amp;TEXT(IF(E65="",0,E65),"0")&amp;"/"&amp;TEXT(IF(F65="",0,F65),"0")&amp;"/"&amp;TEXT(IF(G65="",0,G65),"0")&amp;"/"&amp;TEXT(IF(H65="",0,H65),"0")&amp;"/"&amp;TEXT(IF(I65="",0,I65),"0")&amp;"/"&amp;TEXT(IF(J65="",0,J65),"0")&amp;"/"&amp;TEXT(IF(K65="",0,K65),"0")&amp;"/"&amp;TEXT(IF(L65="",0,L65),"0"))</f>
        <v/>
      </c>
    </row>
    <row r="66">
      <c r="A66" s="9" t="n">
        <v>46326</v>
      </c>
      <c r="B66" s="10" t="inlineStr">
        <is>
          <t>база АБУ</t>
        </is>
      </c>
      <c r="C66" s="11" t="n"/>
      <c r="D66" s="11" t="n"/>
      <c r="E66" s="11" t="n"/>
      <c r="F66" s="11" t="n"/>
      <c r="G66" s="11" t="n"/>
      <c r="H66" s="11" t="n"/>
      <c r="I66" s="11" t="n"/>
      <c r="J66" s="11" t="n"/>
      <c r="K66" s="11" t="n"/>
      <c r="L66" s="11" t="n"/>
      <c r="M66" s="12">
        <f>IF(COUNTA(C66:L66)=0,"",TEXT(IF(C66="",0,C66),"0")&amp;"/"&amp;TEXT(IF(D66="",0,D66),"0")&amp;"/"&amp;TEXT(IF(E66="",0,E66),"0")&amp;"/"&amp;TEXT(IF(F66="",0,F66),"0")&amp;"/"&amp;TEXT(IF(G66="",0,G66),"0")&amp;"/"&amp;TEXT(IF(H66="",0,H66),"0")&amp;"/"&amp;TEXT(IF(I66="",0,I66),"0")&amp;"/"&amp;TEXT(IF(J66="",0,J66),"0")&amp;"/"&amp;TEXT(IF(K66="",0,K66),"0")&amp;"/"&amp;TEXT(IF(L66="",0,L66),"0"))</f>
        <v/>
      </c>
    </row>
    <row r="68">
      <c r="A68" s="14" t="inlineStr">
        <is>
          <t>ИТОГО по базе (макс. нарастающий за месяц)</t>
        </is>
      </c>
    </row>
    <row r="69">
      <c r="A69" s="15" t="inlineStr">
        <is>
          <t>База</t>
        </is>
      </c>
      <c r="B69" s="16" t="n"/>
      <c r="C69" s="17" t="inlineStr">
        <is>
          <t>1. Число звонков</t>
        </is>
      </c>
      <c r="D69" s="18" t="inlineStr">
        <is>
          <t>2. Получен номер ЛПР /</t>
        </is>
      </c>
      <c r="E69" s="18" t="inlineStr">
        <is>
          <t>3. Квалификация пройдена /</t>
        </is>
      </c>
      <c r="F69" s="18" t="inlineStr">
        <is>
          <t>4. Получена ОС от ЛПР</t>
        </is>
      </c>
      <c r="G69" s="19" t="inlineStr">
        <is>
          <t>5. Назначена встреча</t>
        </is>
      </c>
      <c r="H69" s="19" t="inlineStr">
        <is>
          <t>6. Проведено</t>
        </is>
      </c>
      <c r="I69" s="20" t="inlineStr">
        <is>
          <t>7. Тестовый доступ</t>
        </is>
      </c>
      <c r="J69" s="20" t="inlineStr">
        <is>
          <t>8. Онбординг пройден партнером /</t>
        </is>
      </c>
      <c r="K69" s="21" t="inlineStr">
        <is>
          <t>9. Личный кабинет настроен</t>
        </is>
      </c>
      <c r="L69" s="21" t="inlineStr">
        <is>
          <t>10. Ссылка на запись</t>
        </is>
      </c>
    </row>
    <row r="70">
      <c r="A70" s="22" t="inlineStr">
        <is>
          <t>холодная база салонов красоты</t>
        </is>
      </c>
      <c r="B70" s="23" t="n"/>
      <c r="C70" s="24">
        <f>IFERROR(MAXIFS(C$5:C$66,$B$5:$B$66,A70),0)</f>
        <v/>
      </c>
      <c r="D70" s="24">
        <f>IFERROR(MAXIFS(D$5:D$66,$B$5:$B$66,A70),0)</f>
        <v/>
      </c>
      <c r="E70" s="24">
        <f>IFERROR(MAXIFS(E$5:E$66,$B$5:$B$66,A70),0)</f>
        <v/>
      </c>
      <c r="F70" s="24">
        <f>IFERROR(MAXIFS(F$5:F$66,$B$5:$B$66,A70),0)</f>
        <v/>
      </c>
      <c r="G70" s="24">
        <f>IFERROR(MAXIFS(G$5:G$66,$B$5:$B$66,A70),0)</f>
        <v/>
      </c>
      <c r="H70" s="24">
        <f>IFERROR(MAXIFS(H$5:H$66,$B$5:$B$66,A70),0)</f>
        <v/>
      </c>
      <c r="I70" s="24">
        <f>IFERROR(MAXIFS(I$5:I$66,$B$5:$B$66,A70),0)</f>
        <v/>
      </c>
      <c r="J70" s="24">
        <f>IFERROR(MAXIFS(J$5:J$66,$B$5:$B$66,A70),0)</f>
        <v/>
      </c>
      <c r="K70" s="24">
        <f>IFERROR(MAXIFS(K$5:K$66,$B$5:$B$66,A70),0)</f>
        <v/>
      </c>
      <c r="L70" s="24">
        <f>IFERROR(MAXIFS(L$5:L$66,$B$5:$B$66,A70),0)</f>
        <v/>
      </c>
    </row>
    <row r="71">
      <c r="A71" s="25" t="inlineStr">
        <is>
          <t>база АБУ</t>
        </is>
      </c>
      <c r="B71" s="23" t="n"/>
      <c r="C71" s="24">
        <f>IFERROR(MAXIFS(C$5:C$66,$B$5:$B$66,A71),0)</f>
        <v/>
      </c>
      <c r="D71" s="24">
        <f>IFERROR(MAXIFS(D$5:D$66,$B$5:$B$66,A71),0)</f>
        <v/>
      </c>
      <c r="E71" s="24">
        <f>IFERROR(MAXIFS(E$5:E$66,$B$5:$B$66,A71),0)</f>
        <v/>
      </c>
      <c r="F71" s="24">
        <f>IFERROR(MAXIFS(F$5:F$66,$B$5:$B$66,A71),0)</f>
        <v/>
      </c>
      <c r="G71" s="24">
        <f>IFERROR(MAXIFS(G$5:G$66,$B$5:$B$66,A71),0)</f>
        <v/>
      </c>
      <c r="H71" s="24">
        <f>IFERROR(MAXIFS(H$5:H$66,$B$5:$B$66,A71),0)</f>
        <v/>
      </c>
      <c r="I71" s="24">
        <f>IFERROR(MAXIFS(I$5:I$66,$B$5:$B$66,A71),0)</f>
        <v/>
      </c>
      <c r="J71" s="24">
        <f>IFERROR(MAXIFS(J$5:J$66,$B$5:$B$66,A71),0)</f>
        <v/>
      </c>
      <c r="K71" s="24">
        <f>IFERROR(MAXIFS(K$5:K$66,$B$5:$B$66,A71),0)</f>
        <v/>
      </c>
      <c r="L71" s="24">
        <f>IFERROR(MAXIFS(L$5:L$66,$B$5:$B$66,A71),0)</f>
        <v/>
      </c>
    </row>
    <row r="73">
      <c r="A73" s="26" t="inlineStr">
        <is>
          <t>Легенда:</t>
        </is>
      </c>
    </row>
    <row r="74">
      <c r="A74" s="27" t="inlineStr">
        <is>
          <t>Жёлтые ячейки</t>
        </is>
      </c>
      <c r="B74" t="inlineStr">
        <is>
          <t>— поля для ввода (нарастающий итог с 1-го числа месяца)</t>
        </is>
      </c>
    </row>
    <row r="75">
      <c r="A75" s="28" t="inlineStr">
        <is>
          <t>Красный</t>
        </is>
      </c>
      <c r="B75" t="inlineStr">
        <is>
          <t>— число звонков меньше 20</t>
        </is>
      </c>
    </row>
    <row r="76">
      <c r="A76" s="29" t="inlineStr">
        <is>
          <t>Зелёный</t>
        </is>
      </c>
      <c r="B76" t="inlineStr">
        <is>
          <t>— число звонков 20 и более</t>
        </is>
      </c>
    </row>
    <row r="77">
      <c r="A77" s="30" t="inlineStr">
        <is>
          <t>Формат</t>
        </is>
      </c>
      <c r="B77" t="inlineStr">
        <is>
          <t>— автосборка: звонки/ЛПР/квал/ОС/встреча/през/тест/онборд/ЛК/ссылка</t>
        </is>
      </c>
    </row>
  </sheetData>
  <mergeCells count="5">
    <mergeCell ref="A1:M1"/>
    <mergeCell ref="A68:B68"/>
    <mergeCell ref="A71:B71"/>
    <mergeCell ref="A70:B70"/>
    <mergeCell ref="A2:M2"/>
  </mergeCells>
  <conditionalFormatting sqref="C5:C66">
    <cfRule type="cellIs" priority="1" operator="lessThan" dxfId="0">
      <formula>20</formula>
    </cfRule>
    <cfRule type="cellIs" priority="2" operator="greaterThanOrEqual" dxfId="1">
      <formula>20</formula>
    </cfRule>
  </conditionalFormatting>
  <dataValidations count="1">
    <dataValidation sqref="B5:B66" showDropDown="0" showInputMessage="0" showErrorMessage="0" allowBlank="1" errorTitle="База" error="Выберите базу из списка" promptTitle="База" prompt="Выберите базу" type="list">
      <formula1>"холодная база салонов красоты,база АБУ"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80" customWidth="1" min="3" max="3"/>
  </cols>
  <sheetData>
    <row r="1">
      <c r="A1" s="15" t="inlineStr">
        <is>
          <t>№</t>
        </is>
      </c>
      <c r="B1" s="15" t="inlineStr">
        <is>
          <t>Метрика</t>
        </is>
      </c>
      <c r="C1" s="15" t="inlineStr">
        <is>
          <t>Пояснение</t>
        </is>
      </c>
    </row>
    <row r="2">
      <c r="A2" s="31" t="n">
        <v>1</v>
      </c>
      <c r="B2" s="32" t="inlineStr">
        <is>
          <t>Число звонков</t>
        </is>
      </c>
      <c r="C2" s="33" t="inlineStr">
        <is>
          <t>Все исходящие звонки по выбранной базе, нарастающим с начала месяца. Норма: ≥ 20 в день.</t>
        </is>
      </c>
    </row>
    <row r="3">
      <c r="A3" s="31" t="n">
        <v>2</v>
      </c>
      <c r="B3" s="32" t="inlineStr">
        <is>
          <t>Получен номер ЛПР / Состоялся контакт с ЛПР</t>
        </is>
      </c>
      <c r="C3" s="33" t="inlineStr">
        <is>
          <t>Дозвон до лица, принимающего решение, или получение его контакта.</t>
        </is>
      </c>
    </row>
    <row r="4">
      <c r="A4" s="31" t="n">
        <v>3</v>
      </c>
      <c r="B4" s="32" t="inlineStr">
        <is>
          <t>Квалификация / Интерес / КП</t>
        </is>
      </c>
      <c r="C4" s="33" t="inlineStr">
        <is>
          <t>Пройдена квалификация, выявлен интерес или отправлено коммерческое предложение.</t>
        </is>
      </c>
    </row>
    <row r="5">
      <c r="A5" s="31" t="n">
        <v>4</v>
      </c>
      <c r="B5" s="32" t="inlineStr">
        <is>
          <t>Получена ОС от ЛПР</t>
        </is>
      </c>
      <c r="C5" s="33" t="inlineStr">
        <is>
          <t>Обратная связь от ЛПР по КП / предложению.</t>
        </is>
      </c>
    </row>
    <row r="6">
      <c r="A6" s="31" t="n">
        <v>5</v>
      </c>
      <c r="B6" s="32" t="inlineStr">
        <is>
          <t>Назначена встреча на текущий месяц</t>
        </is>
      </c>
      <c r="C6" s="33" t="inlineStr">
        <is>
          <t>Встреча/демо назначена именно на текущий календарный месяц.</t>
        </is>
      </c>
    </row>
    <row r="7">
      <c r="A7" s="31" t="n">
        <v>6</v>
      </c>
      <c r="B7" s="32" t="inlineStr">
        <is>
          <t>Проведено презентаций</t>
        </is>
      </c>
      <c r="C7" s="33" t="inlineStr">
        <is>
          <t>Фактически проведённые презентации / демо.</t>
        </is>
      </c>
    </row>
    <row r="8">
      <c r="A8" s="31" t="n">
        <v>7</v>
      </c>
      <c r="B8" s="32" t="inlineStr">
        <is>
          <t>Тестовый доступ подключен</t>
        </is>
      </c>
      <c r="C8" s="33" t="inlineStr">
        <is>
          <t>Партнёру/клиенту выдан тестовый доступ.</t>
        </is>
      </c>
    </row>
    <row r="9">
      <c r="A9" s="31" t="n">
        <v>8</v>
      </c>
      <c r="B9" s="32" t="inlineStr">
        <is>
          <t>Онбординг / услуги и прайс</t>
        </is>
      </c>
      <c r="C9" s="33" t="inlineStr">
        <is>
          <t>Партнёр прошёл онбординг; получены список услуг, прайс и вводные.</t>
        </is>
      </c>
    </row>
    <row r="10">
      <c r="A10" s="31" t="n">
        <v>9</v>
      </c>
      <c r="B10" s="32" t="inlineStr">
        <is>
          <t>Личный кабинет настроен</t>
        </is>
      </c>
      <c r="C10" s="33" t="inlineStr">
        <is>
          <t>ЛК настроен и готов к работе.</t>
        </is>
      </c>
    </row>
    <row r="11">
      <c r="A11" s="31" t="n">
        <v>10</v>
      </c>
      <c r="B11" s="32" t="inlineStr">
        <is>
          <t>Ссылка на запись опубликована</t>
        </is>
      </c>
      <c r="C11" s="33" t="inlineStr">
        <is>
          <t>Ссылка на запись опубликована (для Блиц-запись и аналогов).</t>
        </is>
      </c>
    </row>
    <row r="13">
      <c r="A13" s="26" t="inlineStr">
        <is>
          <t>Базы для выбора:</t>
        </is>
      </c>
    </row>
    <row r="14">
      <c r="A14" t="inlineStr">
        <is>
          <t>холодная база салонов красоты</t>
        </is>
      </c>
    </row>
    <row r="15">
      <c r="A15" t="inlineStr">
        <is>
          <t>база АБУ</t>
        </is>
      </c>
    </row>
    <row r="17">
      <c r="A17" s="26" t="inlineStr">
        <is>
          <t>Как заполнять:</t>
        </is>
      </c>
    </row>
    <row r="18">
      <c r="A18" t="inlineStr">
        <is>
          <t>1. Найдите строку с нужной датой и базой.</t>
        </is>
      </c>
    </row>
    <row r="19">
      <c r="A19" t="inlineStr">
        <is>
          <t>2. Внесите нарастающие итоги с 1-го числа месяца (не за день, а кумулятивно).</t>
        </is>
      </c>
    </row>
    <row r="20">
      <c r="A20" t="inlineStr">
        <is>
          <t>3. Колонка «Формат» сама соберёт строку вида 12/3/1/0/1/0/0/0/0/0 для отчёта.</t>
        </is>
      </c>
    </row>
    <row r="21">
      <c r="A21" t="inlineStr">
        <is>
          <t>4. Если по одной из баз в день не работали — строку можно оставить пустой.</t>
        </is>
      </c>
    </row>
    <row r="22">
      <c r="A22" t="inlineStr">
        <is>
          <t>5. Чтобы сменить месяц: python3 scripts/build_daily_metrics_xlsx.py --year YYYY --month 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2026-10-13T04:45:04Z</dcterms:created>
  <dcterms:modified xsi:type="dcterms:W3CDTF">2026-10-13T04:45:04Z</dcterms:modified>
</cp:coreProperties>
</file>