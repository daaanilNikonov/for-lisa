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ктябрь 2026" sheetId="1" state="visible" r:id="rId1"/>
    <sheet name="_списки" sheetId="2" state="hidden" r:id="rId2"/>
  </sheets>
  <definedNames>
    <definedName name="СписокБаз">_списки!$A$2:$A$3</definedName>
    <definedName name="_xlnm._FilterDatabase" localSheetId="0" hidden="1">'октябрь 2026'!$A$4:$N$26</definedName>
    <definedName name="_xlnm.Print_Titles" localSheetId="0">'октябрь 2026'!$4:$4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0"/>
    </font>
    <font>
      <b val="1"/>
      <color rgb="001F4E79"/>
      <sz val="12"/>
    </font>
    <font>
      <b val="1"/>
      <color rgb="00FFFFFF"/>
      <sz val="9"/>
    </font>
    <font>
      <b val="1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7030A0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D6EAF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6B6B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" fontId="0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8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9" borderId="0" pivotButton="0" quotePrefix="0" xfId="0"/>
    <xf numFmtId="0" fontId="0" fillId="15" borderId="0" pivotButton="0" quotePrefix="0" xfId="0"/>
  </cellXfs>
  <cellStyles count="1">
    <cellStyle name="Normal" xfId="0" builtinId="0" hidden="0"/>
  </cellStyles>
  <dxfs count="2">
    <dxf>
      <font>
        <name val="Calibri"/>
        <b val="1"/>
        <color rgb="009C0006"/>
      </font>
      <fill>
        <patternFill patternType="solid">
          <fgColor rgb="00FF6B6B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32" customWidth="1" min="3" max="3"/>
    <col width="14" customWidth="1" min="4" max="4"/>
    <col width="16" customWidth="1" min="5" max="5"/>
    <col width="18" customWidth="1" min="6" max="6"/>
    <col width="14" customWidth="1" min="7" max="7"/>
    <col width="14" customWidth="1" min="8" max="8"/>
    <col width="12" customWidth="1" min="9" max="9"/>
    <col width="12" customWidth="1" min="10" max="10"/>
    <col width="18" customWidth="1" min="11" max="11"/>
    <col width="16" customWidth="1" min="12" max="12"/>
    <col width="14" customWidth="1" min="13" max="13"/>
    <col width="28" customWidth="1" min="14" max="14"/>
  </cols>
  <sheetData>
    <row r="1" ht="28" customHeight="1">
      <c r="A1" s="1" t="inlineStr">
        <is>
          <t>Ежедневные метрики продаж — октябрь 2026 (месяц нарастающим итогом)</t>
        </is>
      </c>
    </row>
    <row r="2" ht="40" customHeight="1">
      <c r="A2" s="2" t="inlineStr">
        <is>
          <t>Только рабочие дни (пн–пт). Сб и вс не заполняются. В колонке «База» выберите значение из раскрывающегося списка. Метрики — нарастающий итог с 1-го числа. Колонка «Формат» собирается автоматически: звонки/ЛПР/квал/ОС/встреча/през/тест/онборд/ЛК/ссылка.</t>
        </is>
      </c>
    </row>
    <row r="3" ht="8" customHeight="1"/>
    <row r="4" ht="58" customHeight="1">
      <c r="A4" s="3" t="inlineStr">
        <is>
          <t>Дата</t>
        </is>
      </c>
      <c r="B4" s="3" t="inlineStr">
        <is>
          <t>День</t>
        </is>
      </c>
      <c r="C4" s="3" t="inlineStr">
        <is>
          <t>База</t>
        </is>
      </c>
      <c r="D4" s="3" t="inlineStr">
        <is>
          <t>1. Число звонков
(месяц нарастающим)</t>
        </is>
      </c>
      <c r="E4" s="4" t="inlineStr">
        <is>
          <t>2. Получен номер ЛПР /
Состоялся контакт с ЛПР</t>
        </is>
      </c>
      <c r="F4" s="4" t="inlineStr">
        <is>
          <t>3. Квалификация пройдена /
Выявлен интерес / Отправлено КП</t>
        </is>
      </c>
      <c r="G4" s="4" t="inlineStr">
        <is>
          <t>4. Получена ОС от ЛПР</t>
        </is>
      </c>
      <c r="H4" s="5" t="inlineStr">
        <is>
          <t>5. Назначена встреча
на текущий месяц</t>
        </is>
      </c>
      <c r="I4" s="5" t="inlineStr">
        <is>
          <t>6. Проведено
презентаций</t>
        </is>
      </c>
      <c r="J4" s="6" t="inlineStr">
        <is>
          <t>7. Тестовый доступ
подключен</t>
        </is>
      </c>
      <c r="K4" s="6" t="inlineStr">
        <is>
          <t>8. Онбординг пройден партнером /
Список услуг, прайс, вводные</t>
        </is>
      </c>
      <c r="L4" s="7" t="inlineStr">
        <is>
          <t>9. Личный кабинет настроен
и подготовлен к работе</t>
        </is>
      </c>
      <c r="M4" s="7" t="inlineStr">
        <is>
          <t>10. Ссылка на запись
опубликована</t>
        </is>
      </c>
      <c r="N4" s="8" t="inlineStr">
        <is>
          <t>Формат
2/3/4/5/6/7/8/9/10/11</t>
        </is>
      </c>
    </row>
    <row r="5">
      <c r="A5" s="9" t="n">
        <v>46296</v>
      </c>
      <c r="B5" s="10" t="inlineStr">
        <is>
          <t>чт</t>
        </is>
      </c>
      <c r="C5" s="11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3">
        <f>IF(COUNTA(D5:M5)=0,"",TEXT(N(D5),"0")&amp;"/"&amp;TEXT(N(E5),"0")&amp;"/"&amp;TEXT(N(F5),"0")&amp;"/"&amp;TEXT(N(G5),"0")&amp;"/"&amp;TEXT(N(H5),"0")&amp;"/"&amp;TEXT(N(I5),"0")&amp;"/"&amp;TEXT(N(J5),"0")&amp;"/"&amp;TEXT(N(K5),"0")&amp;"/"&amp;TEXT(N(L5),"0")&amp;"/"&amp;TEXT(N(M5),"0"))</f>
        <v/>
      </c>
    </row>
    <row r="6">
      <c r="A6" s="14" t="n">
        <v>46297</v>
      </c>
      <c r="B6" s="15" t="inlineStr">
        <is>
          <t>пт</t>
        </is>
      </c>
      <c r="C6" s="11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>
        <f>IF(COUNTA(D6:M6)=0,"",TEXT(N(D6),"0")&amp;"/"&amp;TEXT(N(E6),"0")&amp;"/"&amp;TEXT(N(F6),"0")&amp;"/"&amp;TEXT(N(G6),"0")&amp;"/"&amp;TEXT(N(H6),"0")&amp;"/"&amp;TEXT(N(I6),"0")&amp;"/"&amp;TEXT(N(J6),"0")&amp;"/"&amp;TEXT(N(K6),"0")&amp;"/"&amp;TEXT(N(L6),"0")&amp;"/"&amp;TEXT(N(M6),"0"))</f>
        <v/>
      </c>
    </row>
    <row r="7">
      <c r="A7" s="9" t="n">
        <v>46300</v>
      </c>
      <c r="B7" s="10" t="inlineStr">
        <is>
          <t>пн</t>
        </is>
      </c>
      <c r="C7" s="11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>
        <f>IF(COUNTA(D7:M7)=0,"",TEXT(N(D7),"0")&amp;"/"&amp;TEXT(N(E7),"0")&amp;"/"&amp;TEXT(N(F7),"0")&amp;"/"&amp;TEXT(N(G7),"0")&amp;"/"&amp;TEXT(N(H7),"0")&amp;"/"&amp;TEXT(N(I7),"0")&amp;"/"&amp;TEXT(N(J7),"0")&amp;"/"&amp;TEXT(N(K7),"0")&amp;"/"&amp;TEXT(N(L7),"0")&amp;"/"&amp;TEXT(N(M7),"0"))</f>
        <v/>
      </c>
    </row>
    <row r="8">
      <c r="A8" s="14" t="n">
        <v>46301</v>
      </c>
      <c r="B8" s="15" t="inlineStr">
        <is>
          <t>вт</t>
        </is>
      </c>
      <c r="C8" s="11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>
        <f>IF(COUNTA(D8:M8)=0,"",TEXT(N(D8),"0")&amp;"/"&amp;TEXT(N(E8),"0")&amp;"/"&amp;TEXT(N(F8),"0")&amp;"/"&amp;TEXT(N(G8),"0")&amp;"/"&amp;TEXT(N(H8),"0")&amp;"/"&amp;TEXT(N(I8),"0")&amp;"/"&amp;TEXT(N(J8),"0")&amp;"/"&amp;TEXT(N(K8),"0")&amp;"/"&amp;TEXT(N(L8),"0")&amp;"/"&amp;TEXT(N(M8),"0"))</f>
        <v/>
      </c>
    </row>
    <row r="9">
      <c r="A9" s="9" t="n">
        <v>46302</v>
      </c>
      <c r="B9" s="10" t="inlineStr">
        <is>
          <t>ср</t>
        </is>
      </c>
      <c r="C9" s="11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3">
        <f>IF(COUNTA(D9:M9)=0,"",TEXT(N(D9),"0")&amp;"/"&amp;TEXT(N(E9),"0")&amp;"/"&amp;TEXT(N(F9),"0")&amp;"/"&amp;TEXT(N(G9),"0")&amp;"/"&amp;TEXT(N(H9),"0")&amp;"/"&amp;TEXT(N(I9),"0")&amp;"/"&amp;TEXT(N(J9),"0")&amp;"/"&amp;TEXT(N(K9),"0")&amp;"/"&amp;TEXT(N(L9),"0")&amp;"/"&amp;TEXT(N(M9),"0"))</f>
        <v/>
      </c>
    </row>
    <row r="10">
      <c r="A10" s="14" t="n">
        <v>46303</v>
      </c>
      <c r="B10" s="15" t="inlineStr">
        <is>
          <t>чт</t>
        </is>
      </c>
      <c r="C10" s="11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3">
        <f>IF(COUNTA(D10:M10)=0,"",TEXT(N(D10),"0")&amp;"/"&amp;TEXT(N(E10),"0")&amp;"/"&amp;TEXT(N(F10),"0")&amp;"/"&amp;TEXT(N(G10),"0")&amp;"/"&amp;TEXT(N(H10),"0")&amp;"/"&amp;TEXT(N(I10),"0")&amp;"/"&amp;TEXT(N(J10),"0")&amp;"/"&amp;TEXT(N(K10),"0")&amp;"/"&amp;TEXT(N(L10),"0")&amp;"/"&amp;TEXT(N(M10),"0"))</f>
        <v/>
      </c>
    </row>
    <row r="11">
      <c r="A11" s="9" t="n">
        <v>46304</v>
      </c>
      <c r="B11" s="10" t="inlineStr">
        <is>
          <t>пт</t>
        </is>
      </c>
      <c r="C11" s="11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3">
        <f>IF(COUNTA(D11:M11)=0,"",TEXT(N(D11),"0")&amp;"/"&amp;TEXT(N(E11),"0")&amp;"/"&amp;TEXT(N(F11),"0")&amp;"/"&amp;TEXT(N(G11),"0")&amp;"/"&amp;TEXT(N(H11),"0")&amp;"/"&amp;TEXT(N(I11),"0")&amp;"/"&amp;TEXT(N(J11),"0")&amp;"/"&amp;TEXT(N(K11),"0")&amp;"/"&amp;TEXT(N(L11),"0")&amp;"/"&amp;TEXT(N(M11),"0"))</f>
        <v/>
      </c>
    </row>
    <row r="12">
      <c r="A12" s="14" t="n">
        <v>46307</v>
      </c>
      <c r="B12" s="15" t="inlineStr">
        <is>
          <t>пн</t>
        </is>
      </c>
      <c r="C12" s="11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3">
        <f>IF(COUNTA(D12:M12)=0,"",TEXT(N(D12),"0")&amp;"/"&amp;TEXT(N(E12),"0")&amp;"/"&amp;TEXT(N(F12),"0")&amp;"/"&amp;TEXT(N(G12),"0")&amp;"/"&amp;TEXT(N(H12),"0")&amp;"/"&amp;TEXT(N(I12),"0")&amp;"/"&amp;TEXT(N(J12),"0")&amp;"/"&amp;TEXT(N(K12),"0")&amp;"/"&amp;TEXT(N(L12),"0")&amp;"/"&amp;TEXT(N(M12),"0"))</f>
        <v/>
      </c>
    </row>
    <row r="13">
      <c r="A13" s="9" t="n">
        <v>46308</v>
      </c>
      <c r="B13" s="10" t="inlineStr">
        <is>
          <t>вт</t>
        </is>
      </c>
      <c r="C13" s="11" t="inlineStr">
        <is>
          <t>холодная база салонов красоты</t>
        </is>
      </c>
      <c r="D13" s="12" t="n">
        <v>22</v>
      </c>
      <c r="E13" s="12" t="n">
        <v>4</v>
      </c>
      <c r="F13" s="12" t="n">
        <v>2</v>
      </c>
      <c r="G13" s="12" t="n">
        <v>1</v>
      </c>
      <c r="H13" s="12" t="n">
        <v>1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>
        <f>IF(COUNTA(D13:M13)=0,"",TEXT(N(D13),"0")&amp;"/"&amp;TEXT(N(E13),"0")&amp;"/"&amp;TEXT(N(F13),"0")&amp;"/"&amp;TEXT(N(G13),"0")&amp;"/"&amp;TEXT(N(H13),"0")&amp;"/"&amp;TEXT(N(I13),"0")&amp;"/"&amp;TEXT(N(J13),"0")&amp;"/"&amp;TEXT(N(K13),"0")&amp;"/"&amp;TEXT(N(L13),"0")&amp;"/"&amp;TEXT(N(M13),"0"))</f>
        <v/>
      </c>
    </row>
    <row r="14">
      <c r="A14" s="14" t="n">
        <v>46309</v>
      </c>
      <c r="B14" s="15" t="inlineStr">
        <is>
          <t>ср</t>
        </is>
      </c>
      <c r="C14" s="11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3">
        <f>IF(COUNTA(D14:M14)=0,"",TEXT(N(D14),"0")&amp;"/"&amp;TEXT(N(E14),"0")&amp;"/"&amp;TEXT(N(F14),"0")&amp;"/"&amp;TEXT(N(G14),"0")&amp;"/"&amp;TEXT(N(H14),"0")&amp;"/"&amp;TEXT(N(I14),"0")&amp;"/"&amp;TEXT(N(J14),"0")&amp;"/"&amp;TEXT(N(K14),"0")&amp;"/"&amp;TEXT(N(L14),"0")&amp;"/"&amp;TEXT(N(M14),"0"))</f>
        <v/>
      </c>
    </row>
    <row r="15">
      <c r="A15" s="9" t="n">
        <v>46310</v>
      </c>
      <c r="B15" s="10" t="inlineStr">
        <is>
          <t>чт</t>
        </is>
      </c>
      <c r="C15" s="11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3">
        <f>IF(COUNTA(D15:M15)=0,"",TEXT(N(D15),"0")&amp;"/"&amp;TEXT(N(E15),"0")&amp;"/"&amp;TEXT(N(F15),"0")&amp;"/"&amp;TEXT(N(G15),"0")&amp;"/"&amp;TEXT(N(H15),"0")&amp;"/"&amp;TEXT(N(I15),"0")&amp;"/"&amp;TEXT(N(J15),"0")&amp;"/"&amp;TEXT(N(K15),"0")&amp;"/"&amp;TEXT(N(L15),"0")&amp;"/"&amp;TEXT(N(M15),"0"))</f>
        <v/>
      </c>
    </row>
    <row r="16">
      <c r="A16" s="14" t="n">
        <v>46311</v>
      </c>
      <c r="B16" s="15" t="inlineStr">
        <is>
          <t>пт</t>
        </is>
      </c>
      <c r="C16" s="11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3">
        <f>IF(COUNTA(D16:M16)=0,"",TEXT(N(D16),"0")&amp;"/"&amp;TEXT(N(E16),"0")&amp;"/"&amp;TEXT(N(F16),"0")&amp;"/"&amp;TEXT(N(G16),"0")&amp;"/"&amp;TEXT(N(H16),"0")&amp;"/"&amp;TEXT(N(I16),"0")&amp;"/"&amp;TEXT(N(J16),"0")&amp;"/"&amp;TEXT(N(K16),"0")&amp;"/"&amp;TEXT(N(L16),"0")&amp;"/"&amp;TEXT(N(M16),"0"))</f>
        <v/>
      </c>
    </row>
    <row r="17">
      <c r="A17" s="9" t="n">
        <v>46314</v>
      </c>
      <c r="B17" s="10" t="inlineStr">
        <is>
          <t>пн</t>
        </is>
      </c>
      <c r="C17" s="11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3">
        <f>IF(COUNTA(D17:M17)=0,"",TEXT(N(D17),"0")&amp;"/"&amp;TEXT(N(E17),"0")&amp;"/"&amp;TEXT(N(F17),"0")&amp;"/"&amp;TEXT(N(G17),"0")&amp;"/"&amp;TEXT(N(H17),"0")&amp;"/"&amp;TEXT(N(I17),"0")&amp;"/"&amp;TEXT(N(J17),"0")&amp;"/"&amp;TEXT(N(K17),"0")&amp;"/"&amp;TEXT(N(L17),"0")&amp;"/"&amp;TEXT(N(M17),"0"))</f>
        <v/>
      </c>
    </row>
    <row r="18">
      <c r="A18" s="14" t="n">
        <v>46315</v>
      </c>
      <c r="B18" s="15" t="inlineStr">
        <is>
          <t>вт</t>
        </is>
      </c>
      <c r="C18" s="11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3">
        <f>IF(COUNTA(D18:M18)=0,"",TEXT(N(D18),"0")&amp;"/"&amp;TEXT(N(E18),"0")&amp;"/"&amp;TEXT(N(F18),"0")&amp;"/"&amp;TEXT(N(G18),"0")&amp;"/"&amp;TEXT(N(H18),"0")&amp;"/"&amp;TEXT(N(I18),"0")&amp;"/"&amp;TEXT(N(J18),"0")&amp;"/"&amp;TEXT(N(K18),"0")&amp;"/"&amp;TEXT(N(L18),"0")&amp;"/"&amp;TEXT(N(M18),"0"))</f>
        <v/>
      </c>
    </row>
    <row r="19">
      <c r="A19" s="9" t="n">
        <v>46316</v>
      </c>
      <c r="B19" s="10" t="inlineStr">
        <is>
          <t>ср</t>
        </is>
      </c>
      <c r="C19" s="11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3">
        <f>IF(COUNTA(D19:M19)=0,"",TEXT(N(D19),"0")&amp;"/"&amp;TEXT(N(E19),"0")&amp;"/"&amp;TEXT(N(F19),"0")&amp;"/"&amp;TEXT(N(G19),"0")&amp;"/"&amp;TEXT(N(H19),"0")&amp;"/"&amp;TEXT(N(I19),"0")&amp;"/"&amp;TEXT(N(J19),"0")&amp;"/"&amp;TEXT(N(K19),"0")&amp;"/"&amp;TEXT(N(L19),"0")&amp;"/"&amp;TEXT(N(M19),"0"))</f>
        <v/>
      </c>
    </row>
    <row r="20">
      <c r="A20" s="14" t="n">
        <v>46317</v>
      </c>
      <c r="B20" s="15" t="inlineStr">
        <is>
          <t>чт</t>
        </is>
      </c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3">
        <f>IF(COUNTA(D20:M20)=0,"",TEXT(N(D20),"0")&amp;"/"&amp;TEXT(N(E20),"0")&amp;"/"&amp;TEXT(N(F20),"0")&amp;"/"&amp;TEXT(N(G20),"0")&amp;"/"&amp;TEXT(N(H20),"0")&amp;"/"&amp;TEXT(N(I20),"0")&amp;"/"&amp;TEXT(N(J20),"0")&amp;"/"&amp;TEXT(N(K20),"0")&amp;"/"&amp;TEXT(N(L20),"0")&amp;"/"&amp;TEXT(N(M20),"0"))</f>
        <v/>
      </c>
    </row>
    <row r="21">
      <c r="A21" s="9" t="n">
        <v>46318</v>
      </c>
      <c r="B21" s="10" t="inlineStr">
        <is>
          <t>пт</t>
        </is>
      </c>
      <c r="C21" s="11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3">
        <f>IF(COUNTA(D21:M21)=0,"",TEXT(N(D21),"0")&amp;"/"&amp;TEXT(N(E21),"0")&amp;"/"&amp;TEXT(N(F21),"0")&amp;"/"&amp;TEXT(N(G21),"0")&amp;"/"&amp;TEXT(N(H21),"0")&amp;"/"&amp;TEXT(N(I21),"0")&amp;"/"&amp;TEXT(N(J21),"0")&amp;"/"&amp;TEXT(N(K21),"0")&amp;"/"&amp;TEXT(N(L21),"0")&amp;"/"&amp;TEXT(N(M21),"0"))</f>
        <v/>
      </c>
    </row>
    <row r="22">
      <c r="A22" s="14" t="n">
        <v>46321</v>
      </c>
      <c r="B22" s="15" t="inlineStr">
        <is>
          <t>пн</t>
        </is>
      </c>
      <c r="C22" s="11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3">
        <f>IF(COUNTA(D22:M22)=0,"",TEXT(N(D22),"0")&amp;"/"&amp;TEXT(N(E22),"0")&amp;"/"&amp;TEXT(N(F22),"0")&amp;"/"&amp;TEXT(N(G22),"0")&amp;"/"&amp;TEXT(N(H22),"0")&amp;"/"&amp;TEXT(N(I22),"0")&amp;"/"&amp;TEXT(N(J22),"0")&amp;"/"&amp;TEXT(N(K22),"0")&amp;"/"&amp;TEXT(N(L22),"0")&amp;"/"&amp;TEXT(N(M22),"0"))</f>
        <v/>
      </c>
    </row>
    <row r="23">
      <c r="A23" s="9" t="n">
        <v>46322</v>
      </c>
      <c r="B23" s="10" t="inlineStr">
        <is>
          <t>вт</t>
        </is>
      </c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3">
        <f>IF(COUNTA(D23:M23)=0,"",TEXT(N(D23),"0")&amp;"/"&amp;TEXT(N(E23),"0")&amp;"/"&amp;TEXT(N(F23),"0")&amp;"/"&amp;TEXT(N(G23),"0")&amp;"/"&amp;TEXT(N(H23),"0")&amp;"/"&amp;TEXT(N(I23),"0")&amp;"/"&amp;TEXT(N(J23),"0")&amp;"/"&amp;TEXT(N(K23),"0")&amp;"/"&amp;TEXT(N(L23),"0")&amp;"/"&amp;TEXT(N(M23),"0"))</f>
        <v/>
      </c>
    </row>
    <row r="24">
      <c r="A24" s="14" t="n">
        <v>46323</v>
      </c>
      <c r="B24" s="15" t="inlineStr">
        <is>
          <t>ср</t>
        </is>
      </c>
      <c r="C24" s="11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3">
        <f>IF(COUNTA(D24:M24)=0,"",TEXT(N(D24),"0")&amp;"/"&amp;TEXT(N(E24),"0")&amp;"/"&amp;TEXT(N(F24),"0")&amp;"/"&amp;TEXT(N(G24),"0")&amp;"/"&amp;TEXT(N(H24),"0")&amp;"/"&amp;TEXT(N(I24),"0")&amp;"/"&amp;TEXT(N(J24),"0")&amp;"/"&amp;TEXT(N(K24),"0")&amp;"/"&amp;TEXT(N(L24),"0")&amp;"/"&amp;TEXT(N(M24),"0"))</f>
        <v/>
      </c>
    </row>
    <row r="25">
      <c r="A25" s="9" t="n">
        <v>46324</v>
      </c>
      <c r="B25" s="10" t="inlineStr">
        <is>
          <t>чт</t>
        </is>
      </c>
      <c r="C25" s="11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>
        <f>IF(COUNTA(D25:M25)=0,"",TEXT(N(D25),"0")&amp;"/"&amp;TEXT(N(E25),"0")&amp;"/"&amp;TEXT(N(F25),"0")&amp;"/"&amp;TEXT(N(G25),"0")&amp;"/"&amp;TEXT(N(H25),"0")&amp;"/"&amp;TEXT(N(I25),"0")&amp;"/"&amp;TEXT(N(J25),"0")&amp;"/"&amp;TEXT(N(K25),"0")&amp;"/"&amp;TEXT(N(L25),"0")&amp;"/"&amp;TEXT(N(M25),"0"))</f>
        <v/>
      </c>
    </row>
    <row r="26">
      <c r="A26" s="14" t="n">
        <v>46325</v>
      </c>
      <c r="B26" s="15" t="inlineStr">
        <is>
          <t>пт</t>
        </is>
      </c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3">
        <f>IF(COUNTA(D26:M26)=0,"",TEXT(N(D26),"0")&amp;"/"&amp;TEXT(N(E26),"0")&amp;"/"&amp;TEXT(N(F26),"0")&amp;"/"&amp;TEXT(N(G26),"0")&amp;"/"&amp;TEXT(N(H26),"0")&amp;"/"&amp;TEXT(N(I26),"0")&amp;"/"&amp;TEXT(N(J26),"0")&amp;"/"&amp;TEXT(N(K26),"0")&amp;"/"&amp;TEXT(N(L26),"0")&amp;"/"&amp;TEXT(N(M26),"0"))</f>
        <v/>
      </c>
    </row>
    <row r="28">
      <c r="A28" s="16" t="inlineStr">
        <is>
          <t>ИТОГО по базе (макс. нарастающий за месяц)</t>
        </is>
      </c>
    </row>
    <row r="29">
      <c r="A29" s="17" t="inlineStr">
        <is>
          <t>База</t>
        </is>
      </c>
      <c r="B29" s="18" t="n"/>
      <c r="C29" s="18" t="n"/>
      <c r="D29" s="19" t="inlineStr">
        <is>
          <t>1. Число звонков</t>
        </is>
      </c>
      <c r="E29" s="20" t="inlineStr">
        <is>
          <t>2. Получен номер ЛПР /</t>
        </is>
      </c>
      <c r="F29" s="20" t="inlineStr">
        <is>
          <t>3. Квалификация пройдена /</t>
        </is>
      </c>
      <c r="G29" s="20" t="inlineStr">
        <is>
          <t>4. Получена ОС от ЛПР</t>
        </is>
      </c>
      <c r="H29" s="21" t="inlineStr">
        <is>
          <t>5. Назначена встреча</t>
        </is>
      </c>
      <c r="I29" s="21" t="inlineStr">
        <is>
          <t>6. Проведено</t>
        </is>
      </c>
      <c r="J29" s="22" t="inlineStr">
        <is>
          <t>7. Тестовый доступ</t>
        </is>
      </c>
      <c r="K29" s="22" t="inlineStr">
        <is>
          <t>8. Онбординг пройден партнером /</t>
        </is>
      </c>
      <c r="L29" s="23" t="inlineStr">
        <is>
          <t>9. Личный кабинет настроен</t>
        </is>
      </c>
      <c r="M29" s="23" t="inlineStr">
        <is>
          <t>10. Ссылка на запись</t>
        </is>
      </c>
    </row>
    <row r="30">
      <c r="A30" s="24" t="inlineStr">
        <is>
          <t>холодная база салонов красоты</t>
        </is>
      </c>
      <c r="D30" s="25">
        <f>IFERROR(MAXIFS(D$5:D$26,$C$5:$C$26,A30),0)</f>
        <v/>
      </c>
      <c r="E30" s="25">
        <f>IFERROR(MAXIFS(E$5:E$26,$C$5:$C$26,A30),0)</f>
        <v/>
      </c>
      <c r="F30" s="25">
        <f>IFERROR(MAXIFS(F$5:F$26,$C$5:$C$26,A30),0)</f>
        <v/>
      </c>
      <c r="G30" s="25">
        <f>IFERROR(MAXIFS(G$5:G$26,$C$5:$C$26,A30),0)</f>
        <v/>
      </c>
      <c r="H30" s="25">
        <f>IFERROR(MAXIFS(H$5:H$26,$C$5:$C$26,A30),0)</f>
        <v/>
      </c>
      <c r="I30" s="25">
        <f>IFERROR(MAXIFS(I$5:I$26,$C$5:$C$26,A30),0)</f>
        <v/>
      </c>
      <c r="J30" s="25">
        <f>IFERROR(MAXIFS(J$5:J$26,$C$5:$C$26,A30),0)</f>
        <v/>
      </c>
      <c r="K30" s="25">
        <f>IFERROR(MAXIFS(K$5:K$26,$C$5:$C$26,A30),0)</f>
        <v/>
      </c>
      <c r="L30" s="25">
        <f>IFERROR(MAXIFS(L$5:L$26,$C$5:$C$26,A30),0)</f>
        <v/>
      </c>
      <c r="M30" s="25">
        <f>IFERROR(MAXIFS(M$5:M$26,$C$5:$C$26,A30),0)</f>
        <v/>
      </c>
    </row>
    <row r="31">
      <c r="A31" s="26" t="inlineStr">
        <is>
          <t>база АБУ</t>
        </is>
      </c>
      <c r="D31" s="25">
        <f>IFERROR(MAXIFS(D$5:D$26,$C$5:$C$26,A31),0)</f>
        <v/>
      </c>
      <c r="E31" s="25">
        <f>IFERROR(MAXIFS(E$5:E$26,$C$5:$C$26,A31),0)</f>
        <v/>
      </c>
      <c r="F31" s="25">
        <f>IFERROR(MAXIFS(F$5:F$26,$C$5:$C$26,A31),0)</f>
        <v/>
      </c>
      <c r="G31" s="25">
        <f>IFERROR(MAXIFS(G$5:G$26,$C$5:$C$26,A31),0)</f>
        <v/>
      </c>
      <c r="H31" s="25">
        <f>IFERROR(MAXIFS(H$5:H$26,$C$5:$C$26,A31),0)</f>
        <v/>
      </c>
      <c r="I31" s="25">
        <f>IFERROR(MAXIFS(I$5:I$26,$C$5:$C$26,A31),0)</f>
        <v/>
      </c>
      <c r="J31" s="25">
        <f>IFERROR(MAXIFS(J$5:J$26,$C$5:$C$26,A31),0)</f>
        <v/>
      </c>
      <c r="K31" s="25">
        <f>IFERROR(MAXIFS(K$5:K$26,$C$5:$C$26,A31),0)</f>
        <v/>
      </c>
      <c r="L31" s="25">
        <f>IFERROR(MAXIFS(L$5:L$26,$C$5:$C$26,A31),0)</f>
        <v/>
      </c>
      <c r="M31" s="25">
        <f>IFERROR(MAXIFS(M$5:M$26,$C$5:$C$26,A31),0)</f>
        <v/>
      </c>
    </row>
    <row r="33">
      <c r="A33" s="27" t="inlineStr">
        <is>
          <t>Легенда:</t>
        </is>
      </c>
    </row>
    <row r="34">
      <c r="A34" s="28" t="inlineStr">
        <is>
          <t>Жёлтые ячейки</t>
        </is>
      </c>
      <c r="B34" t="inlineStr">
        <is>
          <t>— ввод: база (список) и метрики нарастающим итогом</t>
        </is>
      </c>
    </row>
    <row r="35">
      <c r="A35" s="29" t="inlineStr">
        <is>
          <t>Красный</t>
        </is>
      </c>
      <c r="B35" t="inlineStr">
        <is>
          <t>— число звонков меньше 20</t>
        </is>
      </c>
    </row>
    <row r="36">
      <c r="A36" s="30" t="inlineStr">
        <is>
          <t>Зелёный</t>
        </is>
      </c>
      <c r="B36" t="inlineStr">
        <is>
          <t>— число звонков 20 и более</t>
        </is>
      </c>
    </row>
    <row r="37">
      <c r="A37" s="31" t="inlineStr">
        <is>
          <t>Формат</t>
        </is>
      </c>
      <c r="B37" t="inlineStr">
        <is>
          <t>— считается автоматически через /</t>
        </is>
      </c>
    </row>
    <row r="38">
      <c r="A38" s="32" t="inlineStr">
        <is>
          <t>Сб/вс</t>
        </is>
      </c>
      <c r="B38" t="inlineStr">
        <is>
          <t>— в таблице нет: базы в выходные не обрабатывают</t>
        </is>
      </c>
    </row>
  </sheetData>
  <autoFilter ref="A4:N26"/>
  <mergeCells count="5">
    <mergeCell ref="A28:C28"/>
    <mergeCell ref="A31:C31"/>
    <mergeCell ref="A2:N2"/>
    <mergeCell ref="A30:C30"/>
    <mergeCell ref="A1:N1"/>
  </mergeCells>
  <conditionalFormatting sqref="D5:D26">
    <cfRule type="cellIs" priority="1" operator="lessThan" dxfId="0">
      <formula>20</formula>
    </cfRule>
    <cfRule type="cellIs" priority="2" operator="greaterThanOrEqual" dxfId="1">
      <formula>20</formula>
    </cfRule>
  </conditionalFormatting>
  <dataValidations count="1">
    <dataValidation sqref="C5:C26" showDropDown="0" showInputMessage="1" showErrorMessage="1" allowBlank="1" errorTitle="База" error="Выберите базу из раскрывающегося списка" promptTitle="Выбор базы" prompt="Нажмите стрелку и выберите базу" type="list">
      <formula1>=СписокБаз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База</t>
        </is>
      </c>
    </row>
    <row r="2">
      <c r="A2" t="inlineStr">
        <is>
          <t>холодная база салонов красоты</t>
        </is>
      </c>
    </row>
    <row r="3">
      <c r="A3" t="inlineStr">
        <is>
          <t>база АБУ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2026-10-13T05:19:46Z</dcterms:created>
  <dcterms:modified xsi:type="dcterms:W3CDTF">2026-10-13T05:19:46Z</dcterms:modified>
</cp:coreProperties>
</file>