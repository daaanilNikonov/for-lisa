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Default Extension="png" ContentType="image/png"/>
  <Default Extension="bin" ContentType="application/vnd.openxmlformats-officedocument.oleObject"/>
  <Default Extension="wmf" ContentType="image/x-wmf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Экономия 100+ сотрудников" sheetId="1" state="visible" r:id="rId1"/>
    <sheet name="Экономия на удаленщиках" sheetId="2" state="visible" r:id="rId2"/>
    <sheet name="для мелких до 100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<sst xmlns="http://schemas.openxmlformats.org/spreadsheetml/2006/main" count="59" uniqueCount="59">
  <si>
    <t xml:space="preserve">ИСХОДНЫЕ ДАННЫЕ НА СОТРУДНИКА</t>
  </si>
  <si>
    <t xml:space="preserve">РАСЧЕТ РАСХОДОВ в год</t>
  </si>
  <si>
    <t xml:space="preserve">документов в год на сотрудника</t>
  </si>
  <si>
    <t xml:space="preserve">на 1 сотрудника</t>
  </si>
  <si>
    <t xml:space="preserve">на 10 сотрудников</t>
  </si>
  <si>
    <t xml:space="preserve">Приказ на отпуск</t>
  </si>
  <si>
    <t xml:space="preserve">Кабинет Сотрудника в год</t>
  </si>
  <si>
    <t xml:space="preserve">Заявление на отпуск</t>
  </si>
  <si>
    <t>Доп.затраты</t>
  </si>
  <si>
    <t xml:space="preserve">Уведомлени о начале отпуска</t>
  </si>
  <si>
    <t>Бумага</t>
  </si>
  <si>
    <t xml:space="preserve">Заявление на перенос отпуска</t>
  </si>
  <si>
    <t xml:space="preserve">Оформление  документов (кадровик)</t>
  </si>
  <si>
    <t xml:space="preserve">Заявка на даты отпуска для графика на след.год</t>
  </si>
  <si>
    <t xml:space="preserve">Согласование (сотрудник)</t>
  </si>
  <si>
    <t xml:space="preserve">Заявление на отпуск за свой счет или на любое другое отсутствие</t>
  </si>
  <si>
    <t xml:space="preserve">Время похода в отел кадров (сотрудник) - не учтено в расчете</t>
  </si>
  <si>
    <t xml:space="preserve">Приказы общего назначения</t>
  </si>
  <si>
    <t xml:space="preserve">почта России для отправки письма удаленщику</t>
  </si>
  <si>
    <t xml:space="preserve">Изменение оплаты труда (ежегодная индексация)</t>
  </si>
  <si>
    <t xml:space="preserve">Бумажный документооборот:</t>
  </si>
  <si>
    <t xml:space="preserve">ИТОГО документов:</t>
  </si>
  <si>
    <t xml:space="preserve">Оформление и печать документов (кадровик)</t>
  </si>
  <si>
    <t xml:space="preserve">Затраты на оформление документов в год</t>
  </si>
  <si>
    <t>Бумажные</t>
  </si>
  <si>
    <t>КЭДО</t>
  </si>
  <si>
    <t xml:space="preserve">Почта России для отправки пиьсма удаленщику</t>
  </si>
  <si>
    <t xml:space="preserve">Бумага + распечатка 1 листа (в т.ч. ремонт принтера)</t>
  </si>
  <si>
    <t xml:space="preserve">Экономия при переходе на КЭДО</t>
  </si>
  <si>
    <t xml:space="preserve">ЗП кадровика/сотрудника месяц</t>
  </si>
  <si>
    <t xml:space="preserve">Время на оформление 1-го документа (подписать, распечатать, ознакомить, откопировать, подшить) в часах</t>
  </si>
  <si>
    <t xml:space="preserve">Время на согласование одного документа  сорудником</t>
  </si>
  <si>
    <t xml:space="preserve">Среднее время сотрудника для одного похода в отдел кадров </t>
  </si>
  <si>
    <t xml:space="preserve">Стоимость отправки письма почтой России сотруднику</t>
  </si>
  <si>
    <t xml:space="preserve">Почта России для отправки письма удаленщику</t>
  </si>
  <si>
    <t xml:space="preserve">Начислим баланс на услуги </t>
  </si>
  <si>
    <t xml:space="preserve">При оплате</t>
  </si>
  <si>
    <t xml:space="preserve">линии консультаций</t>
  </si>
  <si>
    <t xml:space="preserve">1С:Кабинет сотрудника</t>
  </si>
  <si>
    <t xml:space="preserve">+1 час</t>
  </si>
  <si>
    <t xml:space="preserve">10 сотрудников</t>
  </si>
  <si>
    <t xml:space="preserve">3 660 рублей</t>
  </si>
  <si>
    <t xml:space="preserve">3 360 рублей</t>
  </si>
  <si>
    <t xml:space="preserve">+1,5 часа</t>
  </si>
  <si>
    <t xml:space="preserve">25 сотрудников</t>
  </si>
  <si>
    <t xml:space="preserve">5 490 рублей</t>
  </si>
  <si>
    <t xml:space="preserve">8 400 рублей</t>
  </si>
  <si>
    <t xml:space="preserve"> +2 часа</t>
  </si>
  <si>
    <t xml:space="preserve">50 сотрудников</t>
  </si>
  <si>
    <t xml:space="preserve">БОНУС за переход на КЭДО (часы на обучение либо сертификат на 5 000 руб.)</t>
  </si>
  <si>
    <t xml:space="preserve">7 320 рублей</t>
  </si>
  <si>
    <t xml:space="preserve">16 800 рублей</t>
  </si>
  <si>
    <t xml:space="preserve"> +3 часа</t>
  </si>
  <si>
    <t xml:space="preserve">100 сотрудников</t>
  </si>
  <si>
    <t xml:space="preserve">10 980 рублей</t>
  </si>
  <si>
    <t xml:space="preserve">33 600 рублей</t>
  </si>
  <si>
    <t xml:space="preserve">Для тех, кто совмещает работу бухгалтера, кадровика и расчетчика</t>
  </si>
  <si>
    <t xml:space="preserve">Выгода личная </t>
  </si>
  <si>
    <t xml:space="preserve">Любовь к удобству, новому, отсутствие страха предложения взять другой участок работы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</si>
</sst>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10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12.000000"/>
      <color theme="1"/>
      <name val="Calibri"/>
      <scheme val="minor"/>
    </font>
    <font>
      <i/>
      <sz val="11.000000"/>
      <color theme="1"/>
      <name val="Calibri"/>
      <scheme val="minor"/>
    </font>
    <font>
      <b/>
      <sz val="12.000000"/>
      <color indexed="2"/>
      <name val="Calibri"/>
      <scheme val="minor"/>
    </font>
    <font>
      <b/>
      <sz val="11.000000"/>
      <color indexed="2"/>
      <name val="Calibri"/>
      <scheme val="minor"/>
    </font>
    <font>
      <b/>
      <sz val="8.000000"/>
      <color indexed="64"/>
      <name val="Verdana"/>
    </font>
    <font>
      <sz val="8.000000"/>
      <color indexed="64"/>
      <name val="Verdana"/>
    </font>
    <font>
      <b/>
      <sz val="14.000000"/>
      <color indexed="2"/>
      <name val="Calibri"/>
      <scheme val="minor"/>
    </font>
  </fonts>
  <fills count="2">
    <fill>
      <patternFill patternType="none"/>
    </fill>
    <fill>
      <patternFill patternType="gray125"/>
    </fill>
  </fills>
  <borders count="1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none"/>
      <diagonal style="none"/>
    </border>
    <border>
      <left style="medium">
        <color indexed="64"/>
      </left>
      <right style="medium">
        <color indexed="64"/>
      </right>
      <top style="none"/>
      <bottom style="medium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33">
    <xf fontId="0" fillId="0" borderId="0" numFmtId="0" xfId="0"/>
    <xf fontId="1" fillId="0" borderId="1" numFmtId="0" xfId="0" applyFont="1" applyBorder="1" applyAlignment="1">
      <alignment horizontal="center"/>
    </xf>
    <xf fontId="2" fillId="0" borderId="2" numFmtId="0" xfId="0" applyFont="1" applyBorder="1" applyAlignment="1">
      <alignment horizontal="center"/>
    </xf>
    <xf fontId="1" fillId="0" borderId="3" numFmtId="0" xfId="0" applyFont="1" applyBorder="1" applyAlignment="1">
      <alignment horizontal="center"/>
    </xf>
    <xf fontId="1" fillId="0" borderId="4" numFmtId="0" xfId="0" applyFont="1" applyBorder="1" applyAlignment="1">
      <alignment horizontal="center"/>
    </xf>
    <xf fontId="1" fillId="0" borderId="0" numFmtId="0" xfId="0" applyFont="1"/>
    <xf fontId="1" fillId="0" borderId="5" numFmtId="0" xfId="0" applyFont="1" applyBorder="1" applyAlignment="1">
      <alignment wrapText="1"/>
    </xf>
    <xf fontId="1" fillId="0" borderId="6" numFmtId="0" xfId="0" applyFont="1" applyBorder="1" applyAlignment="1">
      <alignment horizontal="center"/>
    </xf>
    <xf fontId="1" fillId="0" borderId="7" numFmtId="0" xfId="0" applyFont="1" applyBorder="1" applyAlignment="1">
      <alignment horizontal="center"/>
    </xf>
    <xf fontId="0" fillId="0" borderId="1" numFmtId="0" xfId="0" applyBorder="1" applyAlignment="1">
      <alignment wrapText="1"/>
    </xf>
    <xf fontId="0" fillId="0" borderId="1" numFmtId="0" xfId="0" applyBorder="1"/>
    <xf fontId="3" fillId="0" borderId="8" numFmtId="0" xfId="0" applyFont="1" applyBorder="1" applyAlignment="1">
      <alignment wrapText="1"/>
    </xf>
    <xf fontId="1" fillId="0" borderId="1" numFmtId="164" xfId="0" applyNumberFormat="1" applyFont="1" applyBorder="1" applyAlignment="1">
      <alignment horizontal="center"/>
    </xf>
    <xf fontId="1" fillId="0" borderId="1" numFmtId="0" xfId="0" applyFont="1" applyBorder="1"/>
    <xf fontId="0" fillId="0" borderId="1" numFmtId="0" xfId="0" applyBorder="1" applyAlignment="1">
      <alignment horizontal="center"/>
    </xf>
    <xf fontId="0" fillId="0" borderId="1" numFmtId="164" xfId="0" applyNumberFormat="1" applyBorder="1" applyAlignment="1">
      <alignment horizontal="center"/>
    </xf>
    <xf fontId="4" fillId="0" borderId="1" numFmtId="0" xfId="0" applyFont="1" applyBorder="1" applyAlignment="1">
      <alignment wrapText="1"/>
    </xf>
    <xf fontId="3" fillId="0" borderId="1" numFmtId="0" xfId="0" applyFont="1" applyBorder="1"/>
    <xf fontId="1" fillId="0" borderId="1" numFmtId="0" xfId="0" applyFont="1" applyBorder="1" applyAlignment="1">
      <alignment wrapText="1"/>
    </xf>
    <xf fontId="1" fillId="0" borderId="0" numFmtId="0" xfId="0" applyFont="1" applyAlignment="1">
      <alignment wrapText="1"/>
    </xf>
    <xf fontId="1" fillId="0" borderId="9" numFmtId="0" xfId="0" applyFont="1" applyBorder="1" applyAlignment="1">
      <alignment horizontal="center" wrapText="1"/>
    </xf>
    <xf fontId="1" fillId="0" borderId="0" numFmtId="0" xfId="0" applyFont="1" applyAlignment="1">
      <alignment horizontal="center" wrapText="1"/>
    </xf>
    <xf fontId="0" fillId="0" borderId="3" numFmtId="0" xfId="0" applyBorder="1" applyAlignment="1">
      <alignment wrapText="1"/>
    </xf>
    <xf fontId="0" fillId="0" borderId="1" numFmtId="164" xfId="0" applyNumberFormat="1" applyBorder="1"/>
    <xf fontId="5" fillId="0" borderId="1" numFmtId="0" xfId="0" applyFont="1" applyBorder="1"/>
    <xf fontId="6" fillId="0" borderId="1" numFmtId="164" xfId="0" applyNumberFormat="1" applyFont="1" applyBorder="1" applyAlignment="1">
      <alignment horizontal="center"/>
    </xf>
    <xf fontId="0" fillId="0" borderId="1" numFmtId="4" xfId="0" applyNumberFormat="1" applyBorder="1"/>
    <xf fontId="0" fillId="0" borderId="1" numFmtId="0" xfId="0" applyBorder="1" applyAlignment="1">
      <alignment wrapText="1"/>
    </xf>
    <xf fontId="7" fillId="0" borderId="10" numFmtId="0" xfId="0" applyFont="1" applyBorder="1" applyAlignment="1">
      <alignment horizontal="center" readingOrder="1" vertical="center" wrapText="1"/>
    </xf>
    <xf fontId="7" fillId="0" borderId="11" numFmtId="0" xfId="0" applyFont="1" applyBorder="1" applyAlignment="1">
      <alignment horizontal="center" readingOrder="1" vertical="center" wrapText="1"/>
    </xf>
    <xf fontId="8" fillId="0" borderId="11" numFmtId="0" xfId="0" applyFont="1" applyBorder="1" applyAlignment="1">
      <alignment horizontal="center" readingOrder="1" vertical="center" wrapText="1"/>
    </xf>
    <xf fontId="9" fillId="0" borderId="0" numFmtId="0" xfId="0" applyFont="1"/>
    <xf fontId="6" fillId="0" borderId="0" numFmt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90" workbookViewId="0">
      <selection activeCell="F10" activeCellId="0" sqref="F10"/>
    </sheetView>
  </sheetViews>
  <sheetFormatPr defaultRowHeight="14.4"/>
  <cols>
    <col customWidth="1" min="2" max="2" width="29.5546875"/>
    <col customWidth="1" min="3" max="3" width="12"/>
    <col customWidth="1" min="4" max="4" width="12.109375"/>
    <col customWidth="1" min="6" max="6" width="34"/>
    <col customWidth="1" min="7" max="7" width="16.6640625"/>
    <col customWidth="1" min="8" max="8" width="18.21875"/>
  </cols>
  <sheetData>
    <row r="1" ht="18.600000000000001">
      <c r="B1" s="1" t="s">
        <v>0</v>
      </c>
      <c r="C1" s="1"/>
      <c r="F1" s="2" t="s">
        <v>1</v>
      </c>
      <c r="G1" s="2"/>
      <c r="H1" s="2"/>
    </row>
    <row r="2">
      <c r="B2" s="3" t="s">
        <v>2</v>
      </c>
      <c r="C2" s="4"/>
      <c r="D2" s="5"/>
      <c r="F2" s="6"/>
      <c r="G2" s="7" t="s">
        <v>3</v>
      </c>
      <c r="H2" s="8" t="s">
        <v>4</v>
      </c>
    </row>
    <row r="3" ht="15.6">
      <c r="B3" s="9" t="s">
        <v>5</v>
      </c>
      <c r="C3" s="10">
        <v>2</v>
      </c>
      <c r="F3" s="11" t="s">
        <v>6</v>
      </c>
      <c r="G3" s="12">
        <v>336</v>
      </c>
      <c r="H3" s="12">
        <f t="shared" ref="H3:H8" si="0">G3*10</f>
        <v>3360</v>
      </c>
    </row>
    <row r="4">
      <c r="B4" s="9" t="s">
        <v>7</v>
      </c>
      <c r="C4" s="10">
        <v>2</v>
      </c>
      <c r="F4" s="13" t="s">
        <v>8</v>
      </c>
      <c r="G4" s="12">
        <f>SUM(G5:G9)</f>
        <v>451.80722891566256</v>
      </c>
      <c r="H4" s="12">
        <f t="shared" si="0"/>
        <v>4518.0722891566256</v>
      </c>
    </row>
    <row r="5">
      <c r="B5" s="9" t="s">
        <v>9</v>
      </c>
      <c r="C5" s="10">
        <v>2</v>
      </c>
      <c r="F5" s="9" t="s">
        <v>10</v>
      </c>
      <c r="G5" s="14">
        <v>0</v>
      </c>
      <c r="H5" s="14">
        <v>0</v>
      </c>
    </row>
    <row r="6">
      <c r="B6" s="9" t="s">
        <v>11</v>
      </c>
      <c r="C6" s="10">
        <v>1</v>
      </c>
      <c r="F6" s="9" t="s">
        <v>12</v>
      </c>
      <c r="G6" s="15">
        <f>D17/166*D18*C11</f>
        <v>376.50602409638549</v>
      </c>
      <c r="H6" s="15">
        <f t="shared" si="0"/>
        <v>3765.060240963855</v>
      </c>
    </row>
    <row r="7" ht="28.800000000000001">
      <c r="B7" s="9" t="s">
        <v>13</v>
      </c>
      <c r="C7" s="10">
        <v>1</v>
      </c>
      <c r="F7" s="9" t="s">
        <v>14</v>
      </c>
      <c r="G7" s="15">
        <f>D17/166*D19*C11</f>
        <v>75.301204819277103</v>
      </c>
      <c r="H7" s="15">
        <f t="shared" si="0"/>
        <v>753.01204819277109</v>
      </c>
    </row>
    <row r="8" ht="43.200000000000003">
      <c r="B8" s="9" t="s">
        <v>15</v>
      </c>
      <c r="C8" s="10">
        <v>2</v>
      </c>
      <c r="F8" s="16" t="s">
        <v>16</v>
      </c>
      <c r="G8" s="15">
        <f>C9/166*C12</f>
        <v>0</v>
      </c>
      <c r="H8" s="15">
        <f t="shared" si="0"/>
        <v>0</v>
      </c>
    </row>
    <row r="9" ht="28.800000000000001">
      <c r="B9" s="9" t="s">
        <v>17</v>
      </c>
      <c r="C9" s="10">
        <v>4</v>
      </c>
      <c r="F9" s="9" t="s">
        <v>18</v>
      </c>
      <c r="G9" s="14">
        <v>0</v>
      </c>
      <c r="H9" s="14">
        <v>0</v>
      </c>
    </row>
    <row r="10" ht="28.800000000000001">
      <c r="B10" s="9" t="s">
        <v>19</v>
      </c>
      <c r="C10" s="10">
        <v>1</v>
      </c>
      <c r="F10" s="17" t="s">
        <v>20</v>
      </c>
      <c r="G10" s="12">
        <f>SUM(G11:G15)</f>
        <v>5302.560240963855</v>
      </c>
      <c r="H10" s="12">
        <f>SUM(H11:H15)</f>
        <v>53025.602409638552</v>
      </c>
    </row>
    <row r="11">
      <c r="B11" s="18" t="s">
        <v>21</v>
      </c>
      <c r="C11" s="13">
        <f>SUM(C3:C10)</f>
        <v>15</v>
      </c>
      <c r="F11" s="9" t="s">
        <v>10</v>
      </c>
      <c r="G11" s="15">
        <f>C16*C11</f>
        <v>37.5</v>
      </c>
      <c r="H11" s="15">
        <f t="shared" ref="H11:H15" si="1">G11*10</f>
        <v>375</v>
      </c>
    </row>
    <row r="12" ht="28.800000000000001">
      <c r="B12" s="19"/>
      <c r="C12" s="5"/>
      <c r="F12" s="9" t="s">
        <v>22</v>
      </c>
      <c r="G12" s="15">
        <f>C17/166*C18*C11</f>
        <v>3388.5542168674697</v>
      </c>
      <c r="H12" s="15">
        <f t="shared" si="1"/>
        <v>33885.542168674699</v>
      </c>
    </row>
    <row r="13">
      <c r="B13" s="19"/>
      <c r="C13" s="5"/>
      <c r="D13" s="5"/>
      <c r="F13" s="9" t="s">
        <v>14</v>
      </c>
      <c r="G13" s="15">
        <f>C17/166*C19*C11</f>
        <v>376.50602409638549</v>
      </c>
      <c r="H13" s="15">
        <f t="shared" si="1"/>
        <v>3765.060240963855</v>
      </c>
    </row>
    <row r="14" ht="28.800000000000001">
      <c r="B14" s="20" t="s">
        <v>23</v>
      </c>
      <c r="C14" s="21"/>
      <c r="D14" s="5"/>
      <c r="F14" s="16" t="s">
        <v>16</v>
      </c>
      <c r="G14" s="15">
        <v>0</v>
      </c>
      <c r="H14" s="15">
        <f t="shared" si="1"/>
        <v>0</v>
      </c>
    </row>
    <row r="15" ht="28.800000000000001">
      <c r="C15" s="10" t="s">
        <v>24</v>
      </c>
      <c r="D15" s="13" t="s">
        <v>25</v>
      </c>
      <c r="F15" s="9" t="s">
        <v>26</v>
      </c>
      <c r="G15" s="15">
        <f>C21*C11</f>
        <v>1500</v>
      </c>
      <c r="H15" s="15">
        <f t="shared" si="1"/>
        <v>15000</v>
      </c>
    </row>
    <row r="16" ht="28.800000000000001">
      <c r="B16" s="22" t="s">
        <v>27</v>
      </c>
      <c r="C16" s="23">
        <v>2.5</v>
      </c>
      <c r="D16" s="13">
        <v>0</v>
      </c>
      <c r="F16" s="24" t="s">
        <v>28</v>
      </c>
      <c r="G16" s="25">
        <f>G10-G3-G4</f>
        <v>4514.7530120481924</v>
      </c>
      <c r="H16" s="25">
        <f>H10-H3-H4</f>
        <v>45147.530120481926</v>
      </c>
    </row>
    <row r="17" ht="28.800000000000001">
      <c r="B17" s="22" t="s">
        <v>29</v>
      </c>
      <c r="C17" s="23">
        <v>50000</v>
      </c>
      <c r="D17" s="23">
        <v>50000</v>
      </c>
    </row>
    <row r="18" ht="57.600000000000001">
      <c r="B18" s="22" t="s">
        <v>30</v>
      </c>
      <c r="C18" s="26">
        <f>0.75</f>
        <v>0.75</v>
      </c>
      <c r="D18" s="26">
        <f>5/60</f>
        <v>0.083333333333333329</v>
      </c>
    </row>
    <row r="19" ht="28.800000000000001">
      <c r="B19" s="22" t="s">
        <v>31</v>
      </c>
      <c r="C19" s="26">
        <f>5/60</f>
        <v>0.083333333333333329</v>
      </c>
      <c r="D19" s="26">
        <f>1/60</f>
        <v>0.016666666666666666</v>
      </c>
    </row>
    <row r="20" ht="28.800000000000001">
      <c r="B20" s="9" t="s">
        <v>32</v>
      </c>
      <c r="C20" s="10">
        <f>0.5</f>
        <v>0.5</v>
      </c>
      <c r="D20" s="10">
        <v>0</v>
      </c>
    </row>
    <row r="21" ht="28.800000000000001">
      <c r="B21" s="9" t="s">
        <v>33</v>
      </c>
      <c r="C21" s="23">
        <v>100</v>
      </c>
      <c r="D21" s="10">
        <v>0</v>
      </c>
    </row>
  </sheetData>
  <mergeCells count="4">
    <mergeCell ref="B1:C1"/>
    <mergeCell ref="B2:C2"/>
    <mergeCell ref="B14:C14"/>
    <mergeCell ref="F1:H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1:1048576"/>
    </sheetView>
  </sheetViews>
  <sheetFormatPr defaultRowHeight="14.4"/>
  <cols>
    <col customWidth="1" min="2" max="2" width="29.5546875"/>
    <col customWidth="1" min="3" max="3" width="12"/>
    <col customWidth="1" min="4" max="4" width="12.109375"/>
    <col customWidth="1" min="6" max="6" width="34"/>
    <col customWidth="1" min="7" max="7" width="16.6640625"/>
    <col customWidth="1" min="8" max="8" width="18.21875"/>
  </cols>
  <sheetData>
    <row r="1" ht="18.600000000000001">
      <c r="B1" s="1" t="s">
        <v>0</v>
      </c>
      <c r="C1" s="1"/>
      <c r="F1" s="2" t="s">
        <v>1</v>
      </c>
      <c r="G1" s="2"/>
      <c r="H1" s="2"/>
    </row>
    <row r="2">
      <c r="B2" s="3" t="s">
        <v>2</v>
      </c>
      <c r="C2" s="4"/>
      <c r="D2" s="5"/>
      <c r="F2" s="6"/>
      <c r="G2" s="7" t="s">
        <v>3</v>
      </c>
      <c r="H2" s="8" t="s">
        <v>4</v>
      </c>
    </row>
    <row r="3" ht="15.6">
      <c r="B3" s="9" t="s">
        <v>5</v>
      </c>
      <c r="C3" s="10">
        <v>2</v>
      </c>
      <c r="F3" s="11" t="s">
        <v>6</v>
      </c>
      <c r="G3" s="12">
        <v>336</v>
      </c>
      <c r="H3" s="12">
        <f t="shared" ref="H3:H4" si="2">G3*10</f>
        <v>3360</v>
      </c>
    </row>
    <row r="4">
      <c r="B4" s="9" t="s">
        <v>7</v>
      </c>
      <c r="C4" s="10">
        <v>2</v>
      </c>
      <c r="F4" s="13" t="s">
        <v>8</v>
      </c>
      <c r="G4" s="12">
        <f>SUM(G5:G6)</f>
        <v>0</v>
      </c>
      <c r="H4" s="12">
        <f t="shared" si="2"/>
        <v>0</v>
      </c>
    </row>
    <row r="5">
      <c r="B5" s="9" t="s">
        <v>9</v>
      </c>
      <c r="C5" s="10">
        <v>2</v>
      </c>
      <c r="F5" s="9" t="s">
        <v>10</v>
      </c>
      <c r="G5" s="14">
        <v>0</v>
      </c>
      <c r="H5" s="14">
        <v>0</v>
      </c>
    </row>
    <row r="6" ht="28.800000000000001">
      <c r="B6" s="9" t="s">
        <v>11</v>
      </c>
      <c r="C6" s="10">
        <v>1</v>
      </c>
      <c r="F6" s="9" t="s">
        <v>18</v>
      </c>
      <c r="G6" s="14">
        <v>0</v>
      </c>
      <c r="H6" s="14">
        <v>0</v>
      </c>
    </row>
    <row r="7" ht="28.800000000000001">
      <c r="B7" s="9" t="s">
        <v>13</v>
      </c>
      <c r="C7" s="10">
        <v>1</v>
      </c>
      <c r="F7" s="17" t="s">
        <v>20</v>
      </c>
      <c r="G7" s="12">
        <f>SUM(G8:G9)</f>
        <v>1537.5</v>
      </c>
      <c r="H7" s="12">
        <f>SUM(H8:H9)</f>
        <v>15375</v>
      </c>
    </row>
    <row r="8" ht="43.200000000000003">
      <c r="B8" s="9" t="s">
        <v>15</v>
      </c>
      <c r="C8" s="10">
        <v>2</v>
      </c>
      <c r="F8" s="9" t="s">
        <v>10</v>
      </c>
      <c r="G8" s="15">
        <f>C16*C11</f>
        <v>37.5</v>
      </c>
      <c r="H8" s="15">
        <f t="shared" ref="H8:H9" si="3">G8*10</f>
        <v>375</v>
      </c>
    </row>
    <row r="9" ht="28.800000000000001">
      <c r="B9" s="9" t="s">
        <v>17</v>
      </c>
      <c r="C9" s="10">
        <v>4</v>
      </c>
      <c r="F9" s="27" t="s">
        <v>34</v>
      </c>
      <c r="G9" s="15">
        <f>C17*C11</f>
        <v>1500</v>
      </c>
      <c r="H9" s="15">
        <f t="shared" si="3"/>
        <v>15000</v>
      </c>
    </row>
    <row r="10" ht="28.800000000000001">
      <c r="B10" s="9" t="s">
        <v>19</v>
      </c>
      <c r="C10" s="10">
        <v>1</v>
      </c>
      <c r="F10" s="24" t="s">
        <v>28</v>
      </c>
      <c r="G10" s="25">
        <f>G7-G3-G4</f>
        <v>1201.5</v>
      </c>
      <c r="H10" s="25">
        <f>H7-H3-H4</f>
        <v>12015</v>
      </c>
    </row>
    <row r="11">
      <c r="B11" s="18" t="s">
        <v>21</v>
      </c>
      <c r="C11" s="13">
        <f>SUM(C3:C10)</f>
        <v>15</v>
      </c>
      <c r="F11" s="16"/>
      <c r="G11" s="15"/>
      <c r="H11" s="15"/>
    </row>
    <row r="12">
      <c r="B12" s="19"/>
      <c r="C12" s="5"/>
    </row>
    <row r="13">
      <c r="B13" s="19"/>
      <c r="C13" s="5"/>
      <c r="D13" s="5"/>
    </row>
    <row r="14">
      <c r="B14" s="20" t="s">
        <v>23</v>
      </c>
      <c r="C14" s="21"/>
      <c r="D14" s="5"/>
    </row>
    <row r="15">
      <c r="C15" s="10" t="s">
        <v>24</v>
      </c>
      <c r="D15" s="13" t="s">
        <v>25</v>
      </c>
    </row>
    <row r="16" ht="28.800000000000001">
      <c r="B16" s="22" t="s">
        <v>27</v>
      </c>
      <c r="C16" s="23">
        <v>2.5</v>
      </c>
      <c r="D16" s="13">
        <v>0</v>
      </c>
    </row>
    <row r="17" ht="28.800000000000001">
      <c r="B17" s="9" t="s">
        <v>33</v>
      </c>
      <c r="C17" s="23">
        <v>100</v>
      </c>
      <c r="D17" s="10">
        <v>0</v>
      </c>
    </row>
  </sheetData>
  <mergeCells count="4">
    <mergeCell ref="B1:C1"/>
    <mergeCell ref="F1:H1"/>
    <mergeCell ref="B2:C2"/>
    <mergeCell ref="B14:C1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9" activeCellId="0" sqref="F19"/>
    </sheetView>
  </sheetViews>
  <sheetFormatPr defaultRowHeight="14.25"/>
  <cols>
    <col customWidth="1" min="2" max="2" width="29.5546875"/>
    <col customWidth="1" min="3" max="3" width="12"/>
    <col customWidth="1" min="4" max="4" width="12.109375"/>
    <col customWidth="1" min="6" max="6" width="34"/>
    <col customWidth="1" min="7" max="7" width="16.6640625"/>
    <col customWidth="1" min="8" max="8" width="18.21875"/>
    <col customWidth="1" min="10" max="10" width="29.6640625"/>
    <col customWidth="1" min="11" max="11" width="21.5546875"/>
  </cols>
  <sheetData>
    <row r="1" ht="18.75">
      <c r="B1" s="1" t="s">
        <v>0</v>
      </c>
      <c r="C1" s="1"/>
      <c r="F1" s="2" t="s">
        <v>1</v>
      </c>
      <c r="G1" s="2"/>
      <c r="H1" s="2"/>
    </row>
    <row r="2">
      <c r="B2" s="3" t="s">
        <v>2</v>
      </c>
      <c r="C2" s="4"/>
      <c r="D2" s="5"/>
      <c r="F2" s="6"/>
      <c r="G2" s="7" t="s">
        <v>3</v>
      </c>
      <c r="H2" s="8" t="s">
        <v>4</v>
      </c>
      <c r="J2" s="28" t="s">
        <v>35</v>
      </c>
      <c r="K2" s="28" t="s">
        <v>36</v>
      </c>
    </row>
    <row r="3" ht="16.5">
      <c r="B3" s="9" t="s">
        <v>5</v>
      </c>
      <c r="C3" s="10">
        <v>2</v>
      </c>
      <c r="F3" s="11" t="s">
        <v>6</v>
      </c>
      <c r="G3" s="12">
        <v>336</v>
      </c>
      <c r="H3" s="12">
        <f t="shared" ref="H3:H4" si="4">G3*10</f>
        <v>3360</v>
      </c>
      <c r="J3" s="29" t="s">
        <v>37</v>
      </c>
      <c r="K3" s="29" t="s">
        <v>38</v>
      </c>
    </row>
    <row r="4">
      <c r="B4" s="9" t="s">
        <v>7</v>
      </c>
      <c r="C4" s="10">
        <v>2</v>
      </c>
      <c r="F4" s="13" t="s">
        <v>8</v>
      </c>
      <c r="G4" s="12">
        <f>SUM(G5:G9)</f>
        <v>75</v>
      </c>
      <c r="H4" s="12">
        <f t="shared" si="4"/>
        <v>750</v>
      </c>
      <c r="J4" s="28" t="s">
        <v>39</v>
      </c>
      <c r="K4" s="28" t="s">
        <v>40</v>
      </c>
    </row>
    <row r="5" ht="15">
      <c r="B5" s="9" t="s">
        <v>9</v>
      </c>
      <c r="C5" s="10">
        <v>2</v>
      </c>
      <c r="F5" s="9" t="s">
        <v>10</v>
      </c>
      <c r="G5" s="14">
        <v>0</v>
      </c>
      <c r="H5" s="14">
        <v>0</v>
      </c>
      <c r="J5" s="30" t="s">
        <v>41</v>
      </c>
      <c r="K5" s="30" t="s">
        <v>42</v>
      </c>
    </row>
    <row r="6">
      <c r="B6" s="9" t="s">
        <v>11</v>
      </c>
      <c r="C6" s="10">
        <v>1</v>
      </c>
      <c r="J6" s="28" t="s">
        <v>43</v>
      </c>
      <c r="K6" s="28" t="s">
        <v>44</v>
      </c>
    </row>
    <row r="7" ht="28.5">
      <c r="B7" s="9" t="s">
        <v>13</v>
      </c>
      <c r="C7" s="10">
        <v>1</v>
      </c>
      <c r="F7" s="17" t="s">
        <v>20</v>
      </c>
      <c r="G7" s="12">
        <f>SUM(G8:G9)</f>
        <v>37.5</v>
      </c>
      <c r="H7" s="12">
        <f>SUM(H8:H9)</f>
        <v>4035</v>
      </c>
      <c r="J7" s="30" t="s">
        <v>45</v>
      </c>
      <c r="K7" s="30" t="s">
        <v>46</v>
      </c>
    </row>
    <row r="8" ht="42.75">
      <c r="B8" s="9" t="s">
        <v>15</v>
      </c>
      <c r="C8" s="10">
        <v>2</v>
      </c>
      <c r="F8" s="9" t="s">
        <v>10</v>
      </c>
      <c r="G8" s="15">
        <f>C16*C11</f>
        <v>37.5</v>
      </c>
      <c r="H8" s="15">
        <f>G8*10</f>
        <v>375</v>
      </c>
      <c r="J8" s="28" t="s">
        <v>47</v>
      </c>
      <c r="K8" s="28" t="s">
        <v>48</v>
      </c>
    </row>
    <row r="9" ht="42.75">
      <c r="B9" s="9" t="s">
        <v>17</v>
      </c>
      <c r="C9" s="10">
        <v>4</v>
      </c>
      <c r="F9" s="9" t="s">
        <v>49</v>
      </c>
      <c r="G9" s="14"/>
      <c r="H9" s="14">
        <v>3660</v>
      </c>
      <c r="J9" s="30" t="s">
        <v>50</v>
      </c>
      <c r="K9" s="30" t="s">
        <v>51</v>
      </c>
    </row>
    <row r="10" ht="28.5">
      <c r="B10" s="9" t="s">
        <v>19</v>
      </c>
      <c r="C10" s="10">
        <v>1</v>
      </c>
      <c r="J10" s="28" t="s">
        <v>52</v>
      </c>
      <c r="K10" s="28" t="s">
        <v>53</v>
      </c>
    </row>
    <row r="11" ht="15">
      <c r="B11" s="18" t="s">
        <v>21</v>
      </c>
      <c r="C11" s="13">
        <f>SUM(C3:C10)</f>
        <v>15</v>
      </c>
      <c r="J11" s="30" t="s">
        <v>54</v>
      </c>
      <c r="K11" s="30" t="s">
        <v>55</v>
      </c>
    </row>
    <row r="12">
      <c r="B12" s="19"/>
      <c r="C12" s="5"/>
    </row>
    <row r="13" ht="18.75">
      <c r="B13" s="19"/>
      <c r="C13" s="5"/>
      <c r="D13" s="5"/>
      <c r="F13" s="31" t="s">
        <v>56</v>
      </c>
    </row>
    <row r="14">
      <c r="B14" s="20" t="s">
        <v>23</v>
      </c>
      <c r="C14" s="21"/>
      <c r="D14" s="5"/>
      <c r="F14" s="32" t="s">
        <v>57</v>
      </c>
    </row>
    <row r="15">
      <c r="C15" s="10" t="s">
        <v>24</v>
      </c>
      <c r="D15" s="13" t="s">
        <v>25</v>
      </c>
      <c r="F15" s="32" t="s">
        <v>58</v>
      </c>
    </row>
    <row r="16" ht="28.5">
      <c r="B16" s="22" t="s">
        <v>27</v>
      </c>
      <c r="C16" s="23">
        <v>2.5</v>
      </c>
      <c r="D16" s="13">
        <v>0</v>
      </c>
    </row>
    <row r="17">
      <c r="B17" s="9"/>
      <c r="C17" s="23"/>
      <c r="D17" s="10"/>
    </row>
  </sheetData>
  <mergeCells count="4">
    <mergeCell ref="B1:C1"/>
    <mergeCell ref="F1:H1"/>
    <mergeCell ref="B2:C2"/>
    <mergeCell ref="B14:C1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Шабанова Татьяна</dc:creator>
  <cp:lastModifiedBy>Ремез Оксана Леонидовна</cp:lastModifiedBy>
  <cp:revision>1</cp:revision>
  <dcterms:created xsi:type="dcterms:W3CDTF">2026-06-19T09:33:15Z</dcterms:created>
  <dcterms:modified xsi:type="dcterms:W3CDTF">2026-07-22T07:24:55Z</dcterms:modified>
</cp:coreProperties>
</file>