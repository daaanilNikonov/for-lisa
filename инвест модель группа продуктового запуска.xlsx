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9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theme="1"/>
      <sz val="14"/>
      <scheme val="minor"/>
    </font>
    <font>
      <name val="Calibri"/>
      <charset val="204"/>
      <family val="2"/>
      <b val="1"/>
      <i val="1"/>
      <color theme="1"/>
      <sz val="11"/>
      <scheme val="minor"/>
    </font>
    <font>
      <name val="Calibri"/>
      <charset val="204"/>
      <family val="2"/>
      <i val="1"/>
      <color theme="1"/>
      <sz val="11"/>
      <scheme val="minor"/>
    </font>
    <font>
      <name val="Calibri"/>
      <charset val="204"/>
      <family val="2"/>
      <i val="1"/>
      <color rgb="FF0070C0"/>
      <sz val="11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charset val="204"/>
      <family val="2"/>
      <color rgb="FFFF0000"/>
      <sz val="14"/>
      <scheme val="minor"/>
    </font>
  </fonts>
  <fills count="5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1" fillId="0" borderId="0"/>
    <xf numFmtId="43" fontId="1" fillId="0" borderId="0"/>
  </cellStyleXfs>
  <cellXfs count="57">
    <xf numFmtId="0" fontId="0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2" fillId="0" borderId="2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2" pivotButton="0" quotePrefix="0" xfId="0"/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vertical="center" wrapText="1"/>
    </xf>
    <xf numFmtId="0" fontId="6" fillId="0" borderId="0" pivotButton="0" quotePrefix="0" xfId="0"/>
    <xf numFmtId="164" fontId="0" fillId="0" borderId="2" applyAlignment="1" pivotButton="0" quotePrefix="0" xfId="1">
      <alignment wrapText="1"/>
    </xf>
    <xf numFmtId="0" fontId="7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5" pivotButton="0" quotePrefix="0" xfId="0"/>
    <xf numFmtId="3" fontId="0" fillId="0" borderId="6" applyAlignment="1" pivotButton="0" quotePrefix="0" xfId="0">
      <alignment wrapText="1"/>
    </xf>
    <xf numFmtId="0" fontId="0" fillId="0" borderId="7" pivotButton="0" quotePrefix="0" xfId="0"/>
    <xf numFmtId="3" fontId="0" fillId="0" borderId="8" applyAlignment="1" pivotButton="0" quotePrefix="0" xfId="0">
      <alignment wrapText="1"/>
    </xf>
    <xf numFmtId="0" fontId="0" fillId="0" borderId="9" pivotButton="0" quotePrefix="0" xfId="0"/>
    <xf numFmtId="3" fontId="0" fillId="0" borderId="10" applyAlignment="1" pivotButton="0" quotePrefix="0" xfId="0">
      <alignment wrapText="1"/>
    </xf>
    <xf numFmtId="164" fontId="0" fillId="0" borderId="11" applyAlignment="1" pivotButton="0" quotePrefix="0" xfId="1">
      <alignment wrapText="1"/>
    </xf>
    <xf numFmtId="0" fontId="3" fillId="0" borderId="9" pivotButton="0" quotePrefix="0" xfId="0"/>
    <xf numFmtId="3" fontId="3" fillId="0" borderId="10" applyAlignment="1" pivotButton="0" quotePrefix="0" xfId="0">
      <alignment wrapText="1"/>
    </xf>
    <xf numFmtId="0" fontId="8" fillId="0" borderId="0" pivotButton="0" quotePrefix="0" xfId="0"/>
    <xf numFmtId="0" fontId="4" fillId="0" borderId="0" pivotButton="0" quotePrefix="0" xfId="0"/>
    <xf numFmtId="0" fontId="7" fillId="0" borderId="12" pivotButton="0" quotePrefix="0" xfId="0"/>
    <xf numFmtId="0" fontId="7" fillId="0" borderId="13" pivotButton="0" quotePrefix="0" xfId="0"/>
    <xf numFmtId="0" fontId="7" fillId="0" borderId="13" applyAlignment="1" pivotButton="0" quotePrefix="0" xfId="0">
      <alignment horizontal="center"/>
    </xf>
    <xf numFmtId="0" fontId="4" fillId="3" borderId="14" pivotButton="0" quotePrefix="0" xfId="0"/>
    <xf numFmtId="3" fontId="2" fillId="3" borderId="15" pivotButton="0" quotePrefix="0" xfId="0"/>
    <xf numFmtId="3" fontId="2" fillId="3" borderId="16" pivotButton="0" quotePrefix="0" xfId="0"/>
    <xf numFmtId="3" fontId="2" fillId="3" borderId="17" pivotButton="0" quotePrefix="0" xfId="0"/>
    <xf numFmtId="3" fontId="0" fillId="0" borderId="2" pivotButton="0" quotePrefix="0" xfId="0"/>
    <xf numFmtId="3" fontId="0" fillId="0" borderId="18" pivotButton="0" quotePrefix="0" xfId="0"/>
    <xf numFmtId="3" fontId="0" fillId="0" borderId="19" pivotButton="0" quotePrefix="0" xfId="0"/>
    <xf numFmtId="3" fontId="4" fillId="3" borderId="20" pivotButton="0" quotePrefix="0" xfId="0"/>
    <xf numFmtId="3" fontId="2" fillId="3" borderId="21" pivotButton="0" quotePrefix="0" xfId="0"/>
    <xf numFmtId="3" fontId="0" fillId="0" borderId="0" pivotButton="0" quotePrefix="0" xfId="0"/>
    <xf numFmtId="3" fontId="0" fillId="0" borderId="22" pivotButton="0" quotePrefix="0" xfId="0"/>
    <xf numFmtId="0" fontId="4" fillId="3" borderId="9" pivotButton="0" quotePrefix="0" xfId="0"/>
    <xf numFmtId="3" fontId="2" fillId="3" borderId="23" pivotButton="0" quotePrefix="0" xfId="0"/>
    <xf numFmtId="3" fontId="2" fillId="3" borderId="24" pivotButton="0" quotePrefix="0" xfId="0"/>
    <xf numFmtId="3" fontId="2" fillId="3" borderId="25" pivotButton="0" quotePrefix="0" xfId="0"/>
    <xf numFmtId="0" fontId="4" fillId="3" borderId="26" pivotButton="0" quotePrefix="0" xfId="0"/>
    <xf numFmtId="3" fontId="2" fillId="3" borderId="27" pivotButton="0" quotePrefix="0" xfId="0"/>
    <xf numFmtId="3" fontId="0" fillId="3" borderId="28" pivotButton="0" quotePrefix="0" xfId="0"/>
    <xf numFmtId="3" fontId="0" fillId="3" borderId="29" pivotButton="0" quotePrefix="0" xfId="0"/>
    <xf numFmtId="3" fontId="2" fillId="3" borderId="29" pivotButton="0" quotePrefix="0" xfId="0"/>
    <xf numFmtId="0" fontId="2" fillId="4" borderId="3" pivotButton="0" quotePrefix="0" xfId="0"/>
    <xf numFmtId="3" fontId="0" fillId="4" borderId="30" pivotButton="0" quotePrefix="0" xfId="0"/>
    <xf numFmtId="3" fontId="0" fillId="4" borderId="31" pivotButton="0" quotePrefix="0" xfId="0"/>
    <xf numFmtId="3" fontId="0" fillId="4" borderId="29" pivotButton="0" quotePrefix="0" xfId="0"/>
    <xf numFmtId="0" fontId="1" fillId="0" borderId="7" pivotButton="0" quotePrefix="0" xfId="0"/>
    <xf numFmtId="3" fontId="1" fillId="0" borderId="2" pivotButton="0" quotePrefix="0" xfId="0"/>
    <xf numFmtId="3" fontId="1" fillId="0" borderId="19" pivotButton="0" quotePrefix="0" xfId="0"/>
    <xf numFmtId="3" fontId="1" fillId="0" borderId="18" pivotButton="0" quotePrefix="0" xfId="0"/>
  </cellXfs>
  <cellStyles count="2">
    <cellStyle name="Обычный" xfId="0" builtinId="0"/>
    <cellStyle name="Финансовый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59"/>
  <sheetViews>
    <sheetView tabSelected="1" zoomScale="70" zoomScaleNormal="70" workbookViewId="0">
      <selection activeCell="L26" sqref="L26"/>
    </sheetView>
  </sheetViews>
  <sheetFormatPr baseColWidth="8" defaultColWidth="9.140625" defaultRowHeight="15"/>
  <cols>
    <col width="36" customWidth="1" min="2" max="2"/>
    <col width="19.42578125" customWidth="1" min="3" max="3"/>
    <col outlineLevel="1" width="11.7109375" customWidth="1" min="4" max="5"/>
    <col outlineLevel="1" width="18.42578125" customWidth="1" min="6" max="7"/>
    <col width="17.85546875" customWidth="1" min="8" max="8"/>
    <col width="16.5703125" customWidth="1" min="9" max="9"/>
    <col width="17" customWidth="1" min="10" max="10"/>
    <col width="16.5703125" customWidth="1" min="11" max="11"/>
    <col width="16.42578125" customWidth="1" min="12" max="14"/>
  </cols>
  <sheetData>
    <row r="2" ht="18.75" customHeight="1">
      <c r="B2" s="1" t="inlineStr">
        <is>
          <t>Первоначальные вложения по инвестиционному проекту</t>
        </is>
      </c>
      <c r="C2" s="2" t="n"/>
    </row>
    <row r="4" ht="18.75" customHeight="1">
      <c r="B4" s="3" t="inlineStr">
        <is>
          <t>Наменование ЦФО</t>
        </is>
      </c>
      <c r="C4" s="4" t="inlineStr">
        <is>
          <t>ЦП</t>
        </is>
      </c>
      <c r="F4" s="5" t="inlineStr">
        <is>
          <t>Апрель</t>
        </is>
      </c>
      <c r="G4" s="5" t="inlineStr">
        <is>
          <t>Май</t>
        </is>
      </c>
      <c r="H4" s="5" t="inlineStr">
        <is>
          <t>Июнь</t>
        </is>
      </c>
      <c r="I4" s="5" t="inlineStr">
        <is>
          <t>Июль</t>
        </is>
      </c>
      <c r="J4" s="5" t="inlineStr">
        <is>
          <t>Август</t>
        </is>
      </c>
      <c r="K4" s="5" t="inlineStr">
        <is>
          <t>Сентябрь</t>
        </is>
      </c>
      <c r="L4" s="5" t="inlineStr">
        <is>
          <t>Октябрь</t>
        </is>
      </c>
      <c r="M4" s="5" t="inlineStr">
        <is>
          <t>Ноябрь</t>
        </is>
      </c>
      <c r="N4" s="5" t="inlineStr">
        <is>
          <t>Декабрь</t>
        </is>
      </c>
    </row>
    <row r="5" ht="18.75" customHeight="1">
      <c r="B5" s="3" t="inlineStr">
        <is>
          <t>Наименование Проекта</t>
        </is>
      </c>
      <c r="C5" s="4" t="inlineStr">
        <is>
          <t xml:space="preserve">Первооткрыватели </t>
        </is>
      </c>
      <c r="F5" s="6" t="inlineStr">
        <is>
          <t>ЭПД</t>
        </is>
      </c>
      <c r="G5" s="6" t="inlineStr">
        <is>
          <t>ЭПД</t>
        </is>
      </c>
      <c r="H5" s="6" t="inlineStr">
        <is>
          <t>ЭПД</t>
        </is>
      </c>
      <c r="I5" s="6" t="inlineStr">
        <is>
          <t>ЭПД</t>
        </is>
      </c>
      <c r="J5" s="6" t="inlineStr">
        <is>
          <t>ЭПД</t>
        </is>
      </c>
      <c r="K5" s="6" t="inlineStr">
        <is>
          <t>ЭПД</t>
        </is>
      </c>
      <c r="L5" s="7" t="inlineStr">
        <is>
          <t>ЭПД</t>
        </is>
      </c>
      <c r="M5" s="7" t="n"/>
      <c r="N5" s="7" t="n"/>
    </row>
    <row r="6" ht="18.75" customHeight="1">
      <c r="B6" s="3" t="inlineStr">
        <is>
          <t>Срок Проекта</t>
        </is>
      </c>
      <c r="C6" s="4" t="inlineStr">
        <is>
          <t>01/04/26 - 31/12/2026</t>
        </is>
      </c>
      <c r="F6" s="6" t="inlineStr">
        <is>
          <t>Скорая помощь</t>
        </is>
      </c>
      <c r="G6" s="6" t="n"/>
      <c r="H6" s="6" t="n"/>
      <c r="I6" s="6" t="n"/>
      <c r="J6" s="6" t="inlineStr">
        <is>
          <t>Скорая помощь</t>
        </is>
      </c>
      <c r="K6" s="6" t="n"/>
      <c r="L6" s="6" t="n"/>
      <c r="M6" s="6" t="n"/>
      <c r="N6" s="6" t="n"/>
    </row>
    <row r="7" ht="30.75" customHeight="1">
      <c r="B7" s="3" t="inlineStr">
        <is>
          <t>Ответственный</t>
        </is>
      </c>
      <c r="C7" s="4" t="inlineStr">
        <is>
          <t>Дворяк А.</t>
        </is>
      </c>
      <c r="F7" s="6" t="n"/>
      <c r="G7" s="6" t="n"/>
      <c r="H7" s="6" t="n"/>
      <c r="I7" s="6" t="inlineStr">
        <is>
          <t>ДОКИ</t>
        </is>
      </c>
      <c r="J7" s="6" t="inlineStr">
        <is>
          <t>ДОКИ</t>
        </is>
      </c>
      <c r="K7" s="6" t="n"/>
      <c r="L7" s="6" t="n"/>
      <c r="M7" s="6" t="n"/>
      <c r="N7" s="6" t="n"/>
    </row>
    <row r="8" ht="18.75" customHeight="1">
      <c r="B8" s="3" t="inlineStr">
        <is>
          <t>Источник финансирования</t>
        </is>
      </c>
      <c r="C8" s="4" t="inlineStr">
        <is>
          <t xml:space="preserve">Админ  ЦП </t>
        </is>
      </c>
      <c r="F8" s="6" t="n"/>
      <c r="G8" s="6" t="n"/>
      <c r="H8" s="6" t="n"/>
      <c r="I8" s="6" t="inlineStr">
        <is>
          <t>Кабинет сотрудника</t>
        </is>
      </c>
      <c r="J8" s="6" t="n"/>
      <c r="K8" s="6" t="inlineStr">
        <is>
          <t>Кабинет сотрудника</t>
        </is>
      </c>
      <c r="L8" s="6" t="inlineStr">
        <is>
          <t>Кабинет сотрудника</t>
        </is>
      </c>
      <c r="M8" s="6" t="n"/>
      <c r="N8" s="6" t="n"/>
    </row>
    <row r="9" ht="30" customFormat="1" customHeight="1" s="9">
      <c r="B9" s="8" t="n"/>
      <c r="F9" s="10" t="inlineStr">
        <is>
          <t>3 чел.: ТЛ 1, М 1, стаж. 1</t>
        </is>
      </c>
      <c r="G9" s="10" t="inlineStr">
        <is>
          <t>3 чел.: ТЛ 1, М 1, стаж. 1</t>
        </is>
      </c>
      <c r="H9" s="10" t="inlineStr">
        <is>
          <t>3 чел.: ТЛ 1, М 2</t>
        </is>
      </c>
      <c r="I9" s="10" t="inlineStr">
        <is>
          <t>3 чел.: ТЛ 1, М 2</t>
        </is>
      </c>
      <c r="J9" s="10" t="inlineStr">
        <is>
          <t>3 чел.: ТЛ 1, М 2</t>
        </is>
      </c>
      <c r="K9" s="10" t="inlineStr">
        <is>
          <t>4 чел.: ТЛ 1, М 3</t>
        </is>
      </c>
    </row>
    <row r="10" ht="15.75" customHeight="1" thickBot="1">
      <c r="B10" s="11" t="inlineStr">
        <is>
          <t>В рублях</t>
        </is>
      </c>
      <c r="E10" s="7" t="inlineStr">
        <is>
          <t>ТимЛид</t>
        </is>
      </c>
      <c r="F10" s="12" t="n">
        <v>96000</v>
      </c>
      <c r="G10" s="12" t="n">
        <v>83707.21052631579</v>
      </c>
      <c r="H10" s="12" t="n">
        <v>96000</v>
      </c>
      <c r="I10" s="12" t="n">
        <v>113250</v>
      </c>
      <c r="J10" s="12" t="n">
        <v>96000</v>
      </c>
      <c r="K10" s="12" t="n">
        <v>89454.54545454546</v>
      </c>
    </row>
    <row r="11" ht="16.5" customHeight="1" thickBot="1">
      <c r="B11" s="13" t="inlineStr">
        <is>
          <t>Наименование</t>
        </is>
      </c>
      <c r="C11" s="14" t="inlineStr">
        <is>
          <t>Сумма</t>
        </is>
      </c>
      <c r="E11" s="7" t="inlineStr">
        <is>
          <t>МлМенеджер</t>
        </is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</row>
    <row r="12">
      <c r="B12" s="15" t="inlineStr">
        <is>
          <t>средний ФОТ ежемесячно</t>
        </is>
      </c>
      <c r="C12" s="16">
        <f>AVERAGE(G14:K14)</f>
        <v/>
      </c>
      <c r="E12" s="7" t="inlineStr">
        <is>
          <t>Стажер</t>
        </is>
      </c>
      <c r="F12" s="12" t="n">
        <v>45200</v>
      </c>
      <c r="G12" s="12" t="n">
        <v>46000</v>
      </c>
      <c r="H12" s="12" t="n">
        <v>0</v>
      </c>
      <c r="I12" s="12" t="n">
        <v>0</v>
      </c>
      <c r="J12" s="12" t="n">
        <v>0</v>
      </c>
      <c r="K12" s="12" t="n">
        <v>0</v>
      </c>
    </row>
    <row r="13">
      <c r="B13" s="17" t="n"/>
      <c r="C13" s="18" t="n"/>
      <c r="E13" s="7" t="inlineStr">
        <is>
          <t xml:space="preserve">Менеджер </t>
        </is>
      </c>
      <c r="F13" s="12" t="n">
        <v>72000</v>
      </c>
      <c r="G13" s="12" t="n">
        <v>58315.78947368421</v>
      </c>
      <c r="H13" s="12" t="n">
        <v>123858</v>
      </c>
      <c r="I13" s="12" t="n">
        <v>156458</v>
      </c>
      <c r="J13" s="12" t="n">
        <v>131500</v>
      </c>
      <c r="K13" s="12" t="n">
        <v>183114.8181818182</v>
      </c>
    </row>
    <row r="14" ht="15.75" customHeight="1" thickBot="1">
      <c r="B14" s="19" t="n"/>
      <c r="C14" s="20" t="n"/>
      <c r="F14" s="21">
        <f>F10+F11+F12+F13</f>
        <v/>
      </c>
      <c r="G14" s="21">
        <f>G10+G11+G12+G13</f>
        <v/>
      </c>
      <c r="H14" s="21">
        <f>H10+H11+H12+H13</f>
        <v/>
      </c>
      <c r="I14" s="21">
        <f>I10+I11+I12+I13</f>
        <v/>
      </c>
      <c r="J14" s="21">
        <f>J10+J11+J12+J13</f>
        <v/>
      </c>
      <c r="K14" s="21">
        <f>K10+K11+K12+K13</f>
        <v/>
      </c>
    </row>
    <row r="15" ht="19.5" customHeight="1" thickBot="1">
      <c r="B15" s="22" t="inlineStr">
        <is>
          <t xml:space="preserve">ИТОГО </t>
        </is>
      </c>
      <c r="C15" s="23">
        <f>SUM(C12:C14)</f>
        <v/>
      </c>
      <c r="H15" s="24" t="n"/>
    </row>
    <row r="17" ht="18.75" customHeight="1">
      <c r="B17" s="1" t="inlineStr">
        <is>
          <t>ДДС</t>
        </is>
      </c>
      <c r="H17" s="25" t="n"/>
    </row>
    <row r="19" ht="15.75" customHeight="1" thickBot="1">
      <c r="B19" s="11" t="inlineStr">
        <is>
          <t>В рублях</t>
        </is>
      </c>
    </row>
    <row r="20" ht="16.5" customHeight="1" thickBot="1">
      <c r="B20" s="26" t="inlineStr">
        <is>
          <t>Наименование</t>
        </is>
      </c>
      <c r="C20" s="27" t="n">
        <v>2026</v>
      </c>
      <c r="D20" s="28" t="inlineStr">
        <is>
          <t>1 кв-л</t>
        </is>
      </c>
      <c r="E20" s="28" t="inlineStr">
        <is>
          <t>2 кв-л</t>
        </is>
      </c>
      <c r="F20" s="28" t="inlineStr">
        <is>
          <t>3 кв-л</t>
        </is>
      </c>
      <c r="G20" s="28" t="inlineStr">
        <is>
          <t>4 кв-л</t>
        </is>
      </c>
      <c r="H20" s="27" t="n">
        <v>2026</v>
      </c>
      <c r="I20" s="27" t="n">
        <v>2027</v>
      </c>
      <c r="J20" s="14" t="inlineStr">
        <is>
          <t>Итого</t>
        </is>
      </c>
    </row>
    <row r="21">
      <c r="B21" s="29" t="inlineStr">
        <is>
          <t>Доходы</t>
        </is>
      </c>
      <c r="C21" s="30">
        <f>SUM(C22:C35)</f>
        <v/>
      </c>
      <c r="D21" s="30">
        <f>SUM(D22:D35)</f>
        <v/>
      </c>
      <c r="E21" s="30">
        <f>SUM(E22:E35)</f>
        <v/>
      </c>
      <c r="F21" s="30">
        <f>SUM(F22:F35)</f>
        <v/>
      </c>
      <c r="G21" s="30">
        <f>SUM(G22:G35)</f>
        <v/>
      </c>
      <c r="H21" s="30">
        <f>SUM(H22:H35)</f>
        <v/>
      </c>
      <c r="I21" s="31">
        <f>SUM(I22:I35)</f>
        <v/>
      </c>
      <c r="J21" s="32">
        <f>C21+H21+I21</f>
        <v/>
      </c>
    </row>
    <row r="22">
      <c r="B22" s="17" t="inlineStr">
        <is>
          <t>Линия консультаций</t>
        </is>
      </c>
      <c r="C22" s="33">
        <f>SUM(D22:G22)</f>
        <v/>
      </c>
      <c r="D22" s="33" t="n"/>
      <c r="E22" s="33" t="n">
        <v>130620</v>
      </c>
      <c r="F22" s="33" t="n">
        <v>98460</v>
      </c>
      <c r="G22" s="33" t="n">
        <v>0</v>
      </c>
      <c r="H22" s="33" t="n"/>
      <c r="I22" s="33" t="n"/>
      <c r="J22" s="34">
        <f>C22+H22+I22</f>
        <v/>
      </c>
    </row>
    <row r="23">
      <c r="B23" s="17" t="inlineStr">
        <is>
          <t>1С-ЭПД, пакеты титулов</t>
        </is>
      </c>
      <c r="C23" s="33">
        <f>SUM(D23:G23)</f>
        <v/>
      </c>
      <c r="D23" s="33" t="n"/>
      <c r="E23" s="33" t="n">
        <v>78800</v>
      </c>
      <c r="F23" s="33" t="n">
        <v>111400</v>
      </c>
      <c r="G23" s="33" t="n">
        <v>3600</v>
      </c>
      <c r="H23" s="33" t="n"/>
      <c r="I23" s="35" t="n"/>
      <c r="J23" s="34">
        <f>C23+H23+I23</f>
        <v/>
      </c>
    </row>
    <row r="24">
      <c r="B24" s="17" t="inlineStr">
        <is>
          <t>1С-ЭПД, старт и рабочие места</t>
        </is>
      </c>
      <c r="C24" s="33">
        <f>SUM(D24:G24)</f>
        <v/>
      </c>
      <c r="D24" s="33" t="n"/>
      <c r="E24" s="33" t="n">
        <v>130000</v>
      </c>
      <c r="F24" s="33" t="n">
        <v>0</v>
      </c>
      <c r="G24" s="33" t="n">
        <v>0</v>
      </c>
      <c r="H24" s="33" t="n"/>
      <c r="I24" s="35" t="n"/>
      <c r="J24" s="34">
        <f>C24+H24+I24</f>
        <v/>
      </c>
    </row>
    <row r="25">
      <c r="B25" s="17" t="inlineStr">
        <is>
          <t>Рутокен</t>
        </is>
      </c>
      <c r="C25" s="33">
        <f>SUM(D25:G25)</f>
        <v/>
      </c>
      <c r="D25" s="33" t="n"/>
      <c r="E25" s="33" t="n">
        <v>21050</v>
      </c>
      <c r="F25" s="33" t="n">
        <v>30400</v>
      </c>
      <c r="G25" s="33" t="n">
        <v>0</v>
      </c>
      <c r="H25" s="33" t="n"/>
      <c r="I25" s="35" t="n"/>
      <c r="J25" s="34">
        <f>C25+H25+I25</f>
        <v/>
      </c>
    </row>
    <row r="26" ht="15.75" customHeight="1" thickBot="1">
      <c r="B26" s="17" t="inlineStr">
        <is>
          <t>1С:Подпись</t>
        </is>
      </c>
      <c r="C26" s="33">
        <f>SUM(D26:G26)</f>
        <v/>
      </c>
      <c r="D26" s="33" t="n"/>
      <c r="E26" s="33" t="n">
        <v>1050</v>
      </c>
      <c r="F26" s="33" t="n">
        <v>43350</v>
      </c>
      <c r="G26" s="33" t="n">
        <v>0</v>
      </c>
      <c r="H26" s="33" t="n"/>
      <c r="I26" s="35" t="n"/>
      <c r="J26" s="34">
        <f>C26+H26+I26</f>
        <v/>
      </c>
    </row>
    <row r="27" ht="15.75" customHeight="1">
      <c r="B27" s="53" t="inlineStr">
        <is>
          <t>ИТС КП Базовый на 12 месяцев</t>
        </is>
      </c>
      <c r="C27" s="54">
        <f>SUM(D27:G27)</f>
        <v/>
      </c>
      <c r="D27" s="54" t="n"/>
      <c r="E27" s="54" t="n">
        <v>29004</v>
      </c>
      <c r="F27" s="54" t="n">
        <v>0</v>
      </c>
      <c r="G27" s="54" t="n">
        <v>0</v>
      </c>
      <c r="H27" s="54" t="n"/>
      <c r="I27" s="55" t="n"/>
      <c r="J27" s="56">
        <f>C27+H27+I27</f>
        <v/>
      </c>
    </row>
    <row r="28" ht="15.75" customHeight="1">
      <c r="B28" s="53" t="inlineStr">
        <is>
          <t>1С:Кабинет сотрудника</t>
        </is>
      </c>
      <c r="C28" s="54">
        <f>SUM(D28:G28)</f>
        <v/>
      </c>
      <c r="D28" s="54" t="n"/>
      <c r="E28" s="54" t="n">
        <v>0</v>
      </c>
      <c r="F28" s="54" t="n">
        <v>15120</v>
      </c>
      <c r="G28" s="54" t="n">
        <v>8400</v>
      </c>
      <c r="H28" s="54" t="n"/>
      <c r="I28" s="55" t="n"/>
      <c r="J28" s="56">
        <f>C28+H28+I28</f>
        <v/>
      </c>
    </row>
    <row r="29" ht="15.75" customHeight="1">
      <c r="B29" s="53" t="inlineStr">
        <is>
          <t>1С-Доки</t>
        </is>
      </c>
      <c r="C29" s="54">
        <f>SUM(D29:G29)</f>
        <v/>
      </c>
      <c r="D29" s="54" t="n"/>
      <c r="E29" s="54" t="n">
        <v>0</v>
      </c>
      <c r="F29" s="54" t="n">
        <v>18800</v>
      </c>
      <c r="G29" s="54" t="n">
        <v>0</v>
      </c>
      <c r="H29" s="54" t="n"/>
      <c r="I29" s="55" t="n"/>
      <c r="J29" s="56">
        <f>C29+H29+I29</f>
        <v/>
      </c>
    </row>
    <row r="30" ht="15.75" customHeight="1">
      <c r="B30" s="53" t="inlineStr">
        <is>
          <t>1С:Фреш</t>
        </is>
      </c>
      <c r="C30" s="54">
        <f>SUM(D30:G30)</f>
        <v/>
      </c>
      <c r="D30" s="54" t="n"/>
      <c r="E30" s="54" t="n">
        <v>12400</v>
      </c>
      <c r="F30" s="54" t="n">
        <v>0</v>
      </c>
      <c r="G30" s="54" t="n">
        <v>0</v>
      </c>
      <c r="H30" s="54" t="n"/>
      <c r="I30" s="55" t="n"/>
      <c r="J30" s="56">
        <f>C30+H30+I30</f>
        <v/>
      </c>
    </row>
    <row r="31" ht="15.75" customHeight="1">
      <c r="B31" s="53" t="inlineStr">
        <is>
          <t>Скорая помощь</t>
        </is>
      </c>
      <c r="C31" s="54">
        <f>SUM(D31:G31)</f>
        <v/>
      </c>
      <c r="D31" s="54" t="n"/>
      <c r="E31" s="54" t="n">
        <v>3927</v>
      </c>
      <c r="F31" s="54" t="n">
        <v>3927</v>
      </c>
      <c r="G31" s="54" t="n">
        <v>0</v>
      </c>
      <c r="H31" s="54" t="n"/>
      <c r="I31" s="55" t="n"/>
      <c r="J31" s="56">
        <f>C31+H31+I31</f>
        <v/>
      </c>
    </row>
    <row r="32" ht="15.75" customHeight="1">
      <c r="B32" s="53" t="inlineStr">
        <is>
          <t>СКЗИ КриптоПро</t>
        </is>
      </c>
      <c r="C32" s="54">
        <f>SUM(D32:G32)</f>
        <v/>
      </c>
      <c r="D32" s="54" t="n"/>
      <c r="E32" s="54" t="n">
        <v>3700</v>
      </c>
      <c r="F32" s="54" t="n">
        <v>3700</v>
      </c>
      <c r="G32" s="54" t="n">
        <v>0</v>
      </c>
      <c r="H32" s="54" t="n"/>
      <c r="I32" s="55" t="n"/>
      <c r="J32" s="56">
        <f>C32+H32+I32</f>
        <v/>
      </c>
    </row>
    <row r="33" ht="15.75" customHeight="1">
      <c r="B33" s="53" t="inlineStr">
        <is>
          <t>1С-ЭДО</t>
        </is>
      </c>
      <c r="C33" s="54">
        <f>SUM(D33:G33)</f>
        <v/>
      </c>
      <c r="D33" s="54" t="n"/>
      <c r="E33" s="54" t="n">
        <v>4750</v>
      </c>
      <c r="F33" s="54" t="n">
        <v>2000</v>
      </c>
      <c r="G33" s="54" t="n">
        <v>0</v>
      </c>
      <c r="H33" s="54" t="n"/>
      <c r="I33" s="55" t="n"/>
      <c r="J33" s="56">
        <f>C33+H33+I33</f>
        <v/>
      </c>
    </row>
    <row r="34" ht="15.75" customHeight="1" thickBot="1">
      <c r="B34" s="53" t="inlineStr">
        <is>
          <t>1С:Бухгалтерия</t>
        </is>
      </c>
      <c r="C34" s="54">
        <f>SUM(D34:G34)</f>
        <v/>
      </c>
      <c r="D34" s="54" t="n"/>
      <c r="E34" s="54" t="n">
        <v>4900</v>
      </c>
      <c r="F34" s="54" t="n">
        <v>0</v>
      </c>
      <c r="G34" s="54" t="n">
        <v>0</v>
      </c>
      <c r="H34" s="54" t="n"/>
      <c r="I34" s="55" t="n"/>
      <c r="J34" s="56">
        <f>C34+H34+I34</f>
        <v/>
      </c>
    </row>
    <row r="35" ht="15.75" customHeight="1" thickBot="1">
      <c r="B35" s="53" t="inlineStr">
        <is>
          <t>1С-Отчётность</t>
        </is>
      </c>
      <c r="C35" s="54">
        <f>SUM(D35:G35)</f>
        <v/>
      </c>
      <c r="D35" s="54" t="n"/>
      <c r="E35" s="54" t="n">
        <v>0</v>
      </c>
      <c r="F35" s="54" t="n">
        <v>4560</v>
      </c>
      <c r="G35" s="54" t="n">
        <v>0</v>
      </c>
      <c r="H35" s="54" t="n"/>
      <c r="I35" s="55" t="n"/>
      <c r="J35" s="56">
        <f>C35+H35+I35</f>
        <v/>
      </c>
    </row>
    <row r="36" ht="15.75" customHeight="1" thickBot="1">
      <c r="B36" s="29" t="inlineStr">
        <is>
          <t>Расходы</t>
        </is>
      </c>
      <c r="C36" s="36">
        <f>SUM(C37:C42)</f>
        <v/>
      </c>
      <c r="D36" s="36">
        <f>SUM(D37:D42)</f>
        <v/>
      </c>
      <c r="E36" s="36">
        <f>SUM(E37:E42)</f>
        <v/>
      </c>
      <c r="F36" s="36">
        <f>SUM(F37:F42)</f>
        <v/>
      </c>
      <c r="G36" s="36">
        <f>SUM(G37:G42)</f>
        <v/>
      </c>
      <c r="H36" s="36">
        <f>SUM(H37:H42)</f>
        <v/>
      </c>
      <c r="I36" s="31">
        <f>SUM(I37:I42)</f>
        <v/>
      </c>
      <c r="J36" s="37">
        <f>C36+H36+I36</f>
        <v/>
      </c>
    </row>
    <row r="37" ht="15.75" customHeight="1" thickBot="1">
      <c r="B37" s="17" t="inlineStr">
        <is>
          <t>ФОТ сотрудников</t>
        </is>
      </c>
      <c r="C37" s="33">
        <f>SUM(D37:G37)</f>
        <v/>
      </c>
      <c r="D37" s="33" t="n"/>
      <c r="E37" s="38">
        <f>F14+G14+H14</f>
        <v/>
      </c>
      <c r="F37" s="33">
        <f>I14+J14+K14</f>
        <v/>
      </c>
      <c r="G37" s="33" t="n"/>
      <c r="H37" s="33" t="n"/>
      <c r="I37" s="35" t="n"/>
      <c r="J37" s="34">
        <f>C37+H37+I37</f>
        <v/>
      </c>
    </row>
    <row r="38">
      <c r="B38" s="17" t="inlineStr">
        <is>
          <t>Налоги ФОТ (нужно смотреть % ФОТ -зависит от ООО)</t>
        </is>
      </c>
      <c r="C38" s="33">
        <f>C37*30%</f>
        <v/>
      </c>
      <c r="D38" s="33" t="n"/>
      <c r="E38" s="33">
        <f>E37*30%</f>
        <v/>
      </c>
      <c r="F38" s="33">
        <f>F37*30%</f>
        <v/>
      </c>
      <c r="G38" s="33">
        <f>G37*30%</f>
        <v/>
      </c>
      <c r="H38" s="33">
        <f>H37*30%</f>
        <v/>
      </c>
      <c r="I38" s="33">
        <f>I37*30%</f>
        <v/>
      </c>
      <c r="J38" s="34">
        <f>C38+H38+I38</f>
        <v/>
      </c>
    </row>
    <row r="39">
      <c r="B39" s="17" t="inlineStr">
        <is>
          <t>Аренда+ телефон</t>
        </is>
      </c>
      <c r="C39" s="33">
        <f>D39+E39+F39+G39</f>
        <v/>
      </c>
      <c r="D39" s="39" t="n"/>
      <c r="E39" s="39" t="n"/>
      <c r="F39" s="39" t="n"/>
      <c r="G39" s="39" t="n"/>
      <c r="H39" s="39" t="n"/>
      <c r="I39" s="35" t="n"/>
      <c r="J39" s="34">
        <f>C39+H39+I39</f>
        <v/>
      </c>
    </row>
    <row r="40">
      <c r="B40" s="17" t="inlineStr">
        <is>
          <t>Реклламные расходы</t>
        </is>
      </c>
      <c r="C40" s="33">
        <f>D40+E40+F40+G40</f>
        <v/>
      </c>
      <c r="D40" s="39" t="n"/>
      <c r="E40" s="39" t="n"/>
      <c r="F40" s="39" t="n"/>
      <c r="G40" s="39" t="n"/>
      <c r="H40" s="39" t="n"/>
      <c r="I40" s="35" t="n"/>
      <c r="J40" s="34">
        <f>C40+H40+I40</f>
        <v/>
      </c>
    </row>
    <row r="41">
      <c r="B41" s="17" t="inlineStr">
        <is>
          <t>Себестоимость</t>
        </is>
      </c>
      <c r="C41" s="33">
        <f>D41+E41+F41+G41</f>
        <v/>
      </c>
      <c r="D41" s="39" t="n"/>
      <c r="E41" s="39">
        <f>(E23+E24)*0.5</f>
        <v/>
      </c>
      <c r="F41" s="39">
        <f>(F23+F24)*0.5</f>
        <v/>
      </c>
      <c r="G41" s="39">
        <f>(G23+G24)*0.5</f>
        <v/>
      </c>
      <c r="H41" s="39" t="n"/>
      <c r="I41" s="35" t="n"/>
      <c r="J41" s="34">
        <f>C41+H41+I41</f>
        <v/>
      </c>
    </row>
    <row r="42" ht="18.75" customHeight="1">
      <c r="B42" s="17" t="n"/>
      <c r="C42" s="33">
        <f>D42+E42+F42+G42</f>
        <v/>
      </c>
      <c r="D42" s="39" t="n"/>
      <c r="E42" s="39" t="n"/>
      <c r="F42" s="39" t="n"/>
      <c r="G42" s="39" t="n"/>
      <c r="H42" s="39" t="n"/>
      <c r="I42" s="35" t="n"/>
      <c r="J42" s="34">
        <f>C42+H42+I42</f>
        <v/>
      </c>
    </row>
    <row r="43">
      <c r="B43" s="40" t="inlineStr">
        <is>
          <t>Прибыль/ Убыток</t>
        </is>
      </c>
      <c r="C43" s="41">
        <f>C21-C36</f>
        <v/>
      </c>
      <c r="D43" s="41">
        <f>D21-D36</f>
        <v/>
      </c>
      <c r="E43" s="41">
        <f>E21-E36</f>
        <v/>
      </c>
      <c r="F43" s="41">
        <f>F21-F36</f>
        <v/>
      </c>
      <c r="G43" s="41">
        <f>G21-G36</f>
        <v/>
      </c>
      <c r="H43" s="41">
        <f>H21-H36</f>
        <v/>
      </c>
      <c r="I43" s="42">
        <f>I21-I36</f>
        <v/>
      </c>
      <c r="J43" s="43">
        <f>C43+H43+I43</f>
        <v/>
      </c>
      <c r="K43" s="38" t="n"/>
      <c r="M43" s="38" t="n"/>
    </row>
    <row r="44" ht="18.75" customHeight="1">
      <c r="B44" s="44" t="inlineStr">
        <is>
          <t>Налог на прибыль, УСН</t>
        </is>
      </c>
      <c r="C44" s="45">
        <f>SUM(D44:G44)</f>
        <v/>
      </c>
      <c r="D44" s="45" t="n"/>
      <c r="E44" s="45" t="n"/>
      <c r="F44" s="45" t="n"/>
      <c r="G44" s="45" t="n"/>
      <c r="H44" s="45" t="n"/>
      <c r="I44" s="46" t="n"/>
      <c r="J44" s="47">
        <f>C44+H44+I44</f>
        <v/>
      </c>
      <c r="K44" s="38" t="n"/>
      <c r="M44" s="38" t="n"/>
    </row>
    <row r="45" ht="18.75" customHeight="1">
      <c r="B45" s="44" t="inlineStr">
        <is>
          <t>Чистая прибыль</t>
        </is>
      </c>
      <c r="C45" s="45">
        <f>C43-C44</f>
        <v/>
      </c>
      <c r="D45" s="45" t="n"/>
      <c r="E45" s="45" t="n"/>
      <c r="F45" s="45" t="n"/>
      <c r="G45" s="45" t="n"/>
      <c r="H45" s="45">
        <f>H43-H44</f>
        <v/>
      </c>
      <c r="I45" s="45">
        <f>I43-I44</f>
        <v/>
      </c>
      <c r="J45" s="48">
        <f>C45+H45+I45</f>
        <v/>
      </c>
    </row>
    <row r="46" ht="15.75" customHeight="1" thickBot="1">
      <c r="B46" s="49" t="inlineStr">
        <is>
          <t>Финансовый результат</t>
        </is>
      </c>
      <c r="C46" s="50" t="n"/>
      <c r="D46" s="50" t="n"/>
      <c r="E46" s="50" t="n"/>
      <c r="F46" s="50" t="n"/>
      <c r="G46" s="50" t="n"/>
      <c r="H46" s="50" t="n"/>
      <c r="I46" s="51" t="n"/>
      <c r="J46" s="52">
        <f>J45-C15</f>
        <v/>
      </c>
    </row>
    <row r="47" ht="16.5" customHeight="1" thickBot="1"/>
    <row r="50" ht="15.75" customHeight="1" thickBot="1"/>
    <row r="51">
      <c r="B51" s="1" t="inlineStr">
        <is>
          <t>Цели проекта и контрольные точки</t>
        </is>
      </c>
    </row>
    <row r="53">
      <c r="B53" s="3" t="inlineStr">
        <is>
          <t>Цель проекта</t>
        </is>
      </c>
      <c r="C53" s="4" t="inlineStr">
        <is>
          <t>запуск в тиражируемые продажи новых продуктов</t>
        </is>
      </c>
    </row>
    <row r="54">
      <c r="B54" s="3" t="inlineStr">
        <is>
          <t>Контрольные точки</t>
        </is>
      </c>
      <c r="C54" s="4" t="n"/>
    </row>
    <row r="56">
      <c r="B56" s="13" t="inlineStr">
        <is>
          <t>Описание контрольно точки</t>
        </is>
      </c>
      <c r="C56" s="14" t="inlineStr">
        <is>
          <t>Сроки</t>
        </is>
      </c>
    </row>
    <row r="57">
      <c r="B57" s="15" t="n"/>
      <c r="C57" s="16" t="n"/>
    </row>
    <row r="58">
      <c r="B58" s="17" t="n"/>
      <c r="C58" s="18" t="n"/>
    </row>
    <row r="59">
      <c r="B59" s="19" t="n"/>
      <c r="C59" s="2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Дворяк Александра</dc:creator>
  <dcterms:created xsi:type="dcterms:W3CDTF">2026-10-16T05:11:36Z</dcterms:created>
  <dcterms:modified xsi:type="dcterms:W3CDTF">2026-10-23T05:32:57Z</dcterms:modified>
  <cp:lastModifiedBy>Блохина Елизавета</cp:lastModifiedBy>
</cp:coreProperties>
</file>