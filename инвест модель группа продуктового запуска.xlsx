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blokhina\Desktop\"/>
    </mc:Choice>
  </mc:AlternateContent>
  <xr:revisionPtr revIDLastSave="0" documentId="8_{7C94C078-CFEA-46A8-BA8B-D49DBA7FE201}" xr6:coauthVersionLast="47" xr6:coauthVersionMax="47" xr10:uidLastSave="{00000000-0000-0000-0000-000000000000}"/>
  <bookViews>
    <workbookView xWindow="-120" yWindow="-120" windowWidth="29040" windowHeight="15840" xr2:uid="{A918DA87-7E2A-4600-9AA0-38A34F7E95E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6" i="1" l="1"/>
  <c r="C35" i="1"/>
  <c r="J35" i="1" s="1"/>
  <c r="I34" i="1"/>
  <c r="H34" i="1"/>
  <c r="H36" i="1" s="1"/>
  <c r="D34" i="1"/>
  <c r="C33" i="1"/>
  <c r="J33" i="1" s="1"/>
  <c r="G32" i="1"/>
  <c r="C31" i="1"/>
  <c r="J31" i="1" s="1"/>
  <c r="C30" i="1"/>
  <c r="J30" i="1" s="1"/>
  <c r="I29" i="1"/>
  <c r="H29" i="1"/>
  <c r="I27" i="1"/>
  <c r="H27" i="1"/>
  <c r="D27" i="1"/>
  <c r="J26" i="1"/>
  <c r="G25" i="1"/>
  <c r="F25" i="1"/>
  <c r="E23" i="1"/>
  <c r="J22" i="1"/>
  <c r="F22" i="1"/>
  <c r="F32" i="1" s="1"/>
  <c r="E22" i="1"/>
  <c r="E21" i="1" s="1"/>
  <c r="C22" i="1"/>
  <c r="I21" i="1"/>
  <c r="H21" i="1"/>
  <c r="J21" i="1" s="1"/>
  <c r="G21" i="1"/>
  <c r="F21" i="1"/>
  <c r="D21" i="1"/>
  <c r="C21" i="1"/>
  <c r="K13" i="1"/>
  <c r="J13" i="1"/>
  <c r="I13" i="1"/>
  <c r="K12" i="1"/>
  <c r="J12" i="1"/>
  <c r="I12" i="1"/>
  <c r="H12" i="1"/>
  <c r="G12" i="1"/>
  <c r="F12" i="1"/>
  <c r="K11" i="1"/>
  <c r="K14" i="1" s="1"/>
  <c r="J11" i="1"/>
  <c r="J14" i="1" s="1"/>
  <c r="I11" i="1"/>
  <c r="I14" i="1" s="1"/>
  <c r="H11" i="1"/>
  <c r="H14" i="1" s="1"/>
  <c r="G11" i="1"/>
  <c r="G14" i="1" s="1"/>
  <c r="F11" i="1"/>
  <c r="F14" i="1" s="1"/>
  <c r="F28" i="1" l="1"/>
  <c r="E28" i="1"/>
  <c r="C12" i="1"/>
  <c r="C15" i="1" s="1"/>
  <c r="E32" i="1"/>
  <c r="C32" i="1" s="1"/>
  <c r="J32" i="1" s="1"/>
  <c r="F29" i="1" l="1"/>
  <c r="G28" i="1"/>
  <c r="F27" i="1"/>
  <c r="F34" i="1" s="1"/>
  <c r="C28" i="1"/>
  <c r="E29" i="1"/>
  <c r="E27" i="1" s="1"/>
  <c r="E34" i="1" s="1"/>
  <c r="C29" i="1" l="1"/>
  <c r="J29" i="1" s="1"/>
  <c r="J28" i="1"/>
  <c r="G29" i="1"/>
  <c r="G27" i="1"/>
  <c r="G34" i="1" s="1"/>
  <c r="C27" i="1" l="1"/>
  <c r="C34" i="1" l="1"/>
  <c r="J27" i="1"/>
  <c r="C36" i="1" l="1"/>
  <c r="J36" i="1" s="1"/>
  <c r="J37" i="1" s="1"/>
  <c r="J34" i="1"/>
</calcChain>
</file>

<file path=xl/sharedStrings.xml><?xml version="1.0" encoding="utf-8"?>
<sst xmlns="http://schemas.openxmlformats.org/spreadsheetml/2006/main" count="94" uniqueCount="62">
  <si>
    <t>Первоначальные вложения по инвестиционному проекту</t>
  </si>
  <si>
    <t>Наменование ЦФО</t>
  </si>
  <si>
    <t>ЦП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</si>
  <si>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</si>
  <si>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</si>
  <si>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</si>
  <si>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</si>
  <si>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</si>
  <si>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</si>
  <si>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</si>
  <si>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</si>
  <si>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</si>
  <si>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Наименование Проекта</t>
  </si>
  <si>
    <t xml:space="preserve">Первооткрыватели </t>
  </si>
  <si>
    <t>ЭПД</t>
  </si>
  <si>
    <t>Срок Проекта</t>
  </si>
  <si>
    <t>01/04/26 - 31/12/2026</t>
  </si>
  <si>
    <t xml:space="preserve">Скорая помощь </t>
  </si>
  <si>
    <t>Ответственный</t>
  </si>
  <si>
    <t>Дворяк А.</t>
  </si>
  <si>
    <t>Аренда серверов</t>
  </si>
  <si>
    <t>Источник финансирования</t>
  </si>
  <si>
    <t xml:space="preserve">Админ  ЦП </t>
  </si>
  <si>
    <t>Sallmonitor</t>
  </si>
  <si>
    <t>Тим-лид + 1 МлМ+2стажера</t>
  </si>
  <si>
    <t>Тим-лид + 1 МлМ+4стажера</t>
  </si>
  <si>
    <t>Тим-лид + 3 МлМ+2стажера</t>
  </si>
  <si>
    <t>Тим-лид + 3 МлМ+1М</t>
  </si>
  <si>
    <t>В рублях</t>
  </si>
  <si>
    <t>ТимЛид</t>
  </si>
  <si>
    <t>Наименование</t>
  </si>
  <si>
    <t>Сумма</t>
  </si>
  <si>
    <t>МлМенеджер</t>
  </si>
  <si>
    <t>средний ФОТ ежемесячно</t>
  </si>
  <si>
    <t>Стажер</t>
  </si>
  <si>
    <t xml:space="preserve">Менеджер </t>
  </si>
  <si>
    <t xml:space="preserve">ИТОГО </t>
  </si>
  <si>
    <t>ДДС</t>
  </si>
  <si>
    <t>1 кв-л</t>
  </si>
  <si>
    <t>2 кв-л</t>
  </si>
  <si>
    <t>3 кв-л</t>
  </si>
  <si>
    <t>4 кв-л</t>
  </si>
  <si>
    <t>Итого</t>
  </si>
  <si>
    <t>Доходы</t>
  </si>
  <si>
    <t>Поступление от клиентов за ЭПД (4 р за титул)</t>
  </si>
  <si>
    <t>Скорая помощь</t>
  </si>
  <si>
    <t>Расходы</t>
  </si>
  <si>
    <t>ФОТ сотрудников</t>
  </si>
  <si>
    <t>Налоги ФОТ (нужно смотреть % ФОТ -зависит от ООО)</t>
  </si>
  <si>
    <t>Аренда+ телефон</t>
  </si>
  <si>
    <t>Реклламные расходы</t>
  </si>
  <si>
    <t>Себестоимость</t>
  </si>
  <si>
    <t>Прибыль/ Убыток</t>
  </si>
  <si>
    <t>Налог на прибыль, УСН</t>
  </si>
  <si>
    <t>Чистая прибыль</t>
  </si>
  <si>
    <t>Финансовый результат</t>
  </si>
  <si>
    <t>Цели проекта и контрольные точки</t>
  </si>
  <si>
    <t>Цель проекта</t>
  </si>
  <si>
    <t>запуск в тиражируемые продажи новых продуктов</t>
  </si>
  <si>
    <t>Контрольные точки</t>
  </si>
  <si>
    <t>Описание контрольно точки</t>
  </si>
  <si>
    <t>Сроки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</si>
</sst>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color rgb="FF0070C0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4"/>
      <color rgb="FFFF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3" fillId="2" borderId="0" xfId="0" applyFont="1" applyFill="1"/>
    <xf numFmtId="0" fontId="4" fillId="2" borderId="0" xfId="0" applyFont="1" applyFill="1"/>
    <xf numFmtId="0" fontId="3" fillId="0" borderId="0" xfId="0" applyFont="1"/>
    <xf numFmtId="0" fontId="0" fillId="0" borderId="1" xfId="0" applyBorder="1"/>
    <xf numFmtId="0" fontId="2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0" fillId="0" borderId="2" xfId="0" applyBorder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 wrapText="1"/>
    </xf>
    <xf numFmtId="0" fontId="6" fillId="0" borderId="0" xfId="0" applyFont="1"/>
    <xf numFmtId="164" fontId="0" fillId="0" borderId="2" xfId="1" applyNumberFormat="1" applyFont="1" applyBorder="1" applyAlignment="1">
      <alignment wrapText="1"/>
    </xf>
    <xf numFmtId="0" fontId="7" fillId="0" borderId="3" xfId="0" applyFont="1" applyBorder="1"/>
    <xf numFmtId="0" fontId="2" fillId="0" borderId="4" xfId="0" applyFont="1" applyBorder="1" applyAlignment="1">
      <alignment horizontal="center"/>
    </xf>
    <xf numFmtId="0" fontId="0" fillId="0" borderId="5" xfId="0" applyBorder="1"/>
    <xf numFmtId="3" fontId="0" fillId="0" borderId="6" xfId="0" applyNumberFormat="1" applyBorder="1" applyAlignment="1">
      <alignment wrapText="1"/>
    </xf>
    <xf numFmtId="0" fontId="0" fillId="0" borderId="7" xfId="0" applyBorder="1"/>
    <xf numFmtId="3" fontId="0" fillId="0" borderId="8" xfId="0" applyNumberFormat="1" applyBorder="1" applyAlignment="1">
      <alignment wrapText="1"/>
    </xf>
    <xf numFmtId="0" fontId="0" fillId="0" borderId="9" xfId="0" applyBorder="1"/>
    <xf numFmtId="3" fontId="0" fillId="0" borderId="10" xfId="0" applyNumberFormat="1" applyBorder="1" applyAlignment="1">
      <alignment wrapText="1"/>
    </xf>
    <xf numFmtId="164" fontId="0" fillId="0" borderId="11" xfId="1" applyNumberFormat="1" applyFont="1" applyBorder="1" applyAlignment="1">
      <alignment wrapText="1"/>
    </xf>
    <xf numFmtId="0" fontId="3" fillId="0" borderId="9" xfId="0" applyFont="1" applyBorder="1"/>
    <xf numFmtId="3" fontId="3" fillId="0" borderId="10" xfId="0" applyNumberFormat="1" applyFont="1" applyBorder="1" applyAlignment="1">
      <alignment wrapText="1"/>
    </xf>
    <xf numFmtId="0" fontId="8" fillId="0" borderId="0" xfId="0" applyFont="1"/>
    <xf numFmtId="0" fontId="4" fillId="0" borderId="0" xfId="0" applyFont="1"/>
    <xf numFmtId="0" fontId="7" fillId="0" borderId="12" xfId="0" applyFont="1" applyBorder="1"/>
    <xf numFmtId="0" fontId="7" fillId="0" borderId="13" xfId="0" applyFont="1" applyBorder="1"/>
    <xf numFmtId="0" fontId="7" fillId="0" borderId="13" xfId="0" applyFont="1" applyBorder="1" applyAlignment="1">
      <alignment horizontal="center"/>
    </xf>
    <xf numFmtId="0" fontId="4" fillId="3" borderId="14" xfId="0" applyFont="1" applyFill="1" applyBorder="1"/>
    <xf numFmtId="3" fontId="2" fillId="3" borderId="15" xfId="0" applyNumberFormat="1" applyFont="1" applyFill="1" applyBorder="1"/>
    <xf numFmtId="3" fontId="2" fillId="3" borderId="16" xfId="0" applyNumberFormat="1" applyFont="1" applyFill="1" applyBorder="1"/>
    <xf numFmtId="3" fontId="2" fillId="3" borderId="17" xfId="0" applyNumberFormat="1" applyFont="1" applyFill="1" applyBorder="1"/>
    <xf numFmtId="3" fontId="0" fillId="0" borderId="2" xfId="0" applyNumberFormat="1" applyBorder="1"/>
    <xf numFmtId="3" fontId="0" fillId="0" borderId="18" xfId="0" applyNumberFormat="1" applyBorder="1"/>
    <xf numFmtId="3" fontId="0" fillId="0" borderId="19" xfId="0" applyNumberFormat="1" applyBorder="1"/>
    <xf numFmtId="3" fontId="4" fillId="3" borderId="20" xfId="0" applyNumberFormat="1" applyFont="1" applyFill="1" applyBorder="1"/>
    <xf numFmtId="3" fontId="2" fillId="3" borderId="21" xfId="0" applyNumberFormat="1" applyFont="1" applyFill="1" applyBorder="1"/>
    <xf numFmtId="3" fontId="0" fillId="0" borderId="0" xfId="0" applyNumberFormat="1"/>
    <xf numFmtId="3" fontId="0" fillId="0" borderId="22" xfId="0" applyNumberFormat="1" applyBorder="1"/>
    <xf numFmtId="0" fontId="4" fillId="3" borderId="9" xfId="0" applyFont="1" applyFill="1" applyBorder="1"/>
    <xf numFmtId="3" fontId="2" fillId="3" borderId="23" xfId="0" applyNumberFormat="1" applyFont="1" applyFill="1" applyBorder="1"/>
    <xf numFmtId="3" fontId="2" fillId="3" borderId="24" xfId="0" applyNumberFormat="1" applyFont="1" applyFill="1" applyBorder="1"/>
    <xf numFmtId="3" fontId="2" fillId="3" borderId="25" xfId="0" applyNumberFormat="1" applyFont="1" applyFill="1" applyBorder="1"/>
    <xf numFmtId="0" fontId="4" fillId="3" borderId="26" xfId="0" applyFont="1" applyFill="1" applyBorder="1"/>
    <xf numFmtId="3" fontId="2" fillId="3" borderId="27" xfId="0" applyNumberFormat="1" applyFont="1" applyFill="1" applyBorder="1"/>
    <xf numFmtId="3" fontId="0" fillId="3" borderId="28" xfId="0" applyNumberFormat="1" applyFill="1" applyBorder="1"/>
    <xf numFmtId="3" fontId="0" fillId="3" borderId="29" xfId="0" applyNumberFormat="1" applyFill="1" applyBorder="1"/>
    <xf numFmtId="3" fontId="2" fillId="3" borderId="29" xfId="0" applyNumberFormat="1" applyFont="1" applyFill="1" applyBorder="1"/>
    <xf numFmtId="0" fontId="2" fillId="4" borderId="3" xfId="0" applyFont="1" applyFill="1" applyBorder="1"/>
    <xf numFmtId="3" fontId="0" fillId="4" borderId="30" xfId="0" applyNumberFormat="1" applyFill="1" applyBorder="1"/>
    <xf numFmtId="3" fontId="0" fillId="4" borderId="31" xfId="0" applyNumberFormat="1" applyFill="1" applyBorder="1"/>
    <xf numFmtId="3" fontId="0" fillId="4" borderId="29" xfId="0" applyNumberFormat="1" applyFill="1" applyBorder="1"/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0A277-DDE8-4459-9696-793230731737}">
  <dimension ref="B2:N50"/>
  <sheetViews>
    <sheetView tabSelected="1" zoomScale="70" zoomScaleNormal="70" workbookViewId="0">
      <selection activeCell="L26" sqref="L26"/>
    </sheetView>
  </sheetViews>
  <sheetFormatPr defaultColWidth="9.140625" defaultRowHeight="15" outlineLevelCol="1" x14ac:dyDescent="0.25"/>
  <cols>
    <col min="2" max="2" width="36" customWidth="1"/>
    <col min="3" max="3" width="19.42578125" customWidth="1"/>
    <col min="4" max="5" width="11.7109375" customWidth="1" outlineLevel="1"/>
    <col min="6" max="7" width="18.42578125" customWidth="1" outlineLevel="1"/>
    <col min="8" max="8" width="17.85546875" customWidth="1"/>
    <col min="9" max="9" width="16.5703125" customWidth="1"/>
    <col min="10" max="10" width="17" customWidth="1"/>
    <col min="11" max="11" width="16.5703125" customWidth="1"/>
    <col min="12" max="14" width="16.42578125" customWidth="1"/>
  </cols>
  <sheetData>
    <row r="2" spans="2:14" ht="18.75" x14ac:dyDescent="0.3">
      <c r="B2" s="1" t="s">
        <v>0</v>
      </c>
      <c r="C2" s="2"/>
    </row>
    <row r="4" spans="2:14" ht="18.75" x14ac:dyDescent="0.3">
      <c r="B4" s="3" t="s">
        <v>1</v>
      </c>
      <c r="C4" s="4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</row>
    <row r="5" spans="2:14" ht="18.75" x14ac:dyDescent="0.3">
      <c r="B5" s="3" t="s">
        <v>12</v>
      </c>
      <c r="C5" s="4" t="s">
        <v>13</v>
      </c>
      <c r="F5" s="6" t="s">
        <v>14</v>
      </c>
      <c r="G5" s="6" t="s">
        <v>14</v>
      </c>
      <c r="H5" s="6" t="s">
        <v>14</v>
      </c>
      <c r="I5" s="6" t="s">
        <v>14</v>
      </c>
      <c r="J5" s="6" t="s">
        <v>14</v>
      </c>
      <c r="K5" s="6" t="s">
        <v>14</v>
      </c>
      <c r="L5" s="7"/>
      <c r="M5" s="7"/>
      <c r="N5" s="7"/>
    </row>
    <row r="6" spans="2:14" ht="18.75" x14ac:dyDescent="0.3">
      <c r="B6" s="3" t="s">
        <v>15</v>
      </c>
      <c r="C6" s="4" t="s">
        <v>16</v>
      </c>
      <c r="F6" s="6" t="s">
        <v>17</v>
      </c>
      <c r="G6" s="6" t="s">
        <v>17</v>
      </c>
      <c r="H6" s="6" t="s">
        <v>17</v>
      </c>
      <c r="I6" s="6" t="s">
        <v>17</v>
      </c>
      <c r="J6" s="6" t="s">
        <v>17</v>
      </c>
      <c r="K6" s="6" t="s">
        <v>17</v>
      </c>
      <c r="L6" s="6" t="s">
        <v>17</v>
      </c>
      <c r="M6" s="6" t="s">
        <v>17</v>
      </c>
      <c r="N6" s="6" t="s">
        <v>17</v>
      </c>
    </row>
    <row r="7" spans="2:14" ht="30.75" x14ac:dyDescent="0.3">
      <c r="B7" s="3" t="s">
        <v>18</v>
      </c>
      <c r="C7" s="4" t="s">
        <v>19</v>
      </c>
      <c r="F7" s="6"/>
      <c r="G7" s="6" t="s">
        <v>20</v>
      </c>
      <c r="H7" s="6" t="s">
        <v>20</v>
      </c>
      <c r="I7" s="6" t="s">
        <v>20</v>
      </c>
      <c r="J7" s="6" t="s">
        <v>20</v>
      </c>
      <c r="K7" s="6" t="s">
        <v>20</v>
      </c>
      <c r="L7" s="6" t="s">
        <v>20</v>
      </c>
      <c r="M7" s="6" t="s">
        <v>20</v>
      </c>
      <c r="N7" s="6" t="s">
        <v>20</v>
      </c>
    </row>
    <row r="8" spans="2:14" ht="18.75" x14ac:dyDescent="0.3">
      <c r="B8" s="3" t="s">
        <v>21</v>
      </c>
      <c r="C8" s="4" t="s">
        <v>22</v>
      </c>
      <c r="F8" s="6"/>
      <c r="G8" s="6"/>
      <c r="H8" s="6" t="s">
        <v>23</v>
      </c>
      <c r="I8" s="6" t="s">
        <v>23</v>
      </c>
      <c r="J8" s="6" t="s">
        <v>23</v>
      </c>
      <c r="K8" s="6" t="s">
        <v>23</v>
      </c>
      <c r="L8" s="6" t="s">
        <v>23</v>
      </c>
      <c r="M8" s="6" t="s">
        <v>23</v>
      </c>
      <c r="N8" s="6" t="s">
        <v>23</v>
      </c>
    </row>
    <row r="9" spans="2:14" s="9" customFormat="1" ht="30" x14ac:dyDescent="0.3">
      <c r="B9" s="8"/>
      <c r="F9" s="10" t="s">
        <v>24</v>
      </c>
      <c r="G9" s="10" t="s">
        <v>25</v>
      </c>
      <c r="H9" s="10" t="s">
        <v>26</v>
      </c>
      <c r="I9" s="10" t="s">
        <v>27</v>
      </c>
      <c r="J9" s="10" t="s">
        <v>27</v>
      </c>
      <c r="K9" s="10" t="s">
        <v>27</v>
      </c>
    </row>
    <row r="10" spans="2:14" ht="15.75" thickBot="1" x14ac:dyDescent="0.3">
      <c r="B10" s="11" t="s">
        <v>28</v>
      </c>
      <c r="E10" s="7" t="s">
        <v>29</v>
      </c>
      <c r="F10" s="12">
        <v>96000</v>
      </c>
      <c r="G10" s="12">
        <v>96000</v>
      </c>
      <c r="H10" s="12">
        <v>96000</v>
      </c>
      <c r="I10" s="12">
        <v>96000</v>
      </c>
      <c r="J10" s="12">
        <v>96000</v>
      </c>
      <c r="K10" s="12">
        <v>96000</v>
      </c>
    </row>
    <row r="11" spans="2:14" ht="16.5" thickBot="1" x14ac:dyDescent="0.3">
      <c r="B11" s="13" t="s">
        <v>30</v>
      </c>
      <c r="C11" s="14" t="s">
        <v>31</v>
      </c>
      <c r="E11" s="7" t="s">
        <v>32</v>
      </c>
      <c r="F11" s="12">
        <f>52000+20000</f>
        <v>72000</v>
      </c>
      <c r="G11" s="12">
        <f t="shared" ref="G11:K11" si="0">52000+20000</f>
        <v>72000</v>
      </c>
      <c r="H11" s="12">
        <f t="shared" si="0"/>
        <v>72000</v>
      </c>
      <c r="I11" s="12">
        <f t="shared" si="0"/>
        <v>72000</v>
      </c>
      <c r="J11" s="12">
        <f t="shared" si="0"/>
        <v>72000</v>
      </c>
      <c r="K11" s="12">
        <f t="shared" si="0"/>
        <v>72000</v>
      </c>
    </row>
    <row r="12" spans="2:14" x14ac:dyDescent="0.25">
      <c r="B12" s="15" t="s">
        <v>33</v>
      </c>
      <c r="C12" s="16">
        <f>AVERAGE(G14:K14)</f>
        <v>439200</v>
      </c>
      <c r="E12" s="7" t="s">
        <v>34</v>
      </c>
      <c r="F12" s="12">
        <f>55000</f>
        <v>55000</v>
      </c>
      <c r="G12" s="12">
        <f>55000</f>
        <v>55000</v>
      </c>
      <c r="H12" s="12">
        <f>55000</f>
        <v>55000</v>
      </c>
      <c r="I12" s="12">
        <f>55000</f>
        <v>55000</v>
      </c>
      <c r="J12" s="12">
        <f>55000</f>
        <v>55000</v>
      </c>
      <c r="K12" s="12">
        <f>55000</f>
        <v>55000</v>
      </c>
    </row>
    <row r="13" spans="2:14" x14ac:dyDescent="0.25">
      <c r="B13" s="17"/>
      <c r="C13" s="18"/>
      <c r="E13" s="7" t="s">
        <v>35</v>
      </c>
      <c r="F13" s="12"/>
      <c r="G13" s="12"/>
      <c r="H13" s="12"/>
      <c r="I13" s="12">
        <f>58000+20000</f>
        <v>78000</v>
      </c>
      <c r="J13" s="12">
        <f>58000+20000</f>
        <v>78000</v>
      </c>
      <c r="K13" s="12">
        <f>58000+20000</f>
        <v>78000</v>
      </c>
    </row>
    <row r="14" spans="2:14" ht="15.75" thickBot="1" x14ac:dyDescent="0.3">
      <c r="B14" s="19"/>
      <c r="C14" s="20"/>
      <c r="F14" s="21">
        <f>F10+(F11*1)+(F12*2)</f>
        <v>278000</v>
      </c>
      <c r="G14" s="21">
        <f>G10+(G11*1)+(G12*4)</f>
        <v>388000</v>
      </c>
      <c r="H14" s="21">
        <f>H10+(H11*3)+(H12*2)</f>
        <v>422000</v>
      </c>
      <c r="I14" s="21">
        <f>I10+(I11*4)+(I13*1)</f>
        <v>462000</v>
      </c>
      <c r="J14" s="21">
        <f>J10+(J11*4)+(J13*1)</f>
        <v>462000</v>
      </c>
      <c r="K14" s="21">
        <f>K10+(K11*4)+(K13*1)</f>
        <v>462000</v>
      </c>
    </row>
    <row r="15" spans="2:14" ht="19.5" thickBot="1" x14ac:dyDescent="0.35">
      <c r="B15" s="22" t="s">
        <v>36</v>
      </c>
      <c r="C15" s="23">
        <f>SUM(C12:C14)</f>
        <v>439200</v>
      </c>
      <c r="H15" s="24"/>
    </row>
    <row r="17" spans="2:10" ht="18.75" x14ac:dyDescent="0.3">
      <c r="B17" s="1" t="s">
        <v>37</v>
      </c>
      <c r="H17" s="25"/>
    </row>
    <row r="19" spans="2:10" ht="15.75" thickBot="1" x14ac:dyDescent="0.3">
      <c r="B19" s="11" t="s">
        <v>28</v>
      </c>
    </row>
    <row r="20" spans="2:10" ht="16.5" thickBot="1" x14ac:dyDescent="0.3">
      <c r="B20" s="26" t="s">
        <v>30</v>
      </c>
      <c r="C20" s="27">
        <v>2026</v>
      </c>
      <c r="D20" s="28" t="s">
        <v>38</v>
      </c>
      <c r="E20" s="28" t="s">
        <v>39</v>
      </c>
      <c r="F20" s="28" t="s">
        <v>40</v>
      </c>
      <c r="G20" s="28" t="s">
        <v>41</v>
      </c>
      <c r="H20" s="27">
        <v>2026</v>
      </c>
      <c r="I20" s="27">
        <v>2027</v>
      </c>
      <c r="J20" s="14" t="s">
        <v>42</v>
      </c>
    </row>
    <row r="21" spans="2:10" x14ac:dyDescent="0.25">
      <c r="B21" s="29" t="s">
        <v>43</v>
      </c>
      <c r="C21" s="30">
        <f t="shared" ref="C21:I21" si="1">SUM(C22:C26)</f>
        <v>2160000</v>
      </c>
      <c r="D21" s="30">
        <f t="shared" si="1"/>
        <v>0</v>
      </c>
      <c r="E21" s="30">
        <f t="shared" si="1"/>
        <v>210000</v>
      </c>
      <c r="F21" s="30">
        <f t="shared" si="1"/>
        <v>2374000</v>
      </c>
      <c r="G21" s="30">
        <f t="shared" si="1"/>
        <v>414000</v>
      </c>
      <c r="H21" s="30">
        <f t="shared" si="1"/>
        <v>0</v>
      </c>
      <c r="I21" s="31">
        <f t="shared" si="1"/>
        <v>0</v>
      </c>
      <c r="J21" s="32">
        <f>C21+H21+I21</f>
        <v>2160000</v>
      </c>
    </row>
    <row r="22" spans="2:10" x14ac:dyDescent="0.25">
      <c r="B22" s="17" t="s">
        <v>44</v>
      </c>
      <c r="C22" s="33">
        <f>SUM(D22:G22)</f>
        <v>2160000</v>
      </c>
      <c r="D22" s="33"/>
      <c r="E22" s="33">
        <f>4*40000</f>
        <v>160000</v>
      </c>
      <c r="F22" s="33">
        <f>4*500000</f>
        <v>2000000</v>
      </c>
      <c r="G22" s="33"/>
      <c r="H22" s="33"/>
      <c r="I22" s="33"/>
      <c r="J22" s="34">
        <f>C22+H22+I22</f>
        <v>2160000</v>
      </c>
    </row>
    <row r="23" spans="2:10" x14ac:dyDescent="0.25">
      <c r="B23" s="17" t="s">
        <v>45</v>
      </c>
      <c r="C23" s="33"/>
      <c r="D23" s="33"/>
      <c r="E23" s="33">
        <f>50000</f>
        <v>50000</v>
      </c>
      <c r="F23" s="33">
        <v>80000</v>
      </c>
      <c r="G23" s="33">
        <v>120000</v>
      </c>
      <c r="H23" s="33"/>
      <c r="I23" s="35"/>
      <c r="J23" s="34"/>
    </row>
    <row r="24" spans="2:10" x14ac:dyDescent="0.25">
      <c r="B24" s="17" t="s">
        <v>20</v>
      </c>
      <c r="C24" s="33"/>
      <c r="D24" s="33"/>
      <c r="E24" s="33"/>
      <c r="F24" s="33"/>
      <c r="G24" s="33"/>
      <c r="H24" s="33"/>
      <c r="I24" s="35"/>
      <c r="J24" s="34"/>
    </row>
    <row r="25" spans="2:10" x14ac:dyDescent="0.25">
      <c r="B25" s="17" t="s">
        <v>23</v>
      </c>
      <c r="C25" s="33"/>
      <c r="D25" s="33"/>
      <c r="E25" s="33"/>
      <c r="F25" s="33">
        <f>3*98000</f>
        <v>294000</v>
      </c>
      <c r="G25" s="33">
        <f>3*98000</f>
        <v>294000</v>
      </c>
      <c r="H25" s="33"/>
      <c r="I25" s="35"/>
      <c r="J25" s="34"/>
    </row>
    <row r="26" spans="2:10" ht="15.75" thickBot="1" x14ac:dyDescent="0.3">
      <c r="B26" s="17"/>
      <c r="C26" s="33"/>
      <c r="D26" s="33"/>
      <c r="E26" s="33"/>
      <c r="F26" s="33"/>
      <c r="G26" s="33"/>
      <c r="H26" s="33"/>
      <c r="I26" s="35"/>
      <c r="J26" s="34">
        <f>C26+H26+I26</f>
        <v>0</v>
      </c>
    </row>
    <row r="27" spans="2:10" x14ac:dyDescent="0.25">
      <c r="B27" s="29" t="s">
        <v>46</v>
      </c>
      <c r="C27" s="36">
        <f t="shared" ref="C27:I27" si="2">SUM(C28:C33)</f>
        <v>6392000</v>
      </c>
      <c r="D27" s="36">
        <f t="shared" si="2"/>
        <v>0</v>
      </c>
      <c r="E27" s="36">
        <f t="shared" si="2"/>
        <v>1494400</v>
      </c>
      <c r="F27" s="36">
        <f t="shared" si="2"/>
        <v>2948800</v>
      </c>
      <c r="G27" s="36">
        <f t="shared" si="2"/>
        <v>1948800</v>
      </c>
      <c r="H27" s="36">
        <f t="shared" si="2"/>
        <v>0</v>
      </c>
      <c r="I27" s="31">
        <f t="shared" si="2"/>
        <v>0</v>
      </c>
      <c r="J27" s="37">
        <f>C27+H27+I27</f>
        <v>6392000</v>
      </c>
    </row>
    <row r="28" spans="2:10" x14ac:dyDescent="0.25">
      <c r="B28" s="17" t="s">
        <v>47</v>
      </c>
      <c r="C28" s="33">
        <f t="shared" ref="C28:C35" si="3">SUM(D28:G28)</f>
        <v>3860000</v>
      </c>
      <c r="D28" s="33"/>
      <c r="E28" s="38">
        <f>F14+G14+H14</f>
        <v>1088000</v>
      </c>
      <c r="F28" s="33">
        <f>I14+J14+K14</f>
        <v>1386000</v>
      </c>
      <c r="G28" s="33">
        <f>F28</f>
        <v>1386000</v>
      </c>
      <c r="H28" s="33"/>
      <c r="I28" s="35"/>
      <c r="J28" s="34">
        <f>C28+H28+I28</f>
        <v>3860000</v>
      </c>
    </row>
    <row r="29" spans="2:10" x14ac:dyDescent="0.25">
      <c r="B29" s="17" t="s">
        <v>48</v>
      </c>
      <c r="C29" s="33">
        <f>C28*30%</f>
        <v>1158000</v>
      </c>
      <c r="D29" s="33"/>
      <c r="E29" s="33">
        <f>E28*30%</f>
        <v>326400</v>
      </c>
      <c r="F29" s="33">
        <f>F28*30%</f>
        <v>415800</v>
      </c>
      <c r="G29" s="33">
        <f t="shared" ref="G29:I29" si="4">G28*30%</f>
        <v>415800</v>
      </c>
      <c r="H29" s="33">
        <f t="shared" si="4"/>
        <v>0</v>
      </c>
      <c r="I29" s="33">
        <f t="shared" si="4"/>
        <v>0</v>
      </c>
      <c r="J29" s="34">
        <f t="shared" ref="J29:J33" si="5">C29+H29+I29</f>
        <v>1158000</v>
      </c>
    </row>
    <row r="30" spans="2:10" x14ac:dyDescent="0.25">
      <c r="B30" s="17" t="s">
        <v>49</v>
      </c>
      <c r="C30" s="33">
        <f>D30+E30+F30+G30</f>
        <v>0</v>
      </c>
      <c r="D30" s="39"/>
      <c r="E30" s="39"/>
      <c r="F30" s="39"/>
      <c r="G30" s="39"/>
      <c r="H30" s="39"/>
      <c r="I30" s="35"/>
      <c r="J30" s="34">
        <f t="shared" si="5"/>
        <v>0</v>
      </c>
    </row>
    <row r="31" spans="2:10" x14ac:dyDescent="0.25">
      <c r="B31" s="17" t="s">
        <v>50</v>
      </c>
      <c r="C31" s="33">
        <f t="shared" ref="C31:C33" si="6">D31+E31+F31+G31</f>
        <v>0</v>
      </c>
      <c r="D31" s="39"/>
      <c r="E31" s="39"/>
      <c r="F31" s="39"/>
      <c r="G31" s="39"/>
      <c r="H31" s="39"/>
      <c r="I31" s="35"/>
      <c r="J31" s="34">
        <f t="shared" si="5"/>
        <v>0</v>
      </c>
    </row>
    <row r="32" spans="2:10" x14ac:dyDescent="0.25">
      <c r="B32" s="17" t="s">
        <v>51</v>
      </c>
      <c r="C32" s="33">
        <f t="shared" si="6"/>
        <v>1374000</v>
      </c>
      <c r="D32" s="39"/>
      <c r="E32" s="39">
        <f>E22*0.5</f>
        <v>80000</v>
      </c>
      <c r="F32" s="39">
        <f>F22*0.5+(F25*0.5)</f>
        <v>1147000</v>
      </c>
      <c r="G32" s="39">
        <f>G22*0.5+(G25*0.5)</f>
        <v>147000</v>
      </c>
      <c r="H32" s="39"/>
      <c r="I32" s="35"/>
      <c r="J32" s="34">
        <f t="shared" si="5"/>
        <v>1374000</v>
      </c>
    </row>
    <row r="33" spans="2:13" x14ac:dyDescent="0.25">
      <c r="B33" s="17"/>
      <c r="C33" s="33">
        <f t="shared" si="6"/>
        <v>0</v>
      </c>
      <c r="D33" s="39"/>
      <c r="E33" s="39"/>
      <c r="F33" s="39"/>
      <c r="G33" s="39"/>
      <c r="H33" s="39"/>
      <c r="I33" s="35"/>
      <c r="J33" s="34">
        <f t="shared" si="5"/>
        <v>0</v>
      </c>
    </row>
    <row r="34" spans="2:13" ht="15.75" thickBot="1" x14ac:dyDescent="0.3">
      <c r="B34" s="40" t="s">
        <v>52</v>
      </c>
      <c r="C34" s="41">
        <f t="shared" ref="C34:I34" si="7">C21-C27</f>
        <v>-4232000</v>
      </c>
      <c r="D34" s="41">
        <f t="shared" si="7"/>
        <v>0</v>
      </c>
      <c r="E34" s="41">
        <f t="shared" si="7"/>
        <v>-1284400</v>
      </c>
      <c r="F34" s="41">
        <f t="shared" si="7"/>
        <v>-574800</v>
      </c>
      <c r="G34" s="41">
        <f t="shared" si="7"/>
        <v>-1534800</v>
      </c>
      <c r="H34" s="41">
        <f t="shared" si="7"/>
        <v>0</v>
      </c>
      <c r="I34" s="42">
        <f t="shared" si="7"/>
        <v>0</v>
      </c>
      <c r="J34" s="43">
        <f>C34+H34+I34</f>
        <v>-4232000</v>
      </c>
      <c r="K34" s="38"/>
      <c r="M34" s="38"/>
    </row>
    <row r="35" spans="2:13" ht="15.75" thickBot="1" x14ac:dyDescent="0.3">
      <c r="B35" s="44" t="s">
        <v>53</v>
      </c>
      <c r="C35" s="45">
        <f t="shared" si="3"/>
        <v>0</v>
      </c>
      <c r="D35" s="45"/>
      <c r="E35" s="45"/>
      <c r="F35" s="45"/>
      <c r="G35" s="45"/>
      <c r="H35" s="45"/>
      <c r="I35" s="46"/>
      <c r="J35" s="47">
        <f>C35+H35+I35</f>
        <v>0</v>
      </c>
      <c r="K35" s="38"/>
      <c r="M35" s="38"/>
    </row>
    <row r="36" spans="2:13" ht="15.75" thickBot="1" x14ac:dyDescent="0.3">
      <c r="B36" s="44" t="s">
        <v>54</v>
      </c>
      <c r="C36" s="45">
        <f>C34-C35</f>
        <v>-4232000</v>
      </c>
      <c r="D36" s="45"/>
      <c r="E36" s="45"/>
      <c r="F36" s="45"/>
      <c r="G36" s="45"/>
      <c r="H36" s="45">
        <f>H34-H35</f>
        <v>0</v>
      </c>
      <c r="I36" s="45">
        <f>I34-I35</f>
        <v>0</v>
      </c>
      <c r="J36" s="48">
        <f>C36+H36+I36</f>
        <v>-4232000</v>
      </c>
    </row>
    <row r="37" spans="2:13" ht="15.75" thickBot="1" x14ac:dyDescent="0.3">
      <c r="B37" s="49" t="s">
        <v>55</v>
      </c>
      <c r="C37" s="50"/>
      <c r="D37" s="50"/>
      <c r="E37" s="50"/>
      <c r="F37" s="50"/>
      <c r="G37" s="50"/>
      <c r="H37" s="50"/>
      <c r="I37" s="51"/>
      <c r="J37" s="52">
        <f>J36-C15</f>
        <v>-4671200</v>
      </c>
    </row>
    <row r="42" spans="2:13" ht="18.75" x14ac:dyDescent="0.3">
      <c r="B42" s="1" t="s">
        <v>56</v>
      </c>
    </row>
    <row r="44" spans="2:13" ht="18.75" x14ac:dyDescent="0.3">
      <c r="B44" s="3" t="s">
        <v>57</v>
      </c>
      <c r="C44" s="4" t="s">
        <v>58</v>
      </c>
    </row>
    <row r="45" spans="2:13" ht="18.75" x14ac:dyDescent="0.3">
      <c r="B45" s="3" t="s">
        <v>59</v>
      </c>
      <c r="C45" s="4"/>
    </row>
    <row r="46" spans="2:13" ht="15.75" thickBot="1" x14ac:dyDescent="0.3"/>
    <row r="47" spans="2:13" ht="16.5" thickBot="1" x14ac:dyDescent="0.3">
      <c r="B47" s="13" t="s">
        <v>60</v>
      </c>
      <c r="C47" s="14" t="s">
        <v>61</v>
      </c>
    </row>
    <row r="48" spans="2:13" x14ac:dyDescent="0.25">
      <c r="B48" s="15"/>
      <c r="C48" s="16"/>
    </row>
    <row r="49" spans="2:3" x14ac:dyDescent="0.25">
      <c r="B49" s="17"/>
      <c r="C49" s="18"/>
    </row>
    <row r="50" spans="2:3" ht="15.75" thickBot="1" x14ac:dyDescent="0.3">
      <c r="B50" s="19"/>
      <c r="C5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Дворяк Александра</dc:creator>
  <cp:lastModifiedBy>Блохина Елизавета</cp:lastModifiedBy>
  <dcterms:created xsi:type="dcterms:W3CDTF">2026-10-16T05:11:36Z</dcterms:created>
  <dcterms:modified xsi:type="dcterms:W3CDTF">2026-10-23T05:02:36Z</dcterms:modified>
</cp:coreProperties>
</file>