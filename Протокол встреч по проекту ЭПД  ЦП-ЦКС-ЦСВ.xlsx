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60" yWindow="2260" windowWidth="28240" windowHeight="17240" tabRatio="600" firstSheet="0" activeTab="0" autoFilterDateGrouping="1"/>
  </bookViews>
  <sheets>
    <sheet xmlns:r="http://schemas.openxmlformats.org/officeDocument/2006/relationships" name="27.08.2026" sheetId="1" state="visible" r:id="rId1"/>
    <sheet xmlns:r="http://schemas.openxmlformats.org/officeDocument/2006/relationships" name="20.08.2026" sheetId="2" state="visible" r:id="rId2"/>
    <sheet xmlns:r="http://schemas.openxmlformats.org/officeDocument/2006/relationships" name="13.08.2026 (2)" sheetId="3" state="visible" r:id="rId3"/>
    <sheet xmlns:r="http://schemas.openxmlformats.org/officeDocument/2006/relationships" name="24.07.2026" sheetId="4" state="visible" r:id="rId4"/>
    <sheet xmlns:r="http://schemas.openxmlformats.org/officeDocument/2006/relationships" name="06.082026" sheetId="5" state="visible" r:id="rId5"/>
    <sheet xmlns:r="http://schemas.openxmlformats.org/officeDocument/2006/relationships" name="30.07.2026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dd\.mm"/>
    <numFmt numFmtId="165" formatCode="dd\.mm\.yyyy"/>
    <numFmt numFmtId="166" formatCode="0.0"/>
    <numFmt numFmtId="167" formatCode="dd\.mm\.yyyy h:mm"/>
    <numFmt numFmtId="168" formatCode="0.0%"/>
  </numFmts>
  <fonts count="34">
    <font>
      <name val="Arimo"/>
      <family val="2"/>
      <color theme="1"/>
      <sz val="10"/>
    </font>
    <font>
      <b val="1"/>
      <sz val="15"/>
    </font>
    <font>
      <b val="1"/>
      <sz val="13"/>
    </font>
    <font>
      <b val="1"/>
    </font>
    <font>
      <b val="1"/>
      <sz val="16"/>
    </font>
    <font>
      <sz val="16"/>
    </font>
    <font>
      <name val="Arimo"/>
      <family val="2"/>
      <color theme="1"/>
      <sz val="12"/>
    </font>
    <font>
      <name val="Arimo"/>
      <family val="2"/>
      <color theme="1"/>
      <sz val="11"/>
    </font>
    <font>
      <sz val="12"/>
    </font>
    <font>
      <sz val="11"/>
    </font>
    <font>
      <sz val="10"/>
    </font>
    <font>
      <sz val="14"/>
    </font>
    <font>
      <b val="1"/>
      <sz val="11"/>
    </font>
    <font>
      <b val="1"/>
      <sz val="12"/>
    </font>
    <font>
      <b val="1"/>
      <sz val="14"/>
    </font>
    <font>
      <b val="1"/>
      <sz val="400"/>
    </font>
    <font>
      <sz val="12"/>
    </font>
    <font>
      <color rgb="FF2F69C7"/>
      <sz val="12"/>
      <u val="single"/>
    </font>
    <font>
      <sz val="12"/>
    </font>
    <font>
      <name val="Arial"/>
      <sz val="10"/>
    </font>
    <font>
      <color rgb="FF0066CC"/>
      <sz val="10"/>
      <u val="single"/>
    </font>
    <font>
      <name val="Arial"/>
      <color rgb="FF0563C1"/>
      <sz val="10"/>
      <u val="single"/>
    </font>
    <font>
      <color rgb="FF0000FF"/>
      <sz val="10"/>
      <u val="single"/>
    </font>
    <font>
      <color rgb="FF0066CC"/>
      <sz val="10"/>
    </font>
    <font>
      <name val="Arial"/>
      <color rgb="FF0563C1"/>
      <sz val="10"/>
    </font>
    <font>
      <color rgb="FF0000FF"/>
      <sz val="10"/>
    </font>
    <font>
      <name val="Arial"/>
      <color rgb="FF2F69C7"/>
      <sz val="10"/>
      <u val="single"/>
    </font>
    <font>
      <name val="Arial"/>
      <sz val="10"/>
    </font>
    <font/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name val="Calibri"/>
      <sz val="12"/>
    </font>
    <font>
      <name val="Calibri"/>
      <i val="1"/>
      <color rgb="00666666"/>
      <sz val="10"/>
    </font>
  </fonts>
  <fills count="23">
    <fill>
      <patternFill/>
    </fill>
    <fill>
      <patternFill patternType="gray125"/>
    </fill>
    <fill>
      <patternFill patternType="solid">
        <fgColor rgb="FFFF9900"/>
      </patternFill>
    </fill>
    <fill>
      <patternFill patternType="solid">
        <fgColor rgb="FFC9DAF8"/>
      </patternFill>
    </fill>
    <fill>
      <patternFill patternType="solid">
        <fgColor rgb="FFECECEC"/>
      </patternFill>
    </fill>
    <fill>
      <patternFill patternType="solid">
        <fgColor rgb="FF8BC34A"/>
      </patternFill>
    </fill>
    <fill>
      <patternFill patternType="solid">
        <fgColor rgb="FFFFFFFF"/>
      </patternFill>
    </fill>
    <fill>
      <patternFill patternType="solid">
        <fgColor rgb="FFE2EFD9"/>
      </patternFill>
    </fill>
    <fill>
      <patternFill patternType="solid">
        <f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A8DCFF"/>
        <bgColor rgb="FFA8DCFF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8BC34A"/>
        <bgColor rgb="FF8BC34A"/>
      </patternFill>
    </fill>
    <fill>
      <patternFill patternType="solid">
        <fgColor rgb="FFECECEC"/>
        <bgColor rgb="FFECECEC"/>
      </patternFill>
    </fill>
    <fill>
      <patternFill patternType="solid">
        <fgColor rgb="FFFF6964"/>
        <bgColor rgb="FFFF6964"/>
      </patternFill>
    </fill>
    <fill>
      <patternFill patternType="solid">
        <fgColor rgb="FFF4B083"/>
      </patternFill>
    </fill>
    <fill>
      <patternFill patternType="solid">
        <fgColor rgb="00ECECEC"/>
      </patternFill>
    </fill>
    <fill>
      <patternFill patternType="solid">
        <fgColor rgb="008BC34A"/>
      </patternFill>
    </fill>
    <fill>
      <patternFill patternType="solid">
        <fgColor rgb="00FFFFFF"/>
      </patternFill>
    </fill>
    <fill>
      <patternFill patternType="solid">
        <fgColor rgb="00E2EF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/>
    </border>
    <border>
      <left style="thin">
        <color rgb="FF000000"/>
      </left>
      <right style="thin"/>
      <bottom style="thin">
        <color rgb="FF000000"/>
      </bottom>
    </border>
    <border>
      <left style="thin"/>
      <right style="thin"/>
      <top style="thin"/>
      <bottom style="thin"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/>
      <right style="thin"/>
      <top style="thin"/>
      <bottom style="thin">
        <color rgb="FF000000"/>
      </bottom>
    </border>
    <border>
      <left style="thin"/>
      <right style="thin"/>
      <top>
        <color rgb="FF000000"/>
      </top>
      <bottom>
        <color rgb="FF000000"/>
      </bottom>
    </border>
    <border>
      <left style="thin"/>
      <right style="thin"/>
      <top>
        <color rgb="FF000000"/>
      </top>
      <bottom style="thin"/>
    </border>
    <border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/>
    </border>
    <border>
      <bottom style="thin"/>
    </border>
    <border>
      <left/>
      <right/>
      <top/>
      <bottom style="thin"/>
    </border>
    <border>
      <left/>
      <right style="thin">
        <color rgb="FF000000"/>
      </right>
      <top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 style="thin"/>
      <top/>
      <bottom style="thin"/>
    </border>
    <border>
      <left style="thin">
        <color rgb="FF000000"/>
      </left>
      <right/>
      <top/>
      <bottom style="thin"/>
    </border>
    <border>
      <left/>
      <right style="thin">
        <color rgb="FF000000"/>
      </right>
      <top/>
      <bottom/>
    </border>
    <border>
      <left style="thin"/>
      <right/>
      <top style="thin"/>
      <bottom style="thin"/>
    </border>
    <border>
      <left style="thin">
        <color rgb="FF000000"/>
      </left>
      <right style="thin"/>
      <bottom style="thin"/>
    </border>
    <border>
      <left/>
      <right style="thin"/>
      <top style="thin"/>
      <bottom style="thin"/>
    </border>
    <border>
      <left style="thin">
        <color rgb="FF000000"/>
      </left>
      <right/>
      <top/>
      <bottom/>
    </border>
    <border>
      <left/>
      <right/>
      <top style="thin"/>
      <bottom style="thin"/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>
        <color rgb="FF000000"/>
      </top>
      <bottom style="thin"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/>
      <top/>
      <bottom/>
    </border>
    <border>
      <left/>
      <right style="thin"/>
      <top/>
      <bottom/>
      <diagonal/>
    </border>
    <border>
      <left/>
      <right style="thin">
        <color rgb="FF000000"/>
      </right>
      <top/>
      <bottom style="thin"/>
      <diagonal/>
    </border>
    <border>
      <left style="thin">
        <color rgb="FF000000"/>
      </left>
      <right style="thin">
        <color rgb="FF000000"/>
      </right>
      <top/>
      <bottom style="thin"/>
    </border>
    <border>
      <left/>
      <right/>
      <top/>
      <bottom style="thin"/>
      <diagonal/>
    </border>
    <border/>
    <border>
      <right style="thin"/>
      <bottom style="thin"/>
    </border>
    <border>
      <left/>
      <right style="thin"/>
      <top/>
      <bottom style="thin"/>
      <diagonal/>
    </border>
    <border>
      <right/>
      <bottom/>
    </border>
  </borders>
  <cellStyleXfs count="1">
    <xf numFmtId="0" fontId="0" fillId="0" borderId="0"/>
  </cellStyleXfs>
  <cellXfs count="749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0" fillId="3" borderId="2" applyAlignment="1" pivotButton="0" quotePrefix="0" xfId="0">
      <alignment vertical="bottom"/>
    </xf>
    <xf numFmtId="0" fontId="2" fillId="4" borderId="3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3" fillId="5" borderId="4" applyAlignment="1" pivotButton="0" quotePrefix="0" xfId="0">
      <alignment horizontal="center" vertical="bottom"/>
    </xf>
    <xf numFmtId="164" fontId="0" fillId="6" borderId="3" applyAlignment="1" pivotButton="0" quotePrefix="0" xfId="0">
      <alignment horizontal="center" vertical="bottom"/>
    </xf>
    <xf numFmtId="0" fontId="0" fillId="6" borderId="4" applyAlignment="1" pivotButton="0" quotePrefix="0" xfId="0">
      <alignment vertical="bottom"/>
    </xf>
    <xf numFmtId="0" fontId="0" fillId="6" borderId="4" applyAlignment="1" pivotButton="0" quotePrefix="0" xfId="0">
      <alignment horizontal="center" vertical="bottom"/>
    </xf>
    <xf numFmtId="0" fontId="0" fillId="6" borderId="4" applyAlignment="1" pivotButton="0" quotePrefix="0" xfId="0">
      <alignment vertical="bottom"/>
    </xf>
    <xf numFmtId="164" fontId="0" fillId="7" borderId="3" applyAlignment="1" pivotButton="0" quotePrefix="0" xfId="0">
      <alignment horizontal="center" vertical="bottom"/>
    </xf>
    <xf numFmtId="0" fontId="0" fillId="7" borderId="4" applyAlignment="1" pivotButton="0" quotePrefix="0" xfId="0">
      <alignment vertical="bottom"/>
    </xf>
    <xf numFmtId="0" fontId="0" fillId="7" borderId="4" applyAlignment="1" pivotButton="0" quotePrefix="0" xfId="0">
      <alignment horizontal="center" vertical="bottom"/>
    </xf>
    <xf numFmtId="0" fontId="0" fillId="7" borderId="4" applyAlignment="1" pivotButton="0" quotePrefix="0" xfId="0">
      <alignment vertical="bottom"/>
    </xf>
    <xf numFmtId="0" fontId="0" fillId="5" borderId="4" applyAlignment="1" pivotButton="0" quotePrefix="0" xfId="0">
      <alignment vertical="bottom"/>
    </xf>
    <xf numFmtId="165" fontId="0" fillId="6" borderId="4" applyAlignment="1" pivotButton="0" quotePrefix="0" xfId="0">
      <alignment horizontal="center" vertical="bottom"/>
    </xf>
    <xf numFmtId="165" fontId="0" fillId="7" borderId="4" applyAlignment="1" pivotButton="0" quotePrefix="0" xfId="0">
      <alignment horizontal="center" vertical="bottom"/>
    </xf>
    <xf numFmtId="0" fontId="0" fillId="8" borderId="4" applyAlignment="1" pivotButton="0" quotePrefix="0" xfId="0">
      <alignment horizontal="center" vertical="bottom"/>
    </xf>
    <xf numFmtId="0" fontId="0" fillId="7" borderId="4" applyAlignment="1" pivotButton="0" quotePrefix="0" xfId="0">
      <alignment vertical="top"/>
    </xf>
    <xf numFmtId="0" fontId="0" fillId="0" borderId="0" applyAlignment="1" pivotButton="0" quotePrefix="0" xfId="0">
      <alignment vertical="bottom"/>
    </xf>
    <xf numFmtId="0" fontId="1" fillId="2" borderId="5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0" fontId="2" fillId="4" borderId="8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10" pivotButton="0" quotePrefix="0" xfId="0"/>
    <xf numFmtId="0" fontId="1" fillId="9" borderId="5" applyAlignment="1" pivotButton="0" quotePrefix="0" xfId="0">
      <alignment horizontal="center" vertical="bottom"/>
    </xf>
    <xf numFmtId="0" fontId="0" fillId="9" borderId="6" pivotButton="0" quotePrefix="0" xfId="0"/>
    <xf numFmtId="0" fontId="0" fillId="9" borderId="7" pivotButton="0" quotePrefix="0" xfId="0"/>
    <xf numFmtId="0" fontId="1" fillId="10" borderId="5" applyAlignment="1" pivotButton="0" quotePrefix="0" xfId="0">
      <alignment horizontal="center" vertical="bottom"/>
    </xf>
    <xf numFmtId="0" fontId="0" fillId="10" borderId="6" pivotButton="0" quotePrefix="0" xfId="0"/>
    <xf numFmtId="0" fontId="0" fillId="10" borderId="7" pivotButton="0" quotePrefix="0" xfId="0"/>
    <xf numFmtId="0" fontId="0" fillId="11" borderId="4" applyAlignment="1" pivotButton="0" quotePrefix="0" xfId="0">
      <alignment horizontal="center" vertical="bottom"/>
    </xf>
    <xf numFmtId="0" fontId="0" fillId="12" borderId="4" applyAlignment="1" pivotButton="0" quotePrefix="0" xfId="0">
      <alignment horizontal="center" vertical="bottom"/>
    </xf>
    <xf numFmtId="0" fontId="4" fillId="10" borderId="5" applyAlignment="1" pivotButton="0" quotePrefix="0" xfId="0">
      <alignment horizontal="center" vertical="bottom"/>
    </xf>
    <xf numFmtId="0" fontId="5" fillId="10" borderId="6" pivotButton="0" quotePrefix="0" xfId="0"/>
    <xf numFmtId="0" fontId="5" fillId="10" borderId="7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5" borderId="11" applyAlignment="1" pivotButton="0" quotePrefix="0" xfId="0">
      <alignment horizontal="center" vertical="bottom"/>
    </xf>
    <xf numFmtId="164" fontId="0" fillId="6" borderId="12" applyAlignment="1" pivotButton="0" quotePrefix="0" xfId="0">
      <alignment horizontal="center" vertical="bottom"/>
    </xf>
    <xf numFmtId="0" fontId="7" fillId="0" borderId="13" applyAlignment="1" pivotButton="0" quotePrefix="0" xfId="0">
      <alignment wrapText="1"/>
    </xf>
    <xf numFmtId="0" fontId="0" fillId="0" borderId="1" pivotButton="0" quotePrefix="0" xfId="0"/>
    <xf numFmtId="0" fontId="0" fillId="0" borderId="14" pivotButton="0" quotePrefix="0" xfId="0"/>
    <xf numFmtId="0" fontId="8" fillId="0" borderId="1" pivotButton="0" quotePrefix="0" xfId="0"/>
    <xf numFmtId="0" fontId="8" fillId="0" borderId="14" pivotButton="0" quotePrefix="0" xfId="0"/>
    <xf numFmtId="0" fontId="9" fillId="0" borderId="1" pivotButton="0" quotePrefix="0" xfId="0"/>
    <xf numFmtId="0" fontId="9" fillId="0" borderId="14" pivotButton="0" quotePrefix="0" xfId="0"/>
    <xf numFmtId="0" fontId="10" fillId="0" borderId="1" pivotButton="0" quotePrefix="0" xfId="0"/>
    <xf numFmtId="0" fontId="10" fillId="0" borderId="14" pivotButton="0" quotePrefix="0" xfId="0"/>
    <xf numFmtId="0" fontId="10" fillId="0" borderId="1" applyAlignment="1" pivotButton="0" quotePrefix="0" xfId="0">
      <alignment wrapText="1"/>
    </xf>
    <xf numFmtId="0" fontId="10" fillId="0" borderId="14" applyAlignment="1" pivotButton="0" quotePrefix="0" xfId="0">
      <alignment wrapText="1"/>
    </xf>
    <xf numFmtId="164" fontId="0" fillId="7" borderId="12" applyAlignment="1" pivotButton="0" quotePrefix="0" xfId="0">
      <alignment horizontal="center" vertical="bottom"/>
    </xf>
    <xf numFmtId="0" fontId="10" fillId="0" borderId="15" applyAlignment="1" pivotButton="0" quotePrefix="0" xfId="0">
      <alignment wrapText="1"/>
    </xf>
    <xf numFmtId="0" fontId="10" fillId="0" borderId="16" applyAlignment="1" pivotButton="0" quotePrefix="0" xfId="0">
      <alignment wrapText="1"/>
    </xf>
    <xf numFmtId="0" fontId="10" fillId="0" borderId="17" applyAlignment="1" pivotButton="0" quotePrefix="0" xfId="0">
      <alignment wrapText="1"/>
    </xf>
    <xf numFmtId="0" fontId="10" fillId="0" borderId="13" applyAlignment="1" pivotButton="0" quotePrefix="0" xfId="0">
      <alignment wrapText="1"/>
    </xf>
    <xf numFmtId="0" fontId="11" fillId="0" borderId="14" pivotButton="0" quotePrefix="0" xfId="0"/>
    <xf numFmtId="0" fontId="0" fillId="0" borderId="1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11" fillId="0" borderId="14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8" fillId="0" borderId="14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9" fillId="0" borderId="14" applyAlignment="1" pivotButton="0" quotePrefix="0" xfId="0">
      <alignment wrapText="1"/>
    </xf>
    <xf numFmtId="0" fontId="0" fillId="6" borderId="11" applyAlignment="1" pivotButton="0" quotePrefix="0" xfId="0">
      <alignment horizontal="center" vertical="bottom"/>
    </xf>
    <xf numFmtId="0" fontId="0" fillId="6" borderId="4" applyAlignment="1" pivotButton="0" quotePrefix="0" xfId="0">
      <alignment vertical="bottom" wrapText="1"/>
    </xf>
    <xf numFmtId="0" fontId="0" fillId="6" borderId="9" applyAlignment="1" pivotButton="0" quotePrefix="0" xfId="0">
      <alignment vertical="bottom"/>
    </xf>
    <xf numFmtId="0" fontId="0" fillId="6" borderId="10" applyAlignment="1" pivotButton="0" quotePrefix="0" xfId="0">
      <alignment vertical="bottom"/>
    </xf>
    <xf numFmtId="0" fontId="0" fillId="6" borderId="9" applyAlignment="1" pivotButton="0" quotePrefix="0" xfId="0">
      <alignment horizontal="center" vertical="bottom"/>
    </xf>
    <xf numFmtId="164" fontId="0" fillId="12" borderId="12" applyAlignment="1" pivotButton="0" quotePrefix="0" xfId="0">
      <alignment horizontal="center" vertical="bottom"/>
    </xf>
    <xf numFmtId="0" fontId="10" fillId="12" borderId="13" applyAlignment="1" pivotButton="0" quotePrefix="0" xfId="0">
      <alignment wrapText="1"/>
    </xf>
    <xf numFmtId="165" fontId="0" fillId="12" borderId="4" applyAlignment="1" pivotButton="0" quotePrefix="0" xfId="0">
      <alignment horizontal="center" vertical="bottom"/>
    </xf>
    <xf numFmtId="0" fontId="0" fillId="12" borderId="0" pivotButton="0" quotePrefix="0" xfId="0"/>
    <xf numFmtId="0" fontId="0" fillId="12" borderId="9" applyAlignment="1" pivotButton="0" quotePrefix="0" xfId="0">
      <alignment horizontal="center" vertical="bottom"/>
    </xf>
    <xf numFmtId="0" fontId="0" fillId="12" borderId="10" applyAlignment="1" pivotButton="0" quotePrefix="0" xfId="0">
      <alignment vertical="bottom"/>
    </xf>
    <xf numFmtId="0" fontId="0" fillId="12" borderId="4" applyAlignment="1" pivotButton="0" quotePrefix="0" xfId="0">
      <alignment vertical="bottom"/>
    </xf>
    <xf numFmtId="0" fontId="0" fillId="5" borderId="11" applyAlignment="1" pivotButton="0" quotePrefix="0" xfId="0">
      <alignment vertical="bottom"/>
    </xf>
    <xf numFmtId="0" fontId="0" fillId="6" borderId="18" applyAlignment="1" pivotButton="0" quotePrefix="0" xfId="0">
      <alignment horizontal="center" vertical="bottom"/>
    </xf>
    <xf numFmtId="0" fontId="0" fillId="0" borderId="13" pivotButton="0" quotePrefix="0" xfId="0"/>
    <xf numFmtId="0" fontId="0" fillId="12" borderId="18" applyAlignment="1" pivotButton="0" quotePrefix="0" xfId="0">
      <alignment horizontal="center" vertical="bottom"/>
    </xf>
    <xf numFmtId="0" fontId="0" fillId="12" borderId="13" pivotButton="0" quotePrefix="0" xfId="0"/>
    <xf numFmtId="0" fontId="0" fillId="11" borderId="18" applyAlignment="1" pivotButton="0" quotePrefix="0" xfId="0">
      <alignment horizontal="center" vertical="bottom"/>
    </xf>
    <xf numFmtId="0" fontId="0" fillId="6" borderId="13" applyAlignment="1" pivotButton="0" quotePrefix="0" xfId="0">
      <alignment horizontal="center" vertical="bottom"/>
    </xf>
    <xf numFmtId="0" fontId="0" fillId="6" borderId="13" applyAlignment="1" pivotButton="0" quotePrefix="0" xfId="0">
      <alignment vertical="bottom"/>
    </xf>
    <xf numFmtId="0" fontId="0" fillId="12" borderId="13" applyAlignment="1" pivotButton="0" quotePrefix="0" xfId="0">
      <alignment horizontal="center" vertical="bottom"/>
    </xf>
    <xf numFmtId="0" fontId="0" fillId="12" borderId="13" applyAlignment="1" pivotButton="0" quotePrefix="0" xfId="0">
      <alignment vertical="bottom"/>
    </xf>
    <xf numFmtId="0" fontId="10" fillId="12" borderId="13" applyAlignment="1" pivotButton="0" quotePrefix="0" xfId="0">
      <alignment horizontal="center" wrapText="1"/>
    </xf>
    <xf numFmtId="0" fontId="10" fillId="0" borderId="13" applyAlignment="1" pivotButton="0" quotePrefix="0" xfId="0">
      <alignment horizontal="center" wrapText="1"/>
    </xf>
    <xf numFmtId="0" fontId="3" fillId="0" borderId="2" applyAlignment="1" pivotButton="0" quotePrefix="0" xfId="0">
      <alignment horizontal="left"/>
    </xf>
    <xf numFmtId="0" fontId="0" fillId="0" borderId="2" pivotButton="0" quotePrefix="0" xfId="0"/>
    <xf numFmtId="0" fontId="3" fillId="0" borderId="2" pivotButton="0" quotePrefix="0" xfId="0"/>
    <xf numFmtId="165" fontId="3" fillId="0" borderId="2" pivotButton="0" quotePrefix="0" xfId="0"/>
    <xf numFmtId="0" fontId="3" fillId="0" borderId="2" applyAlignment="1" pivotButton="0" quotePrefix="0" xfId="0">
      <alignment horizontal="left" wrapText="1"/>
    </xf>
    <xf numFmtId="0" fontId="0" fillId="0" borderId="2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165" fontId="3" fillId="0" borderId="2" applyAlignment="1" pivotButton="0" quotePrefix="0" xfId="0">
      <alignment wrapText="1"/>
    </xf>
    <xf numFmtId="0" fontId="0" fillId="13" borderId="2" applyAlignment="1" pivotButton="0" quotePrefix="0" xfId="0">
      <alignment wrapText="1"/>
    </xf>
    <xf numFmtId="0" fontId="0" fillId="13" borderId="2" pivotButton="0" quotePrefix="0" xfId="0"/>
    <xf numFmtId="165" fontId="3" fillId="13" borderId="2" applyAlignment="1" pivotButton="0" quotePrefix="0" xfId="0">
      <alignment wrapText="1"/>
    </xf>
    <xf numFmtId="0" fontId="0" fillId="12" borderId="2" applyAlignment="1" pivotButton="0" quotePrefix="0" xfId="0">
      <alignment wrapText="1"/>
    </xf>
    <xf numFmtId="0" fontId="0" fillId="12" borderId="2" pivotButton="0" quotePrefix="0" xfId="0"/>
    <xf numFmtId="165" fontId="3" fillId="12" borderId="2" applyAlignment="1" pivotButton="0" quotePrefix="0" xfId="0">
      <alignment wrapText="1"/>
    </xf>
    <xf numFmtId="0" fontId="3" fillId="12" borderId="2" applyAlignment="1" pivotButton="0" quotePrefix="0" xfId="0">
      <alignment wrapText="1"/>
    </xf>
    <xf numFmtId="164" fontId="0" fillId="14" borderId="3" applyAlignment="1" pivotButton="0" quotePrefix="0" xfId="0">
      <alignment horizontal="center" vertical="bottom"/>
    </xf>
    <xf numFmtId="0" fontId="0" fillId="14" borderId="2" applyAlignment="1" pivotButton="0" quotePrefix="0" xfId="0">
      <alignment wrapText="1"/>
    </xf>
    <xf numFmtId="0" fontId="0" fillId="14" borderId="2" pivotButton="0" quotePrefix="0" xfId="0"/>
    <xf numFmtId="0" fontId="0" fillId="14" borderId="4" applyAlignment="1" pivotButton="0" quotePrefix="0" xfId="0">
      <alignment vertical="bottom"/>
    </xf>
    <xf numFmtId="0" fontId="3" fillId="5" borderId="19" applyAlignment="1" pivotButton="0" quotePrefix="0" xfId="0">
      <alignment horizontal="center" vertical="bottom"/>
    </xf>
    <xf numFmtId="164" fontId="0" fillId="6" borderId="13" applyAlignment="1" pivotButton="0" quotePrefix="0" xfId="0">
      <alignment horizontal="center" vertical="bottom"/>
    </xf>
    <xf numFmtId="0" fontId="3" fillId="0" borderId="13" applyAlignment="1" pivotButton="0" quotePrefix="0" xfId="0">
      <alignment horizontal="left" wrapText="1"/>
    </xf>
    <xf numFmtId="0" fontId="3" fillId="0" borderId="13" applyAlignment="1" pivotButton="0" quotePrefix="0" xfId="0">
      <alignment horizontal="left"/>
    </xf>
    <xf numFmtId="0" fontId="0" fillId="6" borderId="13" applyAlignment="1" pivotButton="0" quotePrefix="0" xfId="0">
      <alignment vertical="bottom"/>
    </xf>
    <xf numFmtId="164" fontId="0" fillId="7" borderId="13" applyAlignment="1" pivotButton="0" quotePrefix="0" xfId="0">
      <alignment horizontal="center" vertical="bottom"/>
    </xf>
    <xf numFmtId="0" fontId="0" fillId="12" borderId="13" applyAlignment="1" pivotButton="0" quotePrefix="0" xfId="0">
      <alignment wrapText="1"/>
    </xf>
    <xf numFmtId="0" fontId="0" fillId="7" borderId="13" applyAlignment="1" pivotButton="0" quotePrefix="0" xfId="0">
      <alignment vertical="bottom"/>
    </xf>
    <xf numFmtId="0" fontId="0" fillId="7" borderId="13" applyAlignment="1" pivotButton="0" quotePrefix="0" xfId="0">
      <alignment vertical="bottom"/>
    </xf>
    <xf numFmtId="0" fontId="0" fillId="0" borderId="13" applyAlignment="1" pivotButton="0" quotePrefix="0" xfId="0">
      <alignment wrapText="1"/>
    </xf>
    <xf numFmtId="0" fontId="3" fillId="0" borderId="13" applyAlignment="1" pivotButton="0" quotePrefix="0" xfId="0">
      <alignment wrapText="1"/>
    </xf>
    <xf numFmtId="0" fontId="3" fillId="12" borderId="13" applyAlignment="1" pivotButton="0" quotePrefix="0" xfId="0">
      <alignment wrapText="1"/>
    </xf>
    <xf numFmtId="165" fontId="3" fillId="0" borderId="13" applyAlignment="1" pivotButton="0" quotePrefix="0" xfId="0">
      <alignment wrapText="1"/>
    </xf>
    <xf numFmtId="164" fontId="0" fillId="14" borderId="13" applyAlignment="1" pivotButton="0" quotePrefix="0" xfId="0">
      <alignment horizontal="center" vertical="bottom"/>
    </xf>
    <xf numFmtId="0" fontId="0" fillId="14" borderId="13" applyAlignment="1" pivotButton="0" quotePrefix="0" xfId="0">
      <alignment wrapText="1"/>
    </xf>
    <xf numFmtId="0" fontId="0" fillId="14" borderId="13" pivotButton="0" quotePrefix="0" xfId="0"/>
    <xf numFmtId="0" fontId="0" fillId="14" borderId="13" applyAlignment="1" pivotButton="0" quotePrefix="0" xfId="0">
      <alignment vertical="bottom"/>
    </xf>
    <xf numFmtId="165" fontId="3" fillId="12" borderId="13" applyAlignment="1" pivotButton="0" quotePrefix="0" xfId="0">
      <alignment wrapText="1"/>
    </xf>
    <xf numFmtId="0" fontId="0" fillId="12" borderId="13" applyAlignment="1" pivotButton="0" quotePrefix="0" xfId="0">
      <alignment horizontal="left" wrapText="1"/>
    </xf>
    <xf numFmtId="0" fontId="3" fillId="12" borderId="13" applyAlignment="1" pivotButton="0" quotePrefix="0" xfId="0">
      <alignment horizontal="left" wrapText="1"/>
    </xf>
    <xf numFmtId="165" fontId="3" fillId="0" borderId="13" applyAlignment="1" pivotButton="0" quotePrefix="0" xfId="0">
      <alignment horizontal="left" wrapText="1"/>
    </xf>
    <xf numFmtId="0" fontId="0" fillId="14" borderId="13" applyAlignment="1" pivotButton="0" quotePrefix="0" xfId="0">
      <alignment horizontal="left" wrapText="1"/>
    </xf>
    <xf numFmtId="165" fontId="3" fillId="12" borderId="13" applyAlignment="1" pivotButton="0" quotePrefix="0" xfId="0">
      <alignment horizontal="left" wrapText="1"/>
    </xf>
    <xf numFmtId="0" fontId="3" fillId="14" borderId="13" applyAlignment="1" pivotButton="0" quotePrefix="0" xfId="0">
      <alignment horizontal="left" wrapText="1"/>
    </xf>
    <xf numFmtId="165" fontId="3" fillId="14" borderId="13" applyAlignment="1" pivotButton="0" quotePrefix="0" xfId="0">
      <alignment horizontal="left" wrapText="1"/>
    </xf>
    <xf numFmtId="164" fontId="0" fillId="12" borderId="13" applyAlignment="1" pivotButton="0" quotePrefix="0" xfId="0">
      <alignment horizontal="center" vertical="bottom"/>
    </xf>
    <xf numFmtId="0" fontId="0" fillId="12" borderId="13" applyAlignment="1" pivotButton="0" quotePrefix="0" xfId="0">
      <alignment vertical="bottom"/>
    </xf>
    <xf numFmtId="164" fontId="9" fillId="6" borderId="13" applyAlignment="1" pivotButton="0" quotePrefix="0" xfId="0">
      <alignment horizontal="center" vertical="bottom"/>
    </xf>
    <xf numFmtId="0" fontId="12" fillId="0" borderId="13" applyAlignment="1" pivotButton="0" quotePrefix="0" xfId="0">
      <alignment horizontal="left" wrapText="1"/>
    </xf>
    <xf numFmtId="0" fontId="12" fillId="0" borderId="13" applyAlignment="1" pivotButton="0" quotePrefix="0" xfId="0">
      <alignment horizontal="left"/>
    </xf>
    <xf numFmtId="0" fontId="9" fillId="6" borderId="13" applyAlignment="1" pivotButton="0" quotePrefix="0" xfId="0">
      <alignment vertical="bottom"/>
    </xf>
    <xf numFmtId="0" fontId="9" fillId="6" borderId="13" applyAlignment="1" pivotButton="0" quotePrefix="0" xfId="0">
      <alignment vertical="bottom"/>
    </xf>
    <xf numFmtId="164" fontId="9" fillId="7" borderId="13" applyAlignment="1" pivotButton="0" quotePrefix="0" xfId="0">
      <alignment horizontal="center" vertical="bottom"/>
    </xf>
    <xf numFmtId="0" fontId="9" fillId="12" borderId="13" applyAlignment="1" pivotButton="0" quotePrefix="0" xfId="0">
      <alignment wrapText="1"/>
    </xf>
    <xf numFmtId="0" fontId="9" fillId="12" borderId="13" applyAlignment="1" pivotButton="0" quotePrefix="0" xfId="0">
      <alignment horizontal="left" wrapText="1"/>
    </xf>
    <xf numFmtId="0" fontId="9" fillId="7" borderId="13" applyAlignment="1" pivotButton="0" quotePrefix="0" xfId="0">
      <alignment vertical="bottom"/>
    </xf>
    <xf numFmtId="0" fontId="9" fillId="7" borderId="13" applyAlignment="1" pivotButton="0" quotePrefix="0" xfId="0">
      <alignment vertical="bottom"/>
    </xf>
    <xf numFmtId="0" fontId="9" fillId="0" borderId="13" applyAlignment="1" pivotButton="0" quotePrefix="0" xfId="0">
      <alignment wrapText="1"/>
    </xf>
    <xf numFmtId="0" fontId="12" fillId="12" borderId="13" applyAlignment="1" pivotButton="0" quotePrefix="0" xfId="0">
      <alignment horizontal="left" wrapText="1"/>
    </xf>
    <xf numFmtId="164" fontId="9" fillId="14" borderId="13" applyAlignment="1" pivotButton="0" quotePrefix="0" xfId="0">
      <alignment horizontal="center" vertical="bottom"/>
    </xf>
    <xf numFmtId="0" fontId="9" fillId="14" borderId="13" applyAlignment="1" pivotButton="0" quotePrefix="0" xfId="0">
      <alignment wrapText="1"/>
    </xf>
    <xf numFmtId="0" fontId="12" fillId="14" borderId="13" applyAlignment="1" pivotButton="0" quotePrefix="0" xfId="0">
      <alignment horizontal="left" wrapText="1"/>
    </xf>
    <xf numFmtId="0" fontId="9" fillId="14" borderId="13" applyAlignment="1" pivotButton="0" quotePrefix="0" xfId="0">
      <alignment vertical="bottom"/>
    </xf>
    <xf numFmtId="164" fontId="9" fillId="12" borderId="13" applyAlignment="1" pivotButton="0" quotePrefix="0" xfId="0">
      <alignment horizontal="center" vertical="bottom"/>
    </xf>
    <xf numFmtId="0" fontId="9" fillId="12" borderId="13" applyAlignment="1" pivotButton="0" quotePrefix="0" xfId="0">
      <alignment vertical="bottom"/>
    </xf>
    <xf numFmtId="165" fontId="12" fillId="14" borderId="13" applyAlignment="1" pivotButton="0" quotePrefix="0" xfId="0">
      <alignment horizontal="left" wrapText="1"/>
    </xf>
    <xf numFmtId="164" fontId="8" fillId="6" borderId="13" applyAlignment="1" pivotButton="0" quotePrefix="0" xfId="0">
      <alignment horizontal="center" vertical="bottom"/>
    </xf>
    <xf numFmtId="0" fontId="13" fillId="0" borderId="13" applyAlignment="1" pivotButton="0" quotePrefix="0" xfId="0">
      <alignment horizontal="left" wrapText="1"/>
    </xf>
    <xf numFmtId="0" fontId="13" fillId="0" borderId="13" applyAlignment="1" pivotButton="0" quotePrefix="0" xfId="0">
      <alignment horizontal="left"/>
    </xf>
    <xf numFmtId="0" fontId="8" fillId="6" borderId="13" applyAlignment="1" pivotButton="0" quotePrefix="0" xfId="0">
      <alignment vertical="bottom"/>
    </xf>
    <xf numFmtId="0" fontId="8" fillId="6" borderId="13" applyAlignment="1" pivotButton="0" quotePrefix="0" xfId="0">
      <alignment vertical="bottom"/>
    </xf>
    <xf numFmtId="164" fontId="8" fillId="7" borderId="13" applyAlignment="1" pivotButton="0" quotePrefix="0" xfId="0">
      <alignment horizontal="center" vertical="bottom"/>
    </xf>
    <xf numFmtId="0" fontId="8" fillId="12" borderId="13" applyAlignment="1" pivotButton="0" quotePrefix="0" xfId="0">
      <alignment wrapText="1"/>
    </xf>
    <xf numFmtId="0" fontId="8" fillId="12" borderId="13" applyAlignment="1" pivotButton="0" quotePrefix="0" xfId="0">
      <alignment horizontal="left" wrapText="1"/>
    </xf>
    <xf numFmtId="0" fontId="8" fillId="7" borderId="13" applyAlignment="1" pivotButton="0" quotePrefix="0" xfId="0">
      <alignment vertical="bottom"/>
    </xf>
    <xf numFmtId="0" fontId="8" fillId="7" borderId="13" applyAlignment="1" pivotButton="0" quotePrefix="0" xfId="0">
      <alignment vertical="bottom"/>
    </xf>
    <xf numFmtId="0" fontId="8" fillId="0" borderId="13" applyAlignment="1" pivotButton="0" quotePrefix="0" xfId="0">
      <alignment wrapText="1"/>
    </xf>
    <xf numFmtId="0" fontId="13" fillId="12" borderId="13" applyAlignment="1" pivotButton="0" quotePrefix="0" xfId="0">
      <alignment horizontal="left" wrapText="1"/>
    </xf>
    <xf numFmtId="164" fontId="8" fillId="14" borderId="13" applyAlignment="1" pivotButton="0" quotePrefix="0" xfId="0">
      <alignment horizontal="center" vertical="bottom"/>
    </xf>
    <xf numFmtId="0" fontId="8" fillId="14" borderId="13" applyAlignment="1" pivotButton="0" quotePrefix="0" xfId="0">
      <alignment wrapText="1"/>
    </xf>
    <xf numFmtId="0" fontId="13" fillId="14" borderId="13" applyAlignment="1" pivotButton="0" quotePrefix="0" xfId="0">
      <alignment horizontal="left" wrapText="1"/>
    </xf>
    <xf numFmtId="0" fontId="8" fillId="14" borderId="13" applyAlignment="1" pivotButton="0" quotePrefix="0" xfId="0">
      <alignment vertical="bottom"/>
    </xf>
    <xf numFmtId="164" fontId="8" fillId="12" borderId="13" applyAlignment="1" pivotButton="0" quotePrefix="0" xfId="0">
      <alignment horizontal="center" vertical="bottom"/>
    </xf>
    <xf numFmtId="0" fontId="8" fillId="12" borderId="13" applyAlignment="1" pivotButton="0" quotePrefix="0" xfId="0">
      <alignment vertical="bottom"/>
    </xf>
    <xf numFmtId="165" fontId="13" fillId="14" borderId="13" applyAlignment="1" pivotButton="0" quotePrefix="0" xfId="0">
      <alignment horizontal="left" wrapText="1"/>
    </xf>
    <xf numFmtId="0" fontId="3" fillId="5" borderId="9" applyAlignment="1" pivotButton="0" quotePrefix="0" xfId="0">
      <alignment horizontal="center" vertical="bottom"/>
    </xf>
    <xf numFmtId="0" fontId="3" fillId="5" borderId="10" applyAlignment="1" pivotButton="0" quotePrefix="0" xfId="0">
      <alignment horizontal="center" vertical="bottom"/>
    </xf>
    <xf numFmtId="165" fontId="0" fillId="6" borderId="9" applyAlignment="1" pivotButton="0" quotePrefix="0" xfId="0">
      <alignment horizontal="center" vertical="bottom"/>
    </xf>
    <xf numFmtId="165" fontId="0" fillId="6" borderId="10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3" fillId="13" borderId="2" applyAlignment="1" pivotButton="0" quotePrefix="0" xfId="0">
      <alignment horizontal="left"/>
    </xf>
    <xf numFmtId="0" fontId="3" fillId="13" borderId="20" applyAlignment="1" pivotButton="0" quotePrefix="0" xfId="0">
      <alignment horizontal="left"/>
    </xf>
    <xf numFmtId="0" fontId="3" fillId="5" borderId="21" applyAlignment="1" pivotButton="0" quotePrefix="0" xfId="0">
      <alignment horizontal="center" vertical="bottom"/>
    </xf>
    <xf numFmtId="0" fontId="3" fillId="5" borderId="22" applyAlignment="1" pivotButton="0" quotePrefix="0" xfId="0">
      <alignment horizontal="center" vertical="bottom"/>
    </xf>
    <xf numFmtId="165" fontId="0" fillId="6" borderId="13" applyAlignment="1" pivotButton="0" quotePrefix="0" xfId="0">
      <alignment horizontal="center" vertical="bottom"/>
    </xf>
    <xf numFmtId="0" fontId="0" fillId="7" borderId="13" applyAlignment="1" pivotButton="0" quotePrefix="0" xfId="0">
      <alignment vertical="top"/>
    </xf>
    <xf numFmtId="0" fontId="0" fillId="0" borderId="13" applyAlignment="1" pivotButton="0" quotePrefix="0" xfId="0">
      <alignment vertical="bottom"/>
    </xf>
    <xf numFmtId="0" fontId="0" fillId="0" borderId="13" applyAlignment="1" pivotButton="0" quotePrefix="0" xfId="0">
      <alignment horizontal="center"/>
    </xf>
    <xf numFmtId="164" fontId="0" fillId="6" borderId="23" applyAlignment="1" pivotButton="0" quotePrefix="0" xfId="0">
      <alignment horizontal="center" vertical="bottom"/>
    </xf>
    <xf numFmtId="164" fontId="0" fillId="6" borderId="24" applyAlignment="1" pivotButton="0" quotePrefix="0" xfId="0">
      <alignment horizontal="center" vertical="bottom"/>
    </xf>
    <xf numFmtId="164" fontId="0" fillId="6" borderId="25" applyAlignment="1" pivotButton="0" quotePrefix="0" xfId="0">
      <alignment horizontal="center" vertical="bottom"/>
    </xf>
    <xf numFmtId="164" fontId="0" fillId="6" borderId="26" applyAlignment="1" pivotButton="0" quotePrefix="0" xfId="0">
      <alignment horizontal="center" vertical="bottom"/>
    </xf>
    <xf numFmtId="164" fontId="0" fillId="6" borderId="27" applyAlignment="1" pivotButton="0" quotePrefix="0" xfId="0">
      <alignment horizontal="center" vertical="bottom"/>
    </xf>
    <xf numFmtId="164" fontId="0" fillId="6" borderId="28" applyAlignment="1" pivotButton="0" quotePrefix="0" xfId="0">
      <alignment horizontal="center" vertical="bottom"/>
    </xf>
    <xf numFmtId="164" fontId="0" fillId="6" borderId="29" applyAlignment="1" pivotButton="0" quotePrefix="0" xfId="0">
      <alignment horizontal="center" vertical="bottom"/>
    </xf>
    <xf numFmtId="164" fontId="0" fillId="6" borderId="21" applyAlignment="1" pivotButton="0" quotePrefix="0" xfId="0">
      <alignment horizontal="center" vertical="bottom"/>
    </xf>
    <xf numFmtId="164" fontId="0" fillId="6" borderId="30" applyAlignment="1" pivotButton="0" quotePrefix="0" xfId="0">
      <alignment horizontal="center" vertical="bottom"/>
    </xf>
    <xf numFmtId="165" fontId="0" fillId="6" borderId="13" applyAlignment="1" pivotButton="0" quotePrefix="0" xfId="0">
      <alignment vertical="bottom"/>
    </xf>
    <xf numFmtId="164" fontId="0" fillId="6" borderId="23" applyAlignment="1" pivotButton="0" quotePrefix="0" xfId="0">
      <alignment vertical="bottom"/>
    </xf>
    <xf numFmtId="164" fontId="0" fillId="6" borderId="24" applyAlignment="1" pivotButton="0" quotePrefix="0" xfId="0">
      <alignment vertical="bottom"/>
    </xf>
    <xf numFmtId="164" fontId="0" fillId="6" borderId="25" applyAlignment="1" pivotButton="0" quotePrefix="0" xfId="0">
      <alignment vertical="bottom"/>
    </xf>
    <xf numFmtId="164" fontId="0" fillId="6" borderId="26" applyAlignment="1" pivotButton="0" quotePrefix="0" xfId="0">
      <alignment vertical="bottom"/>
    </xf>
    <xf numFmtId="164" fontId="0" fillId="6" borderId="27" applyAlignment="1" pivotButton="0" quotePrefix="0" xfId="0">
      <alignment vertical="bottom"/>
    </xf>
    <xf numFmtId="164" fontId="0" fillId="6" borderId="28" applyAlignment="1" pivotButton="0" quotePrefix="0" xfId="0">
      <alignment vertical="bottom"/>
    </xf>
    <xf numFmtId="164" fontId="0" fillId="6" borderId="29" applyAlignment="1" pivotButton="0" quotePrefix="0" xfId="0">
      <alignment vertical="bottom"/>
    </xf>
    <xf numFmtId="164" fontId="0" fillId="6" borderId="21" applyAlignment="1" pivotButton="0" quotePrefix="0" xfId="0">
      <alignment vertical="bottom"/>
    </xf>
    <xf numFmtId="164" fontId="0" fillId="6" borderId="30" applyAlignment="1" pivotButton="0" quotePrefix="0" xfId="0">
      <alignment vertical="bottom"/>
    </xf>
    <xf numFmtId="0" fontId="2" fillId="4" borderId="31" applyAlignment="1" pivotButton="0" quotePrefix="0" xfId="0">
      <alignment horizontal="center" vertical="bottom"/>
    </xf>
    <xf numFmtId="0" fontId="0" fillId="0" borderId="21" pivotButton="0" quotePrefix="0" xfId="0"/>
    <xf numFmtId="0" fontId="3" fillId="5" borderId="13" applyAlignment="1" pivotButton="0" quotePrefix="0" xfId="0">
      <alignment horizontal="center" vertical="bottom"/>
    </xf>
    <xf numFmtId="0" fontId="3" fillId="13" borderId="13" applyAlignment="1" pivotButton="0" quotePrefix="0" xfId="0">
      <alignment horizontal="left"/>
    </xf>
    <xf numFmtId="164" fontId="0" fillId="6" borderId="13" applyAlignment="1" pivotButton="0" quotePrefix="0" xfId="0">
      <alignment vertical="bottom"/>
    </xf>
    <xf numFmtId="0" fontId="3" fillId="5" borderId="23" applyAlignment="1" pivotButton="0" quotePrefix="0" xfId="0">
      <alignment horizontal="center" vertical="bottom"/>
    </xf>
    <xf numFmtId="0" fontId="3" fillId="5" borderId="24" applyAlignment="1" pivotButton="0" quotePrefix="0" xfId="0">
      <alignment horizontal="center" vertical="bottom"/>
    </xf>
    <xf numFmtId="0" fontId="3" fillId="5" borderId="25" applyAlignment="1" pivotButton="0" quotePrefix="0" xfId="0">
      <alignment horizontal="center" vertical="bottom"/>
    </xf>
    <xf numFmtId="0" fontId="3" fillId="5" borderId="26" applyAlignment="1" pivotButton="0" quotePrefix="0" xfId="0">
      <alignment horizontal="center" vertical="bottom"/>
    </xf>
    <xf numFmtId="0" fontId="3" fillId="5" borderId="27" applyAlignment="1" pivotButton="0" quotePrefix="0" xfId="0">
      <alignment horizontal="center" vertical="bottom"/>
    </xf>
    <xf numFmtId="0" fontId="3" fillId="5" borderId="28" applyAlignment="1" pivotButton="0" quotePrefix="0" xfId="0">
      <alignment horizontal="center" vertical="bottom"/>
    </xf>
    <xf numFmtId="0" fontId="3" fillId="5" borderId="29" applyAlignment="1" pivotButton="0" quotePrefix="0" xfId="0">
      <alignment horizontal="center" vertical="bottom"/>
    </xf>
    <xf numFmtId="0" fontId="3" fillId="5" borderId="30" applyAlignment="1" pivotButton="0" quotePrefix="0" xfId="0">
      <alignment horizontal="center" vertical="bottom"/>
    </xf>
    <xf numFmtId="0" fontId="3" fillId="5" borderId="32" applyAlignment="1" pivotButton="0" quotePrefix="0" xfId="0">
      <alignment horizontal="center" vertical="bottom"/>
    </xf>
    <xf numFmtId="0" fontId="3" fillId="5" borderId="21" applyAlignment="1" pivotButton="0" quotePrefix="0" xfId="0">
      <alignment vertical="bottom"/>
    </xf>
    <xf numFmtId="0" fontId="3" fillId="5" borderId="22" applyAlignment="1" pivotButton="0" quotePrefix="0" xfId="0">
      <alignment vertical="bottom"/>
    </xf>
    <xf numFmtId="0" fontId="3" fillId="5" borderId="23" applyAlignment="1" pivotButton="0" quotePrefix="0" xfId="0">
      <alignment vertical="bottom"/>
    </xf>
    <xf numFmtId="0" fontId="3" fillId="5" borderId="24" applyAlignment="1" pivotButton="0" quotePrefix="0" xfId="0">
      <alignment vertical="bottom"/>
    </xf>
    <xf numFmtId="0" fontId="3" fillId="5" borderId="25" applyAlignment="1" pivotButton="0" quotePrefix="0" xfId="0">
      <alignment vertical="bottom"/>
    </xf>
    <xf numFmtId="0" fontId="3" fillId="5" borderId="26" applyAlignment="1" pivotButton="0" quotePrefix="0" xfId="0">
      <alignment vertical="bottom"/>
    </xf>
    <xf numFmtId="0" fontId="3" fillId="5" borderId="27" applyAlignment="1" pivotButton="0" quotePrefix="0" xfId="0">
      <alignment vertical="bottom"/>
    </xf>
    <xf numFmtId="0" fontId="3" fillId="5" borderId="28" applyAlignment="1" pivotButton="0" quotePrefix="0" xfId="0">
      <alignment vertical="bottom"/>
    </xf>
    <xf numFmtId="0" fontId="3" fillId="5" borderId="29" applyAlignment="1" pivotButton="0" quotePrefix="0" xfId="0">
      <alignment vertical="bottom"/>
    </xf>
    <xf numFmtId="0" fontId="3" fillId="5" borderId="30" applyAlignment="1" pivotButton="0" quotePrefix="0" xfId="0">
      <alignment vertical="bottom"/>
    </xf>
    <xf numFmtId="0" fontId="3" fillId="14" borderId="23" applyAlignment="1" pivotButton="0" quotePrefix="0" xfId="0">
      <alignment vertical="bottom"/>
    </xf>
    <xf numFmtId="0" fontId="3" fillId="14" borderId="24" applyAlignment="1" pivotButton="0" quotePrefix="0" xfId="0">
      <alignment vertical="bottom"/>
    </xf>
    <xf numFmtId="0" fontId="3" fillId="14" borderId="25" applyAlignment="1" pivotButton="0" quotePrefix="0" xfId="0">
      <alignment vertical="bottom"/>
    </xf>
    <xf numFmtId="0" fontId="3" fillId="14" borderId="26" applyAlignment="1" pivotButton="0" quotePrefix="0" xfId="0">
      <alignment vertical="bottom"/>
    </xf>
    <xf numFmtId="0" fontId="3" fillId="14" borderId="27" applyAlignment="1" pivotButton="0" quotePrefix="0" xfId="0">
      <alignment vertical="bottom"/>
    </xf>
    <xf numFmtId="0" fontId="3" fillId="14" borderId="28" applyAlignment="1" pivotButton="0" quotePrefix="0" xfId="0">
      <alignment vertical="bottom"/>
    </xf>
    <xf numFmtId="0" fontId="3" fillId="14" borderId="29" applyAlignment="1" pivotButton="0" quotePrefix="0" xfId="0">
      <alignment vertical="bottom"/>
    </xf>
    <xf numFmtId="0" fontId="3" fillId="14" borderId="21" applyAlignment="1" pivotButton="0" quotePrefix="0" xfId="0">
      <alignment vertical="bottom"/>
    </xf>
    <xf numFmtId="0" fontId="3" fillId="14" borderId="30" applyAlignment="1" pivotButton="0" quotePrefix="0" xfId="0">
      <alignment vertical="bottom"/>
    </xf>
    <xf numFmtId="0" fontId="3" fillId="5" borderId="32" applyAlignment="1" pivotButton="0" quotePrefix="0" xfId="0">
      <alignment vertical="bottom"/>
    </xf>
    <xf numFmtId="0" fontId="3" fillId="14" borderId="32" applyAlignment="1" pivotButton="0" quotePrefix="0" xfId="0">
      <alignment vertical="bottom"/>
    </xf>
    <xf numFmtId="0" fontId="3" fillId="14" borderId="27" applyAlignment="1" pivotButton="0" quotePrefix="0" xfId="0">
      <alignment horizontal="center" vertical="bottom"/>
    </xf>
    <xf numFmtId="0" fontId="0" fillId="0" borderId="22" pivotButton="0" quotePrefix="0" xfId="0"/>
    <xf numFmtId="0" fontId="3" fillId="14" borderId="13" applyAlignment="1" pivotButton="0" quotePrefix="0" xfId="0">
      <alignment vertical="bottom"/>
    </xf>
    <xf numFmtId="0" fontId="3" fillId="14" borderId="13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32" pivotButton="0" quotePrefix="0" xfId="0"/>
    <xf numFmtId="0" fontId="3" fillId="14" borderId="33" applyAlignment="1" pivotButton="0" quotePrefix="0" xfId="0">
      <alignment vertical="bottom"/>
    </xf>
    <xf numFmtId="0" fontId="3" fillId="0" borderId="9" applyAlignment="1" pivotButton="0" quotePrefix="0" xfId="0">
      <alignment horizontal="left"/>
    </xf>
    <xf numFmtId="0" fontId="3" fillId="0" borderId="21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9" pivotButton="0" quotePrefix="0" xfId="0"/>
    <xf numFmtId="0" fontId="3" fillId="0" borderId="21" pivotButton="0" quotePrefix="0" xfId="0"/>
    <xf numFmtId="0" fontId="3" fillId="0" borderId="2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3" fillId="13" borderId="9" applyAlignment="1" pivotButton="0" quotePrefix="0" xfId="0">
      <alignment horizontal="center"/>
    </xf>
    <xf numFmtId="0" fontId="3" fillId="13" borderId="9" applyAlignment="1" pivotButton="0" quotePrefix="0" xfId="0">
      <alignment horizontal="left"/>
    </xf>
    <xf numFmtId="0" fontId="3" fillId="13" borderId="21" applyAlignment="1" pivotButton="0" quotePrefix="0" xfId="0">
      <alignment horizontal="left"/>
    </xf>
    <xf numFmtId="0" fontId="3" fillId="13" borderId="21" applyAlignment="1" pivotButton="0" quotePrefix="0" xfId="0">
      <alignment horizontal="center"/>
    </xf>
    <xf numFmtId="0" fontId="3" fillId="13" borderId="9" applyAlignment="1" pivotButton="0" quotePrefix="0" xfId="0">
      <alignment horizontal="center" wrapText="1"/>
    </xf>
    <xf numFmtId="0" fontId="3" fillId="13" borderId="9" applyAlignment="1" pivotButton="0" quotePrefix="0" xfId="0">
      <alignment horizontal="left" wrapText="1"/>
    </xf>
    <xf numFmtId="0" fontId="3" fillId="13" borderId="21" applyAlignment="1" pivotButton="0" quotePrefix="0" xfId="0">
      <alignment horizontal="left" wrapText="1"/>
    </xf>
    <xf numFmtId="0" fontId="3" fillId="13" borderId="21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1" applyAlignment="1" pivotButton="0" quotePrefix="0" xfId="0">
      <alignment horizontal="center" wrapText="1"/>
    </xf>
    <xf numFmtId="0" fontId="0" fillId="0" borderId="27" applyAlignment="1" pivotButton="0" quotePrefix="0" xfId="0">
      <alignment horizontal="center" wrapText="1"/>
    </xf>
    <xf numFmtId="0" fontId="0" fillId="0" borderId="27" applyAlignment="1" pivotButton="0" quotePrefix="0" xfId="0">
      <alignment wrapText="1"/>
    </xf>
    <xf numFmtId="0" fontId="3" fillId="13" borderId="9" applyAlignment="1" pivotButton="0" quotePrefix="0" xfId="0">
      <alignment horizontal="center"/>
    </xf>
    <xf numFmtId="0" fontId="3" fillId="13" borderId="9" applyAlignment="1" pivotButton="0" quotePrefix="0" xfId="0">
      <alignment horizontal="left"/>
    </xf>
    <xf numFmtId="0" fontId="3" fillId="13" borderId="21" applyAlignment="1" pivotButton="0" quotePrefix="0" xfId="0">
      <alignment horizontal="left"/>
    </xf>
    <xf numFmtId="0" fontId="3" fillId="13" borderId="2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21" pivotButton="0" quotePrefix="0" xfId="0"/>
    <xf numFmtId="0" fontId="0" fillId="0" borderId="2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7" pivotButton="0" quotePrefix="0" xfId="0"/>
    <xf numFmtId="0" fontId="3" fillId="13" borderId="13" applyAlignment="1" pivotButton="0" quotePrefix="0" xfId="0">
      <alignment horizontal="center" wrapText="1"/>
    </xf>
    <xf numFmtId="0" fontId="3" fillId="13" borderId="13" applyAlignment="1" pivotButton="0" quotePrefix="0" xfId="0">
      <alignment horizontal="left" wrapText="1"/>
    </xf>
    <xf numFmtId="0" fontId="0" fillId="0" borderId="13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vertical="top" wrapText="1"/>
    </xf>
    <xf numFmtId="0" fontId="0" fillId="0" borderId="13" applyAlignment="1" pivotButton="0" quotePrefix="0" xfId="0">
      <alignment vertical="top" wrapText="1"/>
    </xf>
    <xf numFmtId="0" fontId="9" fillId="0" borderId="13" applyAlignment="1" pivotButton="0" quotePrefix="0" xfId="0">
      <alignment horizontal="center" vertical="top" wrapText="1"/>
    </xf>
    <xf numFmtId="0" fontId="9" fillId="0" borderId="13" applyAlignment="1" pivotButton="0" quotePrefix="0" xfId="0">
      <alignment vertical="top" wrapText="1"/>
    </xf>
    <xf numFmtId="0" fontId="8" fillId="0" borderId="13" applyAlignment="1" pivotButton="0" quotePrefix="0" xfId="0">
      <alignment horizontal="center" vertical="top" wrapText="1"/>
    </xf>
    <xf numFmtId="0" fontId="8" fillId="0" borderId="13" applyAlignment="1" pivotButton="0" quotePrefix="0" xfId="0">
      <alignment vertical="top" wrapText="1"/>
    </xf>
    <xf numFmtId="0" fontId="12" fillId="13" borderId="13" applyAlignment="1" pivotButton="0" quotePrefix="0" xfId="0">
      <alignment horizontal="center" wrapText="1"/>
    </xf>
    <xf numFmtId="0" fontId="12" fillId="13" borderId="13" applyAlignment="1" pivotButton="0" quotePrefix="0" xfId="0">
      <alignment horizontal="left" wrapText="1"/>
    </xf>
    <xf numFmtId="0" fontId="13" fillId="13" borderId="13" applyAlignment="1" pivotButton="0" quotePrefix="0" xfId="0">
      <alignment horizontal="center" wrapText="1"/>
    </xf>
    <xf numFmtId="0" fontId="13" fillId="13" borderId="13" applyAlignment="1" pivotButton="0" quotePrefix="0" xfId="0">
      <alignment horizontal="left" wrapText="1"/>
    </xf>
    <xf numFmtId="0" fontId="14" fillId="13" borderId="13" applyAlignment="1" pivotButton="0" quotePrefix="0" xfId="0">
      <alignment horizontal="center" wrapText="1"/>
    </xf>
    <xf numFmtId="0" fontId="14" fillId="13" borderId="13" applyAlignment="1" pivotButton="0" quotePrefix="0" xfId="0">
      <alignment horizontal="left" wrapText="1"/>
    </xf>
    <xf numFmtId="0" fontId="15" fillId="13" borderId="13" applyAlignment="1" pivotButton="0" quotePrefix="0" xfId="0">
      <alignment horizontal="center" wrapText="1"/>
    </xf>
    <xf numFmtId="0" fontId="15" fillId="13" borderId="13" applyAlignment="1" pivotButton="0" quotePrefix="0" xfId="0">
      <alignment horizontal="left" wrapText="1"/>
    </xf>
    <xf numFmtId="0" fontId="2" fillId="13" borderId="13" applyAlignment="1" pivotButton="0" quotePrefix="0" xfId="0">
      <alignment horizontal="center" wrapText="1"/>
    </xf>
    <xf numFmtId="0" fontId="2" fillId="13" borderId="13" applyAlignment="1" pivotButton="0" quotePrefix="0" xfId="0">
      <alignment horizontal="left" wrapText="1"/>
    </xf>
    <xf numFmtId="164" fontId="0" fillId="12" borderId="34" applyAlignment="1" pivotButton="0" quotePrefix="0" xfId="0">
      <alignment horizontal="center" vertical="bottom"/>
    </xf>
    <xf numFmtId="165" fontId="0" fillId="12" borderId="13" applyAlignment="1" pivotButton="0" quotePrefix="0" xfId="0">
      <alignment horizontal="center" vertical="bottom"/>
    </xf>
    <xf numFmtId="164" fontId="0" fillId="14" borderId="12" applyAlignment="1" pivotButton="0" quotePrefix="0" xfId="0">
      <alignment horizontal="center" vertical="bottom"/>
    </xf>
    <xf numFmtId="165" fontId="13" fillId="12" borderId="13" applyAlignment="1" pivotButton="0" quotePrefix="0" xfId="0">
      <alignment horizontal="left" wrapText="1"/>
    </xf>
    <xf numFmtId="164" fontId="0" fillId="14" borderId="34" applyAlignment="1" pivotButton="0" quotePrefix="0" xfId="0">
      <alignment horizontal="center" vertical="bottom"/>
    </xf>
    <xf numFmtId="0" fontId="8" fillId="14" borderId="13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8" fillId="0" borderId="13" applyAlignment="1" pivotButton="0" quotePrefix="0" xfId="0">
      <alignment horizontal="left" vertical="top" wrapText="1"/>
    </xf>
    <xf numFmtId="0" fontId="0" fillId="6" borderId="13" applyAlignment="1" pivotButton="0" quotePrefix="0" xfId="0">
      <alignment horizontal="left" vertical="bottom"/>
    </xf>
    <xf numFmtId="0" fontId="0" fillId="6" borderId="13" applyAlignment="1" pivotButton="0" quotePrefix="0" xfId="0">
      <alignment horizontal="left" vertical="bottom" wrapText="1"/>
    </xf>
    <xf numFmtId="165" fontId="16" fillId="12" borderId="13" applyAlignment="1" pivotButton="0" quotePrefix="0" xfId="0">
      <alignment horizontal="left" wrapText="1"/>
    </xf>
    <xf numFmtId="165" fontId="8" fillId="12" borderId="13" applyAlignment="1" pivotButton="0" quotePrefix="0" xfId="0">
      <alignment horizontal="left" wrapText="1"/>
    </xf>
    <xf numFmtId="165" fontId="13" fillId="0" borderId="13" applyAlignment="1" pivotButton="0" quotePrefix="0" xfId="0">
      <alignment horizontal="left" wrapText="1"/>
    </xf>
    <xf numFmtId="165" fontId="16" fillId="0" borderId="13" applyAlignment="1" pivotButton="0" quotePrefix="0" xfId="0">
      <alignment horizontal="left" wrapText="1"/>
    </xf>
    <xf numFmtId="164" fontId="13" fillId="14" borderId="13" applyAlignment="1" pivotButton="0" quotePrefix="0" xfId="0">
      <alignment horizontal="left" wrapText="1"/>
    </xf>
    <xf numFmtId="164" fontId="13" fillId="12" borderId="13" applyAlignment="1" pivotButton="0" quotePrefix="0" xfId="0">
      <alignment horizontal="left" wrapText="1"/>
    </xf>
    <xf numFmtId="164" fontId="16" fillId="12" borderId="13" applyAlignment="1" pivotButton="0" quotePrefix="0" xfId="0">
      <alignment horizontal="left" wrapText="1"/>
    </xf>
    <xf numFmtId="0" fontId="8" fillId="12" borderId="33" applyAlignment="1" pivotButton="0" quotePrefix="0" xfId="0">
      <alignment vertical="bottom"/>
    </xf>
    <xf numFmtId="0" fontId="8" fillId="12" borderId="35" applyAlignment="1" pivotButton="0" quotePrefix="0" xfId="0">
      <alignment vertical="bottom"/>
    </xf>
    <xf numFmtId="0" fontId="8" fillId="12" borderId="13" applyAlignment="1" pivotButton="0" quotePrefix="0" xfId="0">
      <alignment horizontal="center" vertical="bottom"/>
    </xf>
    <xf numFmtId="0" fontId="8" fillId="12" borderId="33" applyAlignment="1" pivotButton="0" quotePrefix="0" xfId="0">
      <alignment horizontal="center" vertical="bottom"/>
    </xf>
    <xf numFmtId="0" fontId="8" fillId="12" borderId="33" applyAlignment="1" pivotButton="0" quotePrefix="0" xfId="0">
      <alignment horizontal="left" vertical="bottom"/>
    </xf>
    <xf numFmtId="0" fontId="8" fillId="12" borderId="35" applyAlignment="1" pivotButton="0" quotePrefix="0" xfId="0">
      <alignment horizontal="left" vertical="bottom"/>
    </xf>
    <xf numFmtId="0" fontId="8" fillId="12" borderId="33" applyAlignment="1" pivotButton="0" quotePrefix="0" xfId="0">
      <alignment horizontal="left" vertical="bottom" wrapText="1"/>
    </xf>
    <xf numFmtId="0" fontId="8" fillId="12" borderId="35" applyAlignment="1" pivotButton="0" quotePrefix="0" xfId="0">
      <alignment horizontal="left" vertical="bottom" wrapText="1"/>
    </xf>
    <xf numFmtId="0" fontId="8" fillId="6" borderId="33" applyAlignment="1" pivotButton="0" quotePrefix="0" xfId="0">
      <alignment vertical="bottom"/>
    </xf>
    <xf numFmtId="0" fontId="8" fillId="6" borderId="35" applyAlignment="1" pivotButton="0" quotePrefix="0" xfId="0">
      <alignment vertical="bottom"/>
    </xf>
    <xf numFmtId="0" fontId="8" fillId="6" borderId="13" applyAlignment="1" pivotButton="0" quotePrefix="0" xfId="0">
      <alignment horizontal="center" vertical="bottom"/>
    </xf>
    <xf numFmtId="0" fontId="8" fillId="6" borderId="33" applyAlignment="1" pivotButton="0" quotePrefix="0" xfId="0">
      <alignment horizontal="center" vertical="bottom"/>
    </xf>
    <xf numFmtId="0" fontId="8" fillId="6" borderId="33" applyAlignment="1" pivotButton="0" quotePrefix="0" xfId="0">
      <alignment horizontal="left" vertical="bottom"/>
    </xf>
    <xf numFmtId="0" fontId="8" fillId="6" borderId="35" applyAlignment="1" pivotButton="0" quotePrefix="0" xfId="0">
      <alignment horizontal="left" vertical="bottom"/>
    </xf>
    <xf numFmtId="0" fontId="8" fillId="14" borderId="33" applyAlignment="1" pivotButton="0" quotePrefix="0" xfId="0">
      <alignment vertical="bottom"/>
    </xf>
    <xf numFmtId="0" fontId="8" fillId="14" borderId="35" applyAlignment="1" pivotButton="0" quotePrefix="0" xfId="0">
      <alignment vertical="bottom"/>
    </xf>
    <xf numFmtId="0" fontId="8" fillId="14" borderId="13" applyAlignment="1" pivotButton="0" quotePrefix="0" xfId="0">
      <alignment horizontal="center" vertical="bottom"/>
    </xf>
    <xf numFmtId="0" fontId="8" fillId="14" borderId="33" applyAlignment="1" pivotButton="0" quotePrefix="0" xfId="0">
      <alignment horizontal="center" vertical="bottom"/>
    </xf>
    <xf numFmtId="0" fontId="8" fillId="14" borderId="33" applyAlignment="1" pivotButton="0" quotePrefix="0" xfId="0">
      <alignment horizontal="left" vertical="bottom"/>
    </xf>
    <xf numFmtId="0" fontId="8" fillId="14" borderId="35" applyAlignment="1" pivotButton="0" quotePrefix="0" xfId="0">
      <alignment horizontal="left" vertical="bottom"/>
    </xf>
    <xf numFmtId="0" fontId="2" fillId="4" borderId="36" applyAlignment="1" pivotButton="0" quotePrefix="0" xfId="0">
      <alignment horizontal="center" vertical="bottom"/>
    </xf>
    <xf numFmtId="0" fontId="2" fillId="4" borderId="27" applyAlignment="1" pivotButton="0" quotePrefix="0" xfId="0">
      <alignment horizontal="center" vertical="bottom"/>
    </xf>
    <xf numFmtId="0" fontId="2" fillId="4" borderId="28" applyAlignment="1" pivotButton="0" quotePrefix="0" xfId="0">
      <alignment horizontal="center" vertical="bottom"/>
    </xf>
    <xf numFmtId="2" fontId="8" fillId="7" borderId="13" applyAlignment="1" pivotButton="0" quotePrefix="0" xfId="0">
      <alignment horizontal="center" vertical="bottom"/>
    </xf>
    <xf numFmtId="2" fontId="8" fillId="6" borderId="13" applyAlignment="1" pivotButton="0" quotePrefix="0" xfId="0">
      <alignment horizontal="center" vertical="bottom"/>
    </xf>
    <xf numFmtId="2" fontId="8" fillId="14" borderId="13" applyAlignment="1" pivotButton="0" quotePrefix="0" xfId="0">
      <alignment horizontal="center" vertical="bottom"/>
    </xf>
    <xf numFmtId="2" fontId="8" fillId="12" borderId="13" applyAlignment="1" pivotButton="0" quotePrefix="0" xfId="0">
      <alignment horizontal="center" vertical="bottom"/>
    </xf>
    <xf numFmtId="166" fontId="8" fillId="7" borderId="13" applyAlignment="1" pivotButton="0" quotePrefix="0" xfId="0">
      <alignment horizontal="center" vertical="bottom"/>
    </xf>
    <xf numFmtId="166" fontId="8" fillId="6" borderId="13" applyAlignment="1" pivotButton="0" quotePrefix="0" xfId="0">
      <alignment horizontal="center" vertical="bottom"/>
    </xf>
    <xf numFmtId="166" fontId="8" fillId="14" borderId="13" applyAlignment="1" pivotButton="0" quotePrefix="0" xfId="0">
      <alignment horizontal="center" vertical="bottom"/>
    </xf>
    <xf numFmtId="166" fontId="8" fillId="12" borderId="13" applyAlignment="1" pivotButton="0" quotePrefix="0" xfId="0">
      <alignment horizontal="center" vertical="bottom"/>
    </xf>
    <xf numFmtId="1" fontId="8" fillId="7" borderId="13" applyAlignment="1" pivotButton="0" quotePrefix="0" xfId="0">
      <alignment horizontal="center" vertical="bottom"/>
    </xf>
    <xf numFmtId="1" fontId="8" fillId="6" borderId="13" applyAlignment="1" pivotButton="0" quotePrefix="0" xfId="0">
      <alignment horizontal="center" vertical="bottom"/>
    </xf>
    <xf numFmtId="1" fontId="8" fillId="14" borderId="13" applyAlignment="1" pivotButton="0" quotePrefix="0" xfId="0">
      <alignment horizontal="center" vertical="bottom"/>
    </xf>
    <xf numFmtId="1" fontId="8" fillId="12" borderId="13" applyAlignment="1" pivotButton="0" quotePrefix="0" xfId="0">
      <alignment horizontal="center" vertical="bottom"/>
    </xf>
    <xf numFmtId="0" fontId="8" fillId="7" borderId="1" pivotButton="0" quotePrefix="0" xfId="0"/>
    <xf numFmtId="165" fontId="8" fillId="7" borderId="1" applyAlignment="1" pivotButton="0" quotePrefix="0" xfId="0">
      <alignment horizontal="left"/>
    </xf>
    <xf numFmtId="0" fontId="8" fillId="7" borderId="1" pivotButton="0" quotePrefix="0" xfId="0"/>
    <xf numFmtId="0" fontId="8" fillId="6" borderId="1" applyAlignment="1" pivotButton="0" quotePrefix="0" xfId="0">
      <alignment horizontal="left"/>
    </xf>
    <xf numFmtId="0" fontId="8" fillId="0" borderId="1" pivotButton="0" quotePrefix="0" xfId="0"/>
    <xf numFmtId="165" fontId="8" fillId="0" borderId="1" applyAlignment="1" pivotButton="0" quotePrefix="0" xfId="0">
      <alignment horizontal="left"/>
    </xf>
    <xf numFmtId="0" fontId="8" fillId="6" borderId="1" pivotButton="0" quotePrefix="0" xfId="0"/>
    <xf numFmtId="164" fontId="8" fillId="7" borderId="1" applyAlignment="1" pivotButton="0" quotePrefix="0" xfId="0">
      <alignment horizontal="left"/>
    </xf>
    <xf numFmtId="0" fontId="8" fillId="4" borderId="1" pivotButton="0" quotePrefix="0" xfId="0"/>
    <xf numFmtId="0" fontId="8" fillId="4" borderId="1" pivotButton="0" quotePrefix="0" xfId="0"/>
    <xf numFmtId="0" fontId="13" fillId="7" borderId="1" applyAlignment="1" pivotButton="0" quotePrefix="0" xfId="0">
      <alignment horizontal="left"/>
    </xf>
    <xf numFmtId="0" fontId="8" fillId="7" borderId="1" applyAlignment="1" pivotButton="0" quotePrefix="0" xfId="0">
      <alignment horizontal="left"/>
    </xf>
    <xf numFmtId="165" fontId="13" fillId="4" borderId="1" applyAlignment="1" pivotButton="0" quotePrefix="0" xfId="0">
      <alignment horizontal="left"/>
    </xf>
    <xf numFmtId="0" fontId="8" fillId="4" borderId="1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0" fontId="8" fillId="4" borderId="5" applyAlignment="1" pivotButton="0" quotePrefix="0" xfId="0">
      <alignment horizontal="left"/>
    </xf>
    <xf numFmtId="0" fontId="8" fillId="15" borderId="1" pivotButton="0" quotePrefix="0" xfId="0"/>
    <xf numFmtId="0" fontId="13" fillId="15" borderId="1" applyAlignment="1" pivotButton="0" quotePrefix="0" xfId="0">
      <alignment horizontal="left"/>
    </xf>
    <xf numFmtId="0" fontId="8" fillId="15" borderId="1" pivotButton="0" quotePrefix="0" xfId="0"/>
    <xf numFmtId="0" fontId="8" fillId="15" borderId="5" applyAlignment="1" pivotButton="0" quotePrefix="0" xfId="0">
      <alignment horizontal="left"/>
    </xf>
    <xf numFmtId="0" fontId="0" fillId="15" borderId="7" pivotButton="0" quotePrefix="0" xfId="0"/>
    <xf numFmtId="0" fontId="8" fillId="6" borderId="5" applyAlignment="1" pivotButton="0" quotePrefix="0" xfId="0">
      <alignment horizontal="left" wrapText="1"/>
    </xf>
    <xf numFmtId="0" fontId="0" fillId="0" borderId="7" applyAlignment="1" pivotButton="0" quotePrefix="0" xfId="0">
      <alignment wrapText="1"/>
    </xf>
    <xf numFmtId="0" fontId="8" fillId="12" borderId="33" applyAlignment="1" pivotButton="0" quotePrefix="0" xfId="0">
      <alignment horizontal="left" vertical="bottom"/>
    </xf>
    <xf numFmtId="0" fontId="8" fillId="12" borderId="35" applyAlignment="1" pivotButton="0" quotePrefix="0" xfId="0">
      <alignment horizontal="left" vertical="bottom"/>
    </xf>
    <xf numFmtId="0" fontId="8" fillId="0" borderId="33" applyAlignment="1" pivotButton="0" quotePrefix="0" xfId="0">
      <alignment horizontal="left" vertical="top" wrapText="1"/>
    </xf>
    <xf numFmtId="0" fontId="8" fillId="0" borderId="37" applyAlignment="1" pivotButton="0" quotePrefix="0" xfId="0">
      <alignment horizontal="left" vertical="top" wrapText="1"/>
    </xf>
    <xf numFmtId="0" fontId="8" fillId="0" borderId="35" applyAlignment="1" pivotButton="0" quotePrefix="0" xfId="0">
      <alignment horizontal="left" vertical="top" wrapText="1"/>
    </xf>
    <xf numFmtId="0" fontId="8" fillId="0" borderId="33" applyAlignment="1" pivotButton="0" quotePrefix="0" xfId="0">
      <alignment horizontal="center" vertical="top" wrapText="1"/>
    </xf>
    <xf numFmtId="0" fontId="8" fillId="12" borderId="13" applyAlignment="1" pivotButton="0" quotePrefix="0" xfId="0">
      <alignment horizontal="center" vertical="top" wrapText="1"/>
    </xf>
    <xf numFmtId="0" fontId="8" fillId="12" borderId="13" applyAlignment="1" pivotButton="0" quotePrefix="0" xfId="0">
      <alignment vertical="top" wrapText="1"/>
    </xf>
    <xf numFmtId="165" fontId="8" fillId="14" borderId="13" applyAlignment="1" pivotButton="0" quotePrefix="0" xfId="0">
      <alignment horizontal="left" wrapText="1"/>
    </xf>
    <xf numFmtId="0" fontId="8" fillId="12" borderId="5" applyAlignment="1" pivotButton="0" quotePrefix="0" xfId="0">
      <alignment horizontal="left"/>
    </xf>
    <xf numFmtId="0" fontId="0" fillId="12" borderId="7" pivotButton="0" quotePrefix="0" xfId="0"/>
    <xf numFmtId="165" fontId="8" fillId="14" borderId="1" applyAlignment="1" pivotButton="0" quotePrefix="0" xfId="0">
      <alignment horizontal="left"/>
    </xf>
    <xf numFmtId="0" fontId="8" fillId="14" borderId="5" applyAlignment="1" pivotButton="0" quotePrefix="0" xfId="0">
      <alignment horizontal="left" wrapText="1"/>
    </xf>
    <xf numFmtId="0" fontId="0" fillId="14" borderId="7" applyAlignment="1" pivotButton="0" quotePrefix="0" xfId="0">
      <alignment wrapText="1"/>
    </xf>
    <xf numFmtId="0" fontId="8" fillId="11" borderId="1" pivotButton="0" quotePrefix="0" xfId="0"/>
    <xf numFmtId="165" fontId="8" fillId="11" borderId="1" applyAlignment="1" pivotButton="0" quotePrefix="0" xfId="0">
      <alignment horizontal="left"/>
    </xf>
    <xf numFmtId="0" fontId="8" fillId="11" borderId="1" pivotButton="0" quotePrefix="0" xfId="0"/>
    <xf numFmtId="0" fontId="8" fillId="11" borderId="5" applyAlignment="1" pivotButton="0" quotePrefix="0" xfId="0">
      <alignment horizontal="left" wrapText="1"/>
    </xf>
    <xf numFmtId="0" fontId="0" fillId="11" borderId="7" applyAlignment="1" pivotButton="0" quotePrefix="0" xfId="0">
      <alignment wrapText="1"/>
    </xf>
    <xf numFmtId="0" fontId="8" fillId="11" borderId="13" applyAlignment="1" pivotButton="0" quotePrefix="0" xfId="0">
      <alignment wrapText="1"/>
    </xf>
    <xf numFmtId="165" fontId="8" fillId="11" borderId="13" applyAlignment="1" pivotButton="0" quotePrefix="0" xfId="0">
      <alignment horizontal="left" wrapText="1"/>
    </xf>
    <xf numFmtId="0" fontId="8" fillId="11" borderId="13" applyAlignment="1" pivotButton="0" quotePrefix="0" xfId="0">
      <alignment vertical="bottom"/>
    </xf>
    <xf numFmtId="0" fontId="8" fillId="11" borderId="33" applyAlignment="1" pivotButton="0" quotePrefix="0" xfId="0">
      <alignment horizontal="left" vertical="bottom"/>
    </xf>
    <xf numFmtId="0" fontId="8" fillId="11" borderId="35" applyAlignment="1" pivotButton="0" quotePrefix="0" xfId="0">
      <alignment horizontal="left" vertical="bottom"/>
    </xf>
    <xf numFmtId="165" fontId="13" fillId="11" borderId="13" applyAlignment="1" pivotButton="0" quotePrefix="0" xfId="0">
      <alignment horizontal="left" wrapText="1"/>
    </xf>
    <xf numFmtId="0" fontId="8" fillId="11" borderId="33" applyAlignment="1" pivotButton="0" quotePrefix="0" xfId="0">
      <alignment horizontal="left" vertical="bottom"/>
    </xf>
    <xf numFmtId="0" fontId="8" fillId="11" borderId="35" applyAlignment="1" pivotButton="0" quotePrefix="0" xfId="0">
      <alignment horizontal="left" vertical="bottom"/>
    </xf>
    <xf numFmtId="0" fontId="8" fillId="12" borderId="13" applyAlignment="1" pivotButton="0" quotePrefix="0" xfId="0">
      <alignment horizontal="left" vertical="bottom"/>
    </xf>
    <xf numFmtId="0" fontId="8" fillId="6" borderId="13" applyAlignment="1" pivotButton="0" quotePrefix="0" xfId="0">
      <alignment horizontal="left" vertical="bottom"/>
    </xf>
    <xf numFmtId="0" fontId="8" fillId="11" borderId="13" applyAlignment="1" pivotButton="0" quotePrefix="0" xfId="0">
      <alignment horizontal="left" vertical="bottom"/>
    </xf>
    <xf numFmtId="0" fontId="8" fillId="12" borderId="13" applyAlignment="1" pivotButton="0" quotePrefix="0" xfId="0">
      <alignment horizontal="left" vertical="bottom" wrapText="1"/>
    </xf>
    <xf numFmtId="0" fontId="8" fillId="11" borderId="13" applyAlignment="1" pivotButton="0" quotePrefix="0" xfId="0">
      <alignment horizontal="left" vertical="bottom"/>
    </xf>
    <xf numFmtId="0" fontId="8" fillId="12" borderId="13" applyAlignment="1" pivotButton="0" quotePrefix="0" xfId="0">
      <alignment horizontal="left" vertical="bottom"/>
    </xf>
    <xf numFmtId="0" fontId="3" fillId="11" borderId="13" applyAlignment="1" pivotButton="0" quotePrefix="0" xfId="0">
      <alignment vertical="bottom"/>
    </xf>
    <xf numFmtId="0" fontId="3" fillId="11" borderId="13" applyAlignment="1" pivotButton="0" quotePrefix="0" xfId="0">
      <alignment horizontal="center" vertical="bottom"/>
    </xf>
    <xf numFmtId="0" fontId="8" fillId="15" borderId="5" applyAlignment="1" pivotButton="0" quotePrefix="0" xfId="0">
      <alignment horizontal="left" wrapText="1"/>
    </xf>
    <xf numFmtId="0" fontId="0" fillId="15" borderId="7" applyAlignment="1" pivotButton="0" quotePrefix="0" xfId="0">
      <alignment wrapText="1"/>
    </xf>
    <xf numFmtId="165" fontId="16" fillId="4" borderId="1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7" fillId="0" borderId="13" applyAlignment="1" pivotButton="0" quotePrefix="0" xfId="0">
      <alignment horizontal="left" vertical="top" wrapText="1"/>
    </xf>
    <xf numFmtId="0" fontId="13" fillId="11" borderId="13" applyAlignment="1" pivotButton="0" quotePrefix="0" xfId="0">
      <alignment horizontal="left" vertical="bottom"/>
    </xf>
    <xf numFmtId="0" fontId="18" fillId="0" borderId="13" applyAlignment="1" pivotButton="0" quotePrefix="0" xfId="0">
      <alignment horizontal="left" vertical="top" wrapText="1"/>
    </xf>
    <xf numFmtId="0" fontId="16" fillId="11" borderId="13" applyAlignment="1" pivotButton="0" quotePrefix="0" xfId="0">
      <alignment horizontal="left" vertical="bottom"/>
    </xf>
    <xf numFmtId="0" fontId="16" fillId="11" borderId="13" applyAlignment="1" pivotButton="0" quotePrefix="0" xfId="0">
      <alignment horizontal="left" vertical="bottom" wrapText="1"/>
    </xf>
    <xf numFmtId="0" fontId="3" fillId="5" borderId="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8" fillId="6" borderId="1" applyAlignment="1" pivotButton="0" quotePrefix="0" xfId="0">
      <alignment horizontal="center"/>
    </xf>
    <xf numFmtId="0" fontId="3" fillId="5" borderId="9" applyAlignment="1" pivotButton="0" quotePrefix="0" xfId="0">
      <alignment horizontal="center"/>
    </xf>
    <xf numFmtId="0" fontId="8" fillId="6" borderId="5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8" fillId="6" borderId="5" pivotButton="0" quotePrefix="0" xfId="0"/>
    <xf numFmtId="0" fontId="8" fillId="6" borderId="7" pivotButton="0" quotePrefix="0" xfId="0"/>
    <xf numFmtId="0" fontId="8" fillId="6" borderId="5" pivotButton="0" quotePrefix="0" xfId="0"/>
    <xf numFmtId="0" fontId="8" fillId="6" borderId="7" pivotButton="0" quotePrefix="0" xfId="0"/>
    <xf numFmtId="0" fontId="3" fillId="5" borderId="21" applyAlignment="1" pivotButton="0" quotePrefix="0" xfId="0">
      <alignment horizontal="center"/>
    </xf>
    <xf numFmtId="0" fontId="8" fillId="6" borderId="38" pivotButton="0" quotePrefix="0" xfId="0"/>
    <xf numFmtId="0" fontId="8" fillId="6" borderId="33" pivotButton="0" quotePrefix="0" xfId="0"/>
    <xf numFmtId="0" fontId="8" fillId="6" borderId="35" pivotButton="0" quotePrefix="0" xfId="0"/>
    <xf numFmtId="0" fontId="8" fillId="6" borderId="13" pivotButton="0" quotePrefix="0" xfId="0"/>
    <xf numFmtId="0" fontId="3" fillId="5" borderId="21" pivotButton="0" quotePrefix="0" xfId="0"/>
    <xf numFmtId="0" fontId="3" fillId="5" borderId="22" pivotButton="0" quotePrefix="0" xfId="0"/>
    <xf numFmtId="0" fontId="0" fillId="13" borderId="0" pivotButton="0" quotePrefix="0" xfId="0"/>
    <xf numFmtId="0" fontId="3" fillId="5" borderId="30" pivotButton="0" quotePrefix="0" xfId="0"/>
    <xf numFmtId="0" fontId="0" fillId="13" borderId="13" pivotButton="0" quotePrefix="0" xfId="0"/>
    <xf numFmtId="0" fontId="0" fillId="0" borderId="13" pivotButton="0" quotePrefix="0" xfId="0"/>
    <xf numFmtId="0" fontId="3" fillId="13" borderId="13" pivotButton="0" quotePrefix="0" xfId="0"/>
    <xf numFmtId="0" fontId="3" fillId="13" borderId="13" applyAlignment="1" pivotButton="0" quotePrefix="0" xfId="0">
      <alignment wrapText="1"/>
    </xf>
    <xf numFmtId="0" fontId="0" fillId="0" borderId="13" pivotButton="0" quotePrefix="0" xfId="0"/>
    <xf numFmtId="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9" fillId="6" borderId="1" pivotButton="0" quotePrefix="0" xfId="0"/>
    <xf numFmtId="167" fontId="19" fillId="6" borderId="1" pivotButton="0" quotePrefix="0" xfId="0"/>
    <xf numFmtId="0" fontId="20" fillId="6" borderId="1" applyAlignment="1" pivotButton="0" quotePrefix="0" xfId="0">
      <alignment horizontal="left"/>
    </xf>
    <xf numFmtId="0" fontId="10" fillId="6" borderId="1" pivotButton="0" quotePrefix="0" xfId="0"/>
    <xf numFmtId="0" fontId="0" fillId="6" borderId="1" pivotButton="0" quotePrefix="0" xfId="0"/>
    <xf numFmtId="0" fontId="21" fillId="6" borderId="1" applyAlignment="1" pivotButton="0" quotePrefix="0" xfId="0">
      <alignment horizontal="left"/>
    </xf>
    <xf numFmtId="167" fontId="19" fillId="16" borderId="1" pivotButton="0" quotePrefix="0" xfId="0"/>
    <xf numFmtId="167" fontId="19" fillId="0" borderId="1" pivotButton="0" quotePrefix="0" xfId="0"/>
    <xf numFmtId="0" fontId="22" fillId="6" borderId="1" applyAlignment="1" pivotButton="0" quotePrefix="0" xfId="0">
      <alignment horizontal="left"/>
    </xf>
    <xf numFmtId="0" fontId="19" fillId="0" borderId="1" pivotButton="0" quotePrefix="0" xfId="0"/>
    <xf numFmtId="0" fontId="23" fillId="6" borderId="1" applyAlignment="1" pivotButton="0" quotePrefix="0" xfId="0">
      <alignment horizontal="left"/>
    </xf>
    <xf numFmtId="0" fontId="24" fillId="6" borderId="1" applyAlignment="1" pivotButton="0" quotePrefix="0" xfId="0">
      <alignment horizontal="left"/>
    </xf>
    <xf numFmtId="0" fontId="25" fillId="6" borderId="1" applyAlignment="1" pivotButton="0" quotePrefix="0" xfId="0">
      <alignment horizontal="left"/>
    </xf>
    <xf numFmtId="0" fontId="3" fillId="11" borderId="3" applyAlignment="1" pivotButton="0" quotePrefix="0" xfId="0">
      <alignment horizontal="center"/>
    </xf>
    <xf numFmtId="0" fontId="3" fillId="11" borderId="4" applyAlignment="1" pivotButton="0" quotePrefix="0" xfId="0">
      <alignment horizontal="center"/>
    </xf>
    <xf numFmtId="0" fontId="3" fillId="11" borderId="21" pivotButton="0" quotePrefix="0" xfId="0"/>
    <xf numFmtId="0" fontId="3" fillId="11" borderId="30" pivotButton="0" quotePrefix="0" xfId="0"/>
    <xf numFmtId="0" fontId="3" fillId="11" borderId="13" pivotButton="0" quotePrefix="0" xfId="0"/>
    <xf numFmtId="0" fontId="3" fillId="11" borderId="13" applyAlignment="1" pivotButton="0" quotePrefix="0" xfId="0">
      <alignment wrapText="1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167" fontId="19" fillId="11" borderId="1" pivotButton="0" quotePrefix="0" xfId="0"/>
    <xf numFmtId="0" fontId="3" fillId="11" borderId="18" applyAlignment="1" pivotButton="0" quotePrefix="0" xfId="0">
      <alignment horizontal="center"/>
    </xf>
    <xf numFmtId="0" fontId="12" fillId="13" borderId="39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3" borderId="27" applyAlignment="1" pivotButton="0" quotePrefix="0" xfId="0">
      <alignment horizontal="center" vertical="center"/>
    </xf>
    <xf numFmtId="0" fontId="10" fillId="6" borderId="5" pivotButton="0" quotePrefix="0" xfId="0"/>
    <xf numFmtId="0" fontId="0" fillId="6" borderId="27" pivotButton="0" quotePrefix="0" xfId="0"/>
    <xf numFmtId="0" fontId="12" fillId="14" borderId="27" applyAlignment="1" pivotButton="0" quotePrefix="0" xfId="0">
      <alignment horizontal="center" vertical="center"/>
    </xf>
    <xf numFmtId="0" fontId="0" fillId="14" borderId="27" pivotButton="0" quotePrefix="0" xfId="0"/>
    <xf numFmtId="0" fontId="12" fillId="11" borderId="27" applyAlignment="1" pivotButton="0" quotePrefix="0" xfId="0">
      <alignment horizontal="center" vertical="center"/>
    </xf>
    <xf numFmtId="0" fontId="0" fillId="11" borderId="27" pivotButton="0" quotePrefix="0" xfId="0"/>
    <xf numFmtId="0" fontId="3" fillId="5" borderId="18" applyAlignment="1" pivotButton="0" quotePrefix="0" xfId="0">
      <alignment horizontal="center"/>
    </xf>
    <xf numFmtId="0" fontId="3" fillId="5" borderId="13" pivotButton="0" quotePrefix="0" xfId="0"/>
    <xf numFmtId="0" fontId="3" fillId="13" borderId="33" pivotButton="0" quotePrefix="0" xfId="0"/>
    <xf numFmtId="0" fontId="3" fillId="13" borderId="27" pivotButton="0" quotePrefix="0" xfId="0"/>
    <xf numFmtId="0" fontId="3" fillId="13" borderId="27" applyAlignment="1" pivotButton="0" quotePrefix="0" xfId="0">
      <alignment wrapText="1"/>
    </xf>
    <xf numFmtId="0" fontId="3" fillId="11" borderId="33" pivotButton="0" quotePrefix="0" xfId="0"/>
    <xf numFmtId="0" fontId="3" fillId="11" borderId="27" pivotButton="0" quotePrefix="0" xfId="0"/>
    <xf numFmtId="0" fontId="3" fillId="11" borderId="27" applyAlignment="1" pivotButton="0" quotePrefix="0" xfId="0">
      <alignment wrapText="1"/>
    </xf>
    <xf numFmtId="0" fontId="10" fillId="6" borderId="27" pivotButton="0" quotePrefix="0" xfId="0"/>
    <xf numFmtId="0" fontId="10" fillId="11" borderId="27" pivotButton="0" quotePrefix="0" xfId="0"/>
    <xf numFmtId="0" fontId="12" fillId="13" borderId="38" applyAlignment="1" pivotButton="0" quotePrefix="0" xfId="0">
      <alignment horizontal="center" vertical="center"/>
    </xf>
    <xf numFmtId="0" fontId="12" fillId="13" borderId="13" applyAlignment="1" pivotButton="0" quotePrefix="0" xfId="0">
      <alignment horizontal="center" vertical="center"/>
    </xf>
    <xf numFmtId="0" fontId="10" fillId="6" borderId="38" pivotButton="0" quotePrefix="0" xfId="0"/>
    <xf numFmtId="0" fontId="10" fillId="6" borderId="13" pivotButton="0" quotePrefix="0" xfId="0"/>
    <xf numFmtId="0" fontId="10" fillId="6" borderId="40" pivotButton="0" quotePrefix="0" xfId="0"/>
    <xf numFmtId="0" fontId="19" fillId="0" borderId="40" pivotButton="0" quotePrefix="0" xfId="0"/>
    <xf numFmtId="0" fontId="19" fillId="6" borderId="40" pivotButton="0" quotePrefix="0" xfId="0"/>
    <xf numFmtId="0" fontId="22" fillId="6" borderId="40" applyAlignment="1" pivotButton="0" quotePrefix="0" xfId="0">
      <alignment horizontal="left"/>
    </xf>
    <xf numFmtId="0" fontId="10" fillId="6" borderId="41" pivotButton="0" quotePrefix="0" xfId="0"/>
    <xf numFmtId="164" fontId="0" fillId="11" borderId="13" applyAlignment="1" pivotButton="0" quotePrefix="0" xfId="0">
      <alignment horizontal="center" vertical="bottom"/>
    </xf>
    <xf numFmtId="0" fontId="10" fillId="11" borderId="13" applyAlignment="1" pivotButton="0" quotePrefix="0" xfId="0">
      <alignment wrapText="1"/>
    </xf>
    <xf numFmtId="0" fontId="10" fillId="11" borderId="13" applyAlignment="1" pivotButton="0" quotePrefix="0" xfId="0">
      <alignment horizontal="center" wrapText="1"/>
    </xf>
    <xf numFmtId="165" fontId="0" fillId="11" borderId="13" applyAlignment="1" pivotButton="0" quotePrefix="0" xfId="0">
      <alignment horizontal="center" vertical="bottom"/>
    </xf>
    <xf numFmtId="0" fontId="0" fillId="11" borderId="13" applyAlignment="1" pivotButton="0" quotePrefix="0" xfId="0">
      <alignment vertical="bottom"/>
    </xf>
    <xf numFmtId="0" fontId="0" fillId="11" borderId="13" applyAlignment="1" pivotButton="0" quotePrefix="0" xfId="0">
      <alignment horizontal="center" vertical="bottom"/>
    </xf>
    <xf numFmtId="0" fontId="0" fillId="11" borderId="13" applyAlignment="1" pivotButton="0" quotePrefix="0" xfId="0">
      <alignment vertical="bottom"/>
    </xf>
    <xf numFmtId="0" fontId="0" fillId="6" borderId="18" applyAlignment="1" pivotButton="0" quotePrefix="0" xfId="0">
      <alignment vertical="bottom"/>
    </xf>
    <xf numFmtId="1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vertical="top"/>
    </xf>
    <xf numFmtId="0" fontId="8" fillId="7" borderId="1" applyAlignment="1" pivotButton="0" quotePrefix="0" xfId="0">
      <alignment horizontal="left"/>
    </xf>
    <xf numFmtId="1" fontId="8" fillId="6" borderId="1" applyAlignment="1" pivotButton="0" quotePrefix="0" xfId="0">
      <alignment horizontal="center"/>
    </xf>
    <xf numFmtId="1" fontId="8" fillId="4" borderId="1" applyAlignment="1" pivotButton="0" quotePrefix="0" xfId="0">
      <alignment horizontal="center"/>
    </xf>
    <xf numFmtId="0" fontId="8" fillId="6" borderId="1" pivotButton="0" quotePrefix="0" xfId="0"/>
    <xf numFmtId="165" fontId="8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164" fontId="13" fillId="7" borderId="1" applyAlignment="1" pivotButton="0" quotePrefix="0" xfId="0">
      <alignment horizontal="left"/>
    </xf>
    <xf numFmtId="165" fontId="13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0" fontId="0" fillId="5" borderId="4" pivotButton="0" quotePrefix="0" xfId="0"/>
    <xf numFmtId="0" fontId="3" fillId="5" borderId="10" applyAlignment="1" pivotButton="0" quotePrefix="0" xfId="0">
      <alignment horizontal="center"/>
    </xf>
    <xf numFmtId="164" fontId="8" fillId="6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left" wrapText="1"/>
    </xf>
    <xf numFmtId="0" fontId="8" fillId="6" borderId="1" applyAlignment="1" pivotButton="0" quotePrefix="0" xfId="0">
      <alignment wrapText="1"/>
    </xf>
    <xf numFmtId="0" fontId="8" fillId="6" borderId="5" applyAlignment="1" pivotButton="0" quotePrefix="0" xfId="0">
      <alignment horizontal="center" wrapText="1"/>
    </xf>
    <xf numFmtId="1" fontId="8" fillId="7" borderId="1" applyAlignment="1" pivotButton="0" quotePrefix="0" xfId="0">
      <alignment horizontal="center" wrapText="1"/>
    </xf>
    <xf numFmtId="0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wrapText="1"/>
    </xf>
    <xf numFmtId="0" fontId="8" fillId="7" borderId="5" applyAlignment="1" pivotButton="0" quotePrefix="0" xfId="0">
      <alignment horizontal="left" wrapText="1"/>
    </xf>
    <xf numFmtId="1" fontId="8" fillId="6" borderId="1" applyAlignment="1" pivotButton="0" quotePrefix="0" xfId="0">
      <alignment horizontal="center" wrapText="1"/>
    </xf>
    <xf numFmtId="165" fontId="8" fillId="0" borderId="1" applyAlignment="1" pivotButton="0" quotePrefix="0" xfId="0">
      <alignment horizontal="left" wrapText="1"/>
    </xf>
    <xf numFmtId="164" fontId="8" fillId="7" borderId="1" applyAlignment="1" pivotButton="0" quotePrefix="0" xfId="0">
      <alignment horizontal="left" wrapText="1"/>
    </xf>
    <xf numFmtId="1" fontId="8" fillId="4" borderId="1" applyAlignment="1" pivotButton="0" quotePrefix="0" xfId="0">
      <alignment horizontal="center" wrapText="1"/>
    </xf>
    <xf numFmtId="165" fontId="8" fillId="6" borderId="1" applyAlignment="1" pivotButton="0" quotePrefix="0" xfId="0">
      <alignment horizontal="left" wrapText="1"/>
    </xf>
    <xf numFmtId="164" fontId="13" fillId="7" borderId="1" applyAlignment="1" pivotButton="0" quotePrefix="0" xfId="0">
      <alignment horizontal="left" wrapText="1"/>
    </xf>
    <xf numFmtId="165" fontId="13" fillId="6" borderId="1" applyAlignment="1" pivotButton="0" quotePrefix="0" xfId="0">
      <alignment horizontal="left" wrapText="1"/>
    </xf>
    <xf numFmtId="0" fontId="0" fillId="6" borderId="9" applyAlignment="1" pivotButton="0" quotePrefix="0" xfId="0">
      <alignment horizontal="center" vertical="bottom" wrapText="1"/>
    </xf>
    <xf numFmtId="0" fontId="0" fillId="6" borderId="10" applyAlignment="1" pivotButton="0" quotePrefix="0" xfId="0">
      <alignment vertical="bottom" wrapText="1"/>
    </xf>
    <xf numFmtId="0" fontId="0" fillId="11" borderId="4" applyAlignment="1" pivotButton="0" quotePrefix="0" xfId="0">
      <alignment vertical="bottom"/>
    </xf>
    <xf numFmtId="0" fontId="0" fillId="11" borderId="9" applyAlignment="1" pivotButton="0" quotePrefix="0" xfId="0">
      <alignment horizontal="center" vertical="bottom"/>
    </xf>
    <xf numFmtId="0" fontId="0" fillId="11" borderId="10" applyAlignment="1" pivotButton="0" quotePrefix="0" xfId="0">
      <alignment vertical="bottom"/>
    </xf>
    <xf numFmtId="0" fontId="3" fillId="11" borderId="4" applyAlignment="1" pivotButton="0" quotePrefix="0" xfId="0">
      <alignment horizontal="center" wrapText="1"/>
    </xf>
    <xf numFmtId="0" fontId="8" fillId="7" borderId="5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167" fontId="26" fillId="6" borderId="1" pivotButton="0" quotePrefix="0" xfId="0"/>
    <xf numFmtId="0" fontId="8" fillId="0" borderId="1" applyAlignment="1" pivotButton="0" quotePrefix="0" xfId="0">
      <alignment horizontal="center" wrapText="1"/>
    </xf>
    <xf numFmtId="0" fontId="8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wrapText="1"/>
    </xf>
    <xf numFmtId="0" fontId="8" fillId="6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wrapText="1"/>
    </xf>
    <xf numFmtId="0" fontId="13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wrapText="1"/>
    </xf>
    <xf numFmtId="0" fontId="13" fillId="6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vertical="center" wrapText="1"/>
    </xf>
    <xf numFmtId="165" fontId="8" fillId="0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left" vertical="center" wrapText="1"/>
    </xf>
    <xf numFmtId="164" fontId="13" fillId="7" borderId="1" applyAlignment="1" pivotButton="0" quotePrefix="0" xfId="0">
      <alignment horizontal="left" vertical="center" wrapText="1"/>
    </xf>
    <xf numFmtId="165" fontId="13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5" fontId="13" fillId="6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 wrapText="1"/>
    </xf>
    <xf numFmtId="167" fontId="27" fillId="6" borderId="1" pivotButton="0" quotePrefix="0" xfId="0"/>
    <xf numFmtId="0" fontId="12" fillId="13" borderId="33" applyAlignment="1" pivotButton="0" quotePrefix="0" xfId="0">
      <alignment horizontal="center" vertical="center"/>
    </xf>
    <xf numFmtId="0" fontId="12" fillId="13" borderId="35" applyAlignment="1" pivotButton="0" quotePrefix="0" xfId="0">
      <alignment horizontal="center" vertical="center"/>
    </xf>
    <xf numFmtId="0" fontId="10" fillId="6" borderId="35" pivotButton="0" quotePrefix="0" xfId="0"/>
    <xf numFmtId="0" fontId="10" fillId="6" borderId="38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1" fontId="8" fillId="7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" fontId="8" fillId="4" borderId="1" applyAlignment="1" pivotButton="0" quotePrefix="0" xfId="0">
      <alignment horizontal="center" vertical="center" wrapText="1"/>
    </xf>
    <xf numFmtId="0" fontId="0" fillId="12" borderId="4" applyAlignment="1" pivotButton="0" quotePrefix="0" xfId="0">
      <alignment vertical="bottom" wrapText="1"/>
    </xf>
    <xf numFmtId="0" fontId="0" fillId="12" borderId="9" applyAlignment="1" pivotButton="0" quotePrefix="0" xfId="0">
      <alignment horizontal="center" vertical="bottom" wrapText="1"/>
    </xf>
    <xf numFmtId="0" fontId="0" fillId="12" borderId="10" applyAlignment="1" pivotButton="0" quotePrefix="0" xfId="0">
      <alignment vertical="bottom" wrapText="1"/>
    </xf>
    <xf numFmtId="0" fontId="0" fillId="3" borderId="20" applyAlignment="1" pivotButton="0" quotePrefix="0" xfId="0">
      <alignment vertical="bottom"/>
    </xf>
    <xf numFmtId="0" fontId="2" fillId="4" borderId="13" applyAlignment="1" pivotButton="0" quotePrefix="0" xfId="0">
      <alignment horizontal="center" vertical="bottom"/>
    </xf>
    <xf numFmtId="0" fontId="3" fillId="5" borderId="13" applyAlignment="1" pivotButton="0" quotePrefix="0" xfId="0">
      <alignment horizontal="center"/>
    </xf>
    <xf numFmtId="0" fontId="3" fillId="11" borderId="13" applyAlignment="1" pivotButton="0" quotePrefix="0" xfId="0">
      <alignment horizontal="center"/>
    </xf>
    <xf numFmtId="0" fontId="3" fillId="11" borderId="13" applyAlignment="1" pivotButton="0" quotePrefix="0" xfId="0">
      <alignment horizontal="center" wrapText="1"/>
    </xf>
    <xf numFmtId="0" fontId="12" fillId="13" borderId="13" applyAlignment="1" pivotButton="0" quotePrefix="0" xfId="0">
      <alignment horizontal="left" vertical="center"/>
    </xf>
    <xf numFmtId="0" fontId="19" fillId="6" borderId="13" pivotButton="0" quotePrefix="0" xfId="0"/>
    <xf numFmtId="167" fontId="26" fillId="6" borderId="13" pivotButton="0" quotePrefix="0" xfId="0"/>
    <xf numFmtId="0" fontId="23" fillId="6" borderId="13" applyAlignment="1" pivotButton="0" quotePrefix="0" xfId="0">
      <alignment horizontal="left"/>
    </xf>
    <xf numFmtId="0" fontId="10" fillId="6" borderId="13" applyAlignment="1" pivotButton="0" quotePrefix="0" xfId="0">
      <alignment horizontal="center"/>
    </xf>
    <xf numFmtId="167" fontId="19" fillId="6" borderId="13" pivotButton="0" quotePrefix="0" xfId="0"/>
    <xf numFmtId="0" fontId="24" fillId="6" borderId="13" applyAlignment="1" pivotButton="0" quotePrefix="0" xfId="0">
      <alignment horizontal="left"/>
    </xf>
    <xf numFmtId="167" fontId="19" fillId="11" borderId="13" pivotButton="0" quotePrefix="0" xfId="0"/>
    <xf numFmtId="167" fontId="19" fillId="0" borderId="13" pivotButton="0" quotePrefix="0" xfId="0"/>
    <xf numFmtId="0" fontId="25" fillId="6" borderId="13" applyAlignment="1" pivotButton="0" quotePrefix="0" xfId="0">
      <alignment horizontal="left"/>
    </xf>
    <xf numFmtId="0" fontId="19" fillId="0" borderId="13" pivotButton="0" quotePrefix="0" xfId="0"/>
    <xf numFmtId="0" fontId="22" fillId="6" borderId="13" applyAlignment="1" pivotButton="0" quotePrefix="0" xfId="0">
      <alignment horizontal="left"/>
    </xf>
    <xf numFmtId="0" fontId="2" fillId="4" borderId="13" applyAlignment="1" pivotButton="0" quotePrefix="0" xfId="0">
      <alignment horizontal="center"/>
    </xf>
    <xf numFmtId="164" fontId="8" fillId="6" borderId="13" applyAlignment="1" pivotButton="0" quotePrefix="0" xfId="0">
      <alignment horizontal="center" wrapText="1"/>
    </xf>
    <xf numFmtId="0" fontId="8" fillId="0" borderId="13" applyAlignment="1" pivotButton="0" quotePrefix="0" xfId="0">
      <alignment horizontal="left" wrapText="1"/>
    </xf>
    <xf numFmtId="0" fontId="13" fillId="0" borderId="13" applyAlignment="1" pivotButton="0" quotePrefix="0" xfId="0">
      <alignment horizontal="center" vertical="center" wrapText="1"/>
    </xf>
    <xf numFmtId="0" fontId="13" fillId="6" borderId="13" applyAlignment="1" pivotButton="0" quotePrefix="0" xfId="0">
      <alignment horizontal="center" vertical="center" wrapText="1"/>
    </xf>
    <xf numFmtId="0" fontId="8" fillId="6" borderId="13" applyAlignment="1" pivotButton="0" quotePrefix="0" xfId="0">
      <alignment horizontal="center" wrapText="1"/>
    </xf>
    <xf numFmtId="1" fontId="8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vertical="top" wrapText="1"/>
    </xf>
    <xf numFmtId="0" fontId="13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center" wrapText="1"/>
    </xf>
    <xf numFmtId="1" fontId="8" fillId="6" borderId="13" applyAlignment="1" pivotButton="0" quotePrefix="0" xfId="0">
      <alignment horizontal="center" vertical="center" wrapText="1"/>
    </xf>
    <xf numFmtId="165" fontId="13" fillId="0" borderId="13" applyAlignment="1" pivotButton="0" quotePrefix="0" xfId="0">
      <alignment horizontal="center" vertical="center" wrapText="1"/>
    </xf>
    <xf numFmtId="0" fontId="8" fillId="6" borderId="13" applyAlignment="1" pivotButton="0" quotePrefix="0" xfId="0">
      <alignment horizontal="left" wrapText="1"/>
    </xf>
    <xf numFmtId="0" fontId="8" fillId="7" borderId="13" applyAlignment="1" pivotButton="0" quotePrefix="0" xfId="0">
      <alignment wrapText="1"/>
    </xf>
    <xf numFmtId="164" fontId="13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left" wrapText="1"/>
    </xf>
    <xf numFmtId="1" fontId="8" fillId="4" borderId="13" applyAlignment="1" pivotButton="0" quotePrefix="0" xfId="0">
      <alignment horizontal="center" vertical="center" wrapText="1"/>
    </xf>
    <xf numFmtId="0" fontId="8" fillId="6" borderId="13" applyAlignment="1" pivotButton="0" quotePrefix="0" xfId="0">
      <alignment wrapText="1"/>
    </xf>
    <xf numFmtId="165" fontId="13" fillId="6" borderId="13" applyAlignment="1" pivotButton="0" quotePrefix="0" xfId="0">
      <alignment horizontal="center" vertical="center" wrapText="1"/>
    </xf>
    <xf numFmtId="0" fontId="0" fillId="12" borderId="13" applyAlignment="1" pivotButton="0" quotePrefix="0" xfId="0">
      <alignment vertical="bottom" wrapText="1"/>
    </xf>
    <xf numFmtId="0" fontId="0" fillId="12" borderId="13" applyAlignment="1" pivotButton="0" quotePrefix="0" xfId="0">
      <alignment horizontal="center" vertical="bottom" wrapText="1"/>
    </xf>
    <xf numFmtId="0" fontId="8" fillId="11" borderId="13" applyAlignment="1" pivotButton="0" quotePrefix="0" xfId="0">
      <alignment horizontal="center" vertical="bottom"/>
    </xf>
    <xf numFmtId="0" fontId="8" fillId="11" borderId="33" applyAlignment="1" pivotButton="0" quotePrefix="0" xfId="0">
      <alignment horizontal="center" vertical="bottom"/>
    </xf>
    <xf numFmtId="1" fontId="8" fillId="11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vertical="center" wrapText="1"/>
    </xf>
    <xf numFmtId="0" fontId="8" fillId="0" borderId="13" applyAlignment="1" pivotButton="0" quotePrefix="0" xfId="0">
      <alignment horizontal="left" vertical="center" wrapText="1"/>
    </xf>
    <xf numFmtId="0" fontId="10" fillId="6" borderId="13" applyAlignment="1" pivotButton="0" quotePrefix="0" xfId="0">
      <alignment horizontal="center" wrapText="1"/>
    </xf>
    <xf numFmtId="0" fontId="10" fillId="6" borderId="13" applyAlignment="1" pivotButton="0" quotePrefix="0" xfId="0">
      <alignment wrapText="1"/>
    </xf>
    <xf numFmtId="0" fontId="13" fillId="12" borderId="13" applyAlignment="1" pivotButton="0" quotePrefix="0" xfId="0">
      <alignment wrapText="1"/>
    </xf>
    <xf numFmtId="0" fontId="13" fillId="7" borderId="13" applyAlignment="1" pivotButton="0" quotePrefix="0" xfId="0">
      <alignment vertical="bottom"/>
    </xf>
    <xf numFmtId="0" fontId="13" fillId="12" borderId="13" applyAlignment="1" pivotButton="0" quotePrefix="0" xfId="0">
      <alignment horizontal="left" vertical="bottom"/>
    </xf>
    <xf numFmtId="167" fontId="27" fillId="6" borderId="13" pivotButton="0" quotePrefix="0" xfId="0"/>
    <xf numFmtId="0" fontId="16" fillId="0" borderId="13" applyAlignment="1" pivotButton="0" quotePrefix="0" xfId="0">
      <alignment horizontal="center" wrapText="1"/>
    </xf>
    <xf numFmtId="0" fontId="16" fillId="0" borderId="13" applyAlignment="1" pivotButton="0" quotePrefix="0" xfId="0">
      <alignment horizontal="center"/>
    </xf>
    <xf numFmtId="0" fontId="8" fillId="6" borderId="13" applyAlignment="1" pivotButton="0" quotePrefix="0" xfId="0">
      <alignment horizontal="center" vertical="bottom"/>
    </xf>
    <xf numFmtId="0" fontId="8" fillId="7" borderId="13" applyAlignment="1" pivotButton="0" quotePrefix="0" xfId="0">
      <alignment horizontal="center" vertical="bottom"/>
    </xf>
    <xf numFmtId="0" fontId="8" fillId="12" borderId="13" applyAlignment="1" pivotButton="0" quotePrefix="0" xfId="0">
      <alignment horizontal="center" vertical="bottom"/>
    </xf>
    <xf numFmtId="0" fontId="8" fillId="0" borderId="13" applyAlignment="1" pivotButton="0" quotePrefix="0" xfId="0">
      <alignment horizontal="center" wrapText="1"/>
    </xf>
    <xf numFmtId="165" fontId="16" fillId="0" borderId="13" applyAlignment="1" pivotButton="0" quotePrefix="0" xfId="0">
      <alignment horizontal="center" wrapText="1"/>
    </xf>
    <xf numFmtId="0" fontId="13" fillId="12" borderId="13" applyAlignment="1" pivotButton="0" quotePrefix="0" xfId="0">
      <alignment horizontal="center" wrapText="1"/>
    </xf>
    <xf numFmtId="164" fontId="13" fillId="12" borderId="13" applyAlignment="1" pivotButton="0" quotePrefix="0" xfId="0">
      <alignment horizontal="center" wrapText="1"/>
    </xf>
    <xf numFmtId="0" fontId="13" fillId="7" borderId="13" applyAlignment="1" pivotButton="0" quotePrefix="0" xfId="0">
      <alignment horizontal="center" vertical="bottom"/>
    </xf>
    <xf numFmtId="0" fontId="13" fillId="12" borderId="13" applyAlignment="1" pivotButton="0" quotePrefix="0" xfId="0">
      <alignment horizontal="center" vertical="bottom"/>
    </xf>
    <xf numFmtId="0" fontId="8" fillId="11" borderId="13" applyAlignment="1" pivotButton="0" quotePrefix="0" xfId="0">
      <alignment horizontal="center" wrapText="1"/>
    </xf>
    <xf numFmtId="165" fontId="8" fillId="11" borderId="13" applyAlignment="1" pivotButton="0" quotePrefix="0" xfId="0">
      <alignment horizontal="center" wrapText="1"/>
    </xf>
    <xf numFmtId="0" fontId="16" fillId="11" borderId="13" applyAlignment="1" pivotButton="0" quotePrefix="0" xfId="0">
      <alignment horizontal="center" vertical="bottom" wrapText="1"/>
    </xf>
    <xf numFmtId="0" fontId="8" fillId="12" borderId="13" applyAlignment="1" pivotButton="0" quotePrefix="0" xfId="0">
      <alignment horizontal="center" wrapText="1"/>
    </xf>
    <xf numFmtId="0" fontId="8" fillId="12" borderId="13" applyAlignment="1" pivotButton="0" quotePrefix="0" xfId="0">
      <alignment horizontal="center" vertical="bottom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/>
    </xf>
    <xf numFmtId="0" fontId="8" fillId="6" borderId="13" applyAlignment="1" pivotButton="0" quotePrefix="0" xfId="0">
      <alignment horizontal="center" vertical="center"/>
    </xf>
    <xf numFmtId="0" fontId="8" fillId="6" borderId="13" applyAlignment="1" pivotButton="0" quotePrefix="0" xfId="0">
      <alignment horizontal="center" vertical="center"/>
    </xf>
    <xf numFmtId="0" fontId="8" fillId="12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center" vertical="center"/>
    </xf>
    <xf numFmtId="0" fontId="8" fillId="12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165" fontId="16" fillId="0" borderId="13" applyAlignment="1" pivotButton="0" quotePrefix="0" xfId="0">
      <alignment horizontal="center" vertical="center" wrapText="1"/>
    </xf>
    <xf numFmtId="0" fontId="13" fillId="12" borderId="13" applyAlignment="1" pivotButton="0" quotePrefix="0" xfId="0">
      <alignment horizontal="center" vertical="center" wrapText="1"/>
    </xf>
    <xf numFmtId="164" fontId="13" fillId="12" borderId="13" applyAlignment="1" pivotButton="0" quotePrefix="0" xfId="0">
      <alignment horizontal="center" vertical="center" wrapText="1"/>
    </xf>
    <xf numFmtId="0" fontId="13" fillId="7" borderId="13" applyAlignment="1" pivotButton="0" quotePrefix="0" xfId="0">
      <alignment horizontal="center" vertical="center"/>
    </xf>
    <xf numFmtId="0" fontId="13" fillId="12" borderId="13" applyAlignment="1" pivotButton="0" quotePrefix="0" xfId="0">
      <alignment horizontal="center" vertical="center"/>
    </xf>
    <xf numFmtId="0" fontId="8" fillId="11" borderId="13" applyAlignment="1" pivotButton="0" quotePrefix="0" xfId="0">
      <alignment horizontal="center" vertical="center" wrapText="1"/>
    </xf>
    <xf numFmtId="165" fontId="8" fillId="11" borderId="13" applyAlignment="1" pivotButton="0" quotePrefix="0" xfId="0">
      <alignment horizontal="center" vertical="center" wrapText="1"/>
    </xf>
    <xf numFmtId="0" fontId="8" fillId="11" borderId="13" applyAlignment="1" pivotButton="0" quotePrefix="0" xfId="0">
      <alignment horizontal="center" vertical="center"/>
    </xf>
    <xf numFmtId="0" fontId="16" fillId="11" borderId="13" applyAlignment="1" pivotButton="0" quotePrefix="0" xfId="0">
      <alignment horizontal="center" vertical="center" wrapText="1"/>
    </xf>
    <xf numFmtId="0" fontId="8" fillId="12" borderId="13" applyAlignment="1" pivotButton="0" quotePrefix="0" xfId="0">
      <alignment horizontal="center" vertical="center"/>
    </xf>
    <xf numFmtId="0" fontId="12" fillId="13" borderId="13" applyAlignment="1" pivotButton="0" quotePrefix="0" xfId="0">
      <alignment vertical="center"/>
    </xf>
    <xf numFmtId="0" fontId="2" fillId="4" borderId="13" pivotButton="0" quotePrefix="0" xfId="0"/>
    <xf numFmtId="164" fontId="8" fillId="11" borderId="13" applyAlignment="1" pivotButton="0" quotePrefix="0" xfId="0">
      <alignment horizontal="center" vertical="bottom"/>
    </xf>
    <xf numFmtId="0" fontId="13" fillId="11" borderId="13" applyAlignment="1" pivotButton="0" quotePrefix="0" xfId="0">
      <alignment horizontal="left" wrapText="1"/>
    </xf>
    <xf numFmtId="0" fontId="8" fillId="11" borderId="13" applyAlignment="1" pivotButton="0" quotePrefix="0" xfId="0">
      <alignment vertical="bottom"/>
    </xf>
    <xf numFmtId="0" fontId="8" fillId="11" borderId="33" applyAlignment="1" pivotButton="0" quotePrefix="0" xfId="0">
      <alignment vertical="bottom"/>
    </xf>
    <xf numFmtId="0" fontId="8" fillId="11" borderId="35" applyAlignment="1" pivotButton="0" quotePrefix="0" xfId="0">
      <alignment vertical="bottom"/>
    </xf>
    <xf numFmtId="0" fontId="8" fillId="11" borderId="13" applyAlignment="1" pivotButton="0" quotePrefix="0" xfId="0">
      <alignment horizontal="center" vertical="bottom"/>
    </xf>
    <xf numFmtId="0" fontId="8" fillId="11" borderId="33" applyAlignment="1" pivotButton="0" quotePrefix="0" xfId="0">
      <alignment horizontal="center" vertical="bottom"/>
    </xf>
    <xf numFmtId="0" fontId="8" fillId="11" borderId="13" applyAlignment="1" pivotButton="0" quotePrefix="0" xfId="0">
      <alignment vertical="center" wrapText="1"/>
    </xf>
    <xf numFmtId="0" fontId="13" fillId="11" borderId="13" applyAlignment="1" pivotButton="0" quotePrefix="0" xfId="0">
      <alignment horizontal="left" vertical="center" wrapText="1"/>
    </xf>
    <xf numFmtId="0" fontId="13" fillId="11" borderId="13" applyAlignment="1" pivotButton="0" quotePrefix="0" xfId="0">
      <alignment horizontal="center" vertical="center" wrapText="1"/>
    </xf>
    <xf numFmtId="0" fontId="28" fillId="11" borderId="13" applyAlignment="1" pivotButton="0" quotePrefix="0" xfId="0">
      <alignment wrapText="1"/>
    </xf>
    <xf numFmtId="0" fontId="8" fillId="6" borderId="13" applyAlignment="1" pivotButton="0" quotePrefix="0" xfId="0">
      <alignment horizontal="center" vertical="bottom" wrapText="1"/>
    </xf>
    <xf numFmtId="0" fontId="8" fillId="6" borderId="13" applyAlignment="1" pivotButton="0" quotePrefix="0" xfId="0">
      <alignment vertical="bottom" wrapText="1"/>
    </xf>
    <xf numFmtId="0" fontId="0" fillId="0" borderId="23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applyAlignment="1" pivotButton="0" quotePrefix="0" xfId="0">
      <alignment horizontal="center"/>
    </xf>
    <xf numFmtId="0" fontId="0" fillId="0" borderId="28" pivotButton="0" quotePrefix="0" xfId="0"/>
    <xf numFmtId="0" fontId="0" fillId="0" borderId="29" applyAlignment="1" pivotButton="0" quotePrefix="0" xfId="0">
      <alignment horizontal="center"/>
    </xf>
    <xf numFmtId="0" fontId="0" fillId="0" borderId="30" pivotButton="0" quotePrefix="0" xfId="0"/>
    <xf numFmtId="0" fontId="3" fillId="11" borderId="33" applyAlignment="1" pivotButton="0" quotePrefix="0" xfId="0">
      <alignment vertical="bottom"/>
    </xf>
    <xf numFmtId="0" fontId="3" fillId="11" borderId="13" applyAlignment="1" pivotButton="0" quotePrefix="0" xfId="0">
      <alignment vertical="bottom" wrapText="1"/>
    </xf>
    <xf numFmtId="0" fontId="3" fillId="11" borderId="13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/>
    </xf>
    <xf numFmtId="0" fontId="29" fillId="17" borderId="13" applyAlignment="1" pivotButton="0" quotePrefix="0" xfId="0">
      <alignment horizontal="center" vertical="center" wrapText="1"/>
    </xf>
    <xf numFmtId="0" fontId="0" fillId="17" borderId="13" pivotButton="0" quotePrefix="0" xfId="0"/>
    <xf numFmtId="0" fontId="29" fillId="17" borderId="13" pivotButton="0" quotePrefix="0" xfId="0"/>
    <xf numFmtId="0" fontId="30" fillId="17" borderId="13" applyAlignment="1" pivotButton="0" quotePrefix="0" xfId="0">
      <alignment horizontal="center" vertical="center" wrapText="1"/>
    </xf>
    <xf numFmtId="0" fontId="30" fillId="17" borderId="13" pivotButton="0" quotePrefix="0" xfId="0"/>
    <xf numFmtId="0" fontId="30" fillId="18" borderId="13" applyAlignment="1" pivotButton="0" quotePrefix="0" xfId="0">
      <alignment horizontal="center" vertical="center" wrapText="1"/>
    </xf>
    <xf numFmtId="1" fontId="31" fillId="19" borderId="13" applyAlignment="1" pivotButton="0" quotePrefix="0" xfId="0">
      <alignment horizontal="center" vertical="center" wrapText="1"/>
    </xf>
    <xf numFmtId="0" fontId="0" fillId="19" borderId="13" pivotButton="0" quotePrefix="0" xfId="0"/>
    <xf numFmtId="1" fontId="31" fillId="20" borderId="13" applyAlignment="1" pivotButton="0" quotePrefix="0" xfId="0">
      <alignment horizontal="center" vertical="center" wrapText="1"/>
    </xf>
    <xf numFmtId="0" fontId="0" fillId="20" borderId="13" pivotButton="0" quotePrefix="0" xfId="0"/>
    <xf numFmtId="168" fontId="31" fillId="21" borderId="13" applyAlignment="1" pivotButton="0" quotePrefix="0" xfId="0">
      <alignment horizontal="center" vertical="center" wrapText="1"/>
    </xf>
    <xf numFmtId="0" fontId="32" fillId="19" borderId="13" applyAlignment="1" pivotButton="0" quotePrefix="0" xfId="0">
      <alignment horizontal="center" vertical="center" wrapText="1"/>
    </xf>
    <xf numFmtId="1" fontId="32" fillId="20" borderId="13" applyAlignment="1" pivotButton="0" quotePrefix="0" xfId="0">
      <alignment horizontal="center" vertical="center" wrapText="1"/>
    </xf>
    <xf numFmtId="0" fontId="33" fillId="17" borderId="13" applyAlignment="1" pivotButton="0" quotePrefix="0" xfId="0">
      <alignment horizontal="left" vertical="center" wrapText="1"/>
    </xf>
    <xf numFmtId="1" fontId="32" fillId="21" borderId="13" applyAlignment="1" pivotButton="0" quotePrefix="0" xfId="0">
      <alignment horizontal="center" vertical="center" wrapText="1"/>
    </xf>
    <xf numFmtId="0" fontId="32" fillId="19" borderId="13" applyAlignment="1" pivotButton="0" quotePrefix="0" xfId="0">
      <alignment horizontal="left" vertical="center" wrapText="1"/>
    </xf>
    <xf numFmtId="0" fontId="0" fillId="18" borderId="13" pivotButton="0" quotePrefix="0" xfId="0"/>
    <xf numFmtId="1" fontId="32" fillId="19" borderId="13" applyAlignment="1" pivotButton="0" quotePrefix="0" xfId="0">
      <alignment horizontal="center" vertical="center" wrapText="1"/>
    </xf>
    <xf numFmtId="168" fontId="32" fillId="20" borderId="13" applyAlignment="1" pivotButton="0" quotePrefix="0" xfId="0">
      <alignment horizontal="center" vertical="center" wrapText="1"/>
    </xf>
    <xf numFmtId="1" fontId="32" fillId="17" borderId="13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1" fontId="8" fillId="7" borderId="13" applyAlignment="1" pivotButton="0" quotePrefix="0" xfId="0">
      <alignment horizontal="center" vertical="center" wrapText="1"/>
    </xf>
    <xf numFmtId="1" fontId="8" fillId="6" borderId="13" applyAlignment="1" pivotButton="0" quotePrefix="0" xfId="0">
      <alignment horizontal="center" vertical="center" wrapText="1"/>
    </xf>
    <xf numFmtId="1" fontId="8" fillId="11" borderId="13" applyAlignment="1" pivotButton="0" quotePrefix="0" xfId="0">
      <alignment horizontal="center" vertical="center" wrapText="1"/>
    </xf>
    <xf numFmtId="49" fontId="32" fillId="19" borderId="13" applyAlignment="1" pivotButton="0" quotePrefix="0" xfId="0">
      <alignment horizontal="center" vertical="center" wrapText="1"/>
    </xf>
    <xf numFmtId="0" fontId="32" fillId="22" borderId="13" applyAlignment="1" pivotButton="0" quotePrefix="0" xfId="0">
      <alignment horizontal="center" vertical="center" wrapText="1"/>
    </xf>
    <xf numFmtId="0" fontId="32" fillId="19" borderId="13" applyAlignment="1" pivotButton="0" quotePrefix="0" xfId="0">
      <alignment horizontal="left" vertical="top" wrapText="1"/>
    </xf>
    <xf numFmtId="0" fontId="32" fillId="20" borderId="13" applyAlignment="1" pivotButton="0" quotePrefix="0" xfId="0">
      <alignment horizontal="center" vertical="center" wrapText="1"/>
    </xf>
    <xf numFmtId="0" fontId="29" fillId="18" borderId="13" applyAlignment="1" pivotButton="0" quotePrefix="0" xfId="0">
      <alignment horizontal="center" vertical="center" wrapText="1"/>
    </xf>
    <xf numFmtId="0" fontId="28" fillId="0" borderId="59" pivotButton="0" quotePrefix="0" xfId="0"/>
    <xf numFmtId="0" fontId="30" fillId="17" borderId="13" applyAlignment="1" pivotButton="0" quotePrefix="0" xfId="0">
      <alignment horizontal="left" vertical="center" wrapText="1"/>
    </xf>
    <xf numFmtId="0" fontId="32" fillId="22" borderId="13" applyAlignment="1" pivotButton="0" quotePrefix="0" xfId="0">
      <alignment horizontal="left" vertical="top" wrapText="1"/>
    </xf>
    <xf numFmtId="0" fontId="0" fillId="22" borderId="13" pivotButton="0" quotePrefix="0" xfId="0"/>
    <xf numFmtId="0" fontId="4" fillId="10" borderId="1" applyAlignment="1" pivotButton="0" quotePrefix="0" xfId="0">
      <alignment horizontal="center" vertical="bottom"/>
    </xf>
    <xf numFmtId="0" fontId="0" fillId="0" borderId="44" pivotButton="0" quotePrefix="0" xfId="0"/>
    <xf numFmtId="0" fontId="0" fillId="0" borderId="45" pivotButton="0" quotePrefix="0" xfId="0"/>
    <xf numFmtId="0" fontId="2" fillId="4" borderId="50" applyAlignment="1" pivotButton="0" quotePrefix="0" xfId="0">
      <alignment horizontal="center" vertical="bottom"/>
    </xf>
    <xf numFmtId="0" fontId="0" fillId="0" borderId="52" pivotButton="0" quotePrefix="0" xfId="0"/>
    <xf numFmtId="0" fontId="0" fillId="0" borderId="53" pivotButton="0" quotePrefix="0" xfId="0"/>
    <xf numFmtId="0" fontId="2" fillId="4" borderId="50" applyAlignment="1" pivotButton="0" quotePrefix="0" xfId="0">
      <alignment horizontal="center"/>
    </xf>
    <xf numFmtId="0" fontId="0" fillId="6" borderId="10" applyAlignment="1" pivotButton="0" quotePrefix="0" xfId="0">
      <alignment horizontal="center" vertical="bottom"/>
    </xf>
    <xf numFmtId="0" fontId="0" fillId="12" borderId="10" applyAlignment="1" pivotButton="0" quotePrefix="0" xfId="0">
      <alignment horizontal="center" vertical="bottom"/>
    </xf>
    <xf numFmtId="0" fontId="0" fillId="0" borderId="56" pivotButton="0" quotePrefix="0" xfId="0"/>
    <xf numFmtId="0" fontId="2" fillId="4" borderId="54" applyAlignment="1" pivotButton="0" quotePrefix="0" xfId="0">
      <alignment horizontal="center" vertical="bottom"/>
    </xf>
    <xf numFmtId="0" fontId="0" fillId="0" borderId="55" pivotButton="0" quotePrefix="0" xfId="0"/>
    <xf numFmtId="0" fontId="2" fillId="4" borderId="57" applyAlignment="1" pivotButton="0" quotePrefix="0" xfId="0">
      <alignment horizontal="center" vertical="bottom"/>
    </xf>
    <xf numFmtId="0" fontId="0" fillId="0" borderId="58" pivotButton="0" quotePrefix="0" xfId="0"/>
    <xf numFmtId="0" fontId="8" fillId="12" borderId="1" applyAlignment="1" pivotButton="0" quotePrefix="0" xfId="0">
      <alignment horizontal="left"/>
    </xf>
    <xf numFmtId="0" fontId="8" fillId="11" borderId="1" applyAlignment="1" pivotButton="0" quotePrefix="0" xfId="0">
      <alignment horizontal="left" wrapText="1"/>
    </xf>
    <xf numFmtId="0" fontId="8" fillId="15" borderId="1" applyAlignment="1" pivotButton="0" quotePrefix="0" xfId="0">
      <alignment horizontal="left" wrapText="1"/>
    </xf>
    <xf numFmtId="0" fontId="8" fillId="14" borderId="13" applyAlignment="1" pivotButton="0" quotePrefix="0" xfId="0">
      <alignment horizontal="left" vertical="bottom"/>
    </xf>
  </cellXfs>
  <cellStyles count="1">
    <cellStyle name="Обычный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crm.forus.ru/crm/lead/details/265572/" TargetMode="External" Id="rId1"/><Relationship Type="http://schemas.openxmlformats.org/officeDocument/2006/relationships/hyperlink" Target="https://crm.forus.ru/crm/deal/details/318062/" TargetMode="External" Id="rId2"/><Relationship Type="http://schemas.openxmlformats.org/officeDocument/2006/relationships/hyperlink" Target="https://crm.forus.ru/crm/lead/details/265387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0" workbookViewId="0">
      <selection activeCell="A1" sqref="A1"/>
    </sheetView>
  </sheetViews>
  <sheetFormatPr baseColWidth="13" defaultColWidth="13.4" defaultRowHeight="14.25" customHeight="1"/>
  <cols>
    <col width="8.762" customWidth="1" min="1" max="1"/>
    <col width="49.902" customWidth="1" min="2" max="2"/>
    <col width="35.613" customWidth="1" min="3" max="3"/>
    <col width="35.184" customWidth="1" min="4" max="4"/>
    <col width="24.141" customWidth="1" min="5" max="5"/>
    <col width="29.543" customWidth="1" min="6" max="6"/>
    <col width="34.801" customWidth="1" min="7" max="7"/>
    <col width="19.543" customWidth="1" min="9" max="9"/>
    <col width="13" customWidth="1" min="10" max="10"/>
    <col width="28" customWidth="1" min="11" max="11"/>
  </cols>
  <sheetData>
    <row r="1" ht="10.35" customHeight="1">
      <c r="A1" s="697" t="inlineStr">
        <is>
          <t>ВСТРЕЧА ЦП-ЦКС-ЦСВ-СМАК</t>
        </is>
      </c>
      <c r="B1" s="717" t="n"/>
      <c r="C1" s="717" t="n"/>
      <c r="D1" s="717" t="n"/>
      <c r="E1" s="717" t="n"/>
      <c r="F1" s="717" t="n"/>
      <c r="G1" s="718" t="n"/>
    </row>
    <row r="2">
      <c r="A2" s="588" t="n"/>
      <c r="B2" s="588" t="n"/>
      <c r="C2" s="588" t="n"/>
      <c r="D2" s="588" t="n"/>
      <c r="E2" s="588" t="n"/>
      <c r="F2" s="588" t="n"/>
      <c r="G2" s="588" t="n"/>
    </row>
    <row r="3" ht="22" customHeight="1">
      <c r="A3" s="697" t="inlineStr">
        <is>
          <t>План по ЭПД</t>
        </is>
      </c>
      <c r="B3" s="717" t="n"/>
      <c r="C3" s="717" t="n"/>
      <c r="D3" s="717" t="n"/>
      <c r="E3" s="717" t="n"/>
      <c r="F3" s="717" t="n"/>
      <c r="G3" s="718" t="n"/>
      <c r="I3" s="700" t="inlineStr">
        <is>
          <t>Соотношение к прошлому периоду</t>
        </is>
      </c>
      <c r="J3" s="717" t="n"/>
      <c r="K3" s="718" t="n"/>
    </row>
    <row r="4" ht="14.25" customHeight="1">
      <c r="A4" s="702" t="inlineStr">
        <is>
          <t>План</t>
        </is>
      </c>
      <c r="B4" s="718" t="n"/>
      <c r="C4" s="702" t="inlineStr">
        <is>
          <t>Текущее значение</t>
        </is>
      </c>
      <c r="D4" s="718" t="n"/>
      <c r="E4" s="702" t="inlineStr">
        <is>
          <t>Итого до плана</t>
        </is>
      </c>
      <c r="F4" s="718" t="n"/>
      <c r="G4" s="702" t="inlineStr">
        <is>
          <t>% выполнения плана</t>
        </is>
      </c>
      <c r="I4" s="702" t="inlineStr">
        <is>
          <t>Дата</t>
        </is>
      </c>
      <c r="J4" s="702" t="inlineStr">
        <is>
          <t>Клиенты</t>
        </is>
      </c>
      <c r="K4" s="702" t="inlineStr">
        <is>
          <t>Изменение</t>
        </is>
      </c>
    </row>
    <row r="5" ht="28" customHeight="1">
      <c r="A5" s="703" t="n">
        <v>500</v>
      </c>
      <c r="B5" s="718" t="n"/>
      <c r="C5" s="705">
        <f>E9+E10+E11</f>
        <v/>
      </c>
      <c r="D5" s="718" t="n"/>
      <c r="E5" s="703">
        <f>A5-C5</f>
        <v/>
      </c>
      <c r="F5" s="718" t="n"/>
      <c r="G5" s="707">
        <f>IF(A5=0,"—",C5/A5)</f>
        <v/>
      </c>
      <c r="I5" s="708" t="inlineStr">
        <is>
          <t>27.08.2026</t>
        </is>
      </c>
      <c r="J5" s="711" t="n">
        <v>150</v>
      </c>
      <c r="K5" s="708" t="inlineStr">
        <is>
          <t>—</t>
        </is>
      </c>
    </row>
    <row r="6" ht="14.25" customHeight="1">
      <c r="A6" s="710" t="inlineStr">
        <is>
          <t>«Текущее значение» плана = сумма «Факт» по отделам. Таблица периодов справа заполняется отдельно (жёлтые ячейки).</t>
        </is>
      </c>
      <c r="B6" s="717" t="n"/>
      <c r="C6" s="717" t="n"/>
      <c r="D6" s="717" t="n"/>
      <c r="E6" s="717" t="n"/>
      <c r="F6" s="717" t="n"/>
      <c r="G6" s="718" t="n"/>
      <c r="I6" s="708" t="inlineStr">
        <is>
          <t>02.09.2026</t>
        </is>
      </c>
      <c r="J6" s="711" t="n">
        <v>160</v>
      </c>
      <c r="K6" s="712">
        <f>IF(OR(J5="",J6="",NOT(ISNUMBER(J5)),NOT(ISNUMBER(J6))),"",IF(J5=0,"",IF(J6&gt;J5,"увеличилось на "&amp;ROUND((J6-J5)/J5*100,1)&amp;"%",IF(J6&lt;J5,"уменьшилось на "&amp;ROUND((J5-J6)/J5*100,1)&amp;"%","без изменений"))))</f>
        <v/>
      </c>
    </row>
    <row r="7" ht="15.05" customHeight="1">
      <c r="A7" s="700" t="inlineStr">
        <is>
          <t>План на МПП в месяц — по отделам</t>
        </is>
      </c>
      <c r="B7" s="717" t="n"/>
      <c r="C7" s="717" t="n"/>
      <c r="D7" s="717" t="n"/>
      <c r="E7" s="717" t="n"/>
      <c r="F7" s="717" t="n"/>
      <c r="G7" s="718" t="n"/>
      <c r="I7" s="708" t="inlineStr">
        <is>
          <t>10.09.2026</t>
        </is>
      </c>
      <c r="J7" s="711" t="n"/>
      <c r="K7" s="712">
        <f>IF(OR(J6="",J7="",NOT(ISNUMBER(J6)),NOT(ISNUMBER(J7))),"",IF(J6=0,"",IF(J7&gt;J6,"увеличилось на "&amp;ROUND((J7-J6)/J6*100,1)&amp;"%",IF(J7&lt;J6,"уменьшилось на "&amp;ROUND((J6-J7)/J6*100,1)&amp;"%","без изменений"))))</f>
        <v/>
      </c>
    </row>
    <row r="8">
      <c r="A8" s="702" t="inlineStr">
        <is>
          <t>Отдел / группа</t>
        </is>
      </c>
      <c r="B8" s="718" t="n"/>
      <c r="C8" s="702" t="inlineStr">
        <is>
          <t>План на МПП в мес</t>
        </is>
      </c>
      <c r="D8" s="718" t="n"/>
      <c r="E8" s="702" t="inlineStr">
        <is>
          <t>Факт</t>
        </is>
      </c>
      <c r="F8" s="702" t="inlineStr">
        <is>
          <t>% выполнения плана</t>
        </is>
      </c>
      <c r="G8" s="718" t="n"/>
      <c r="I8" s="708" t="n"/>
      <c r="J8" s="711" t="n"/>
      <c r="K8" s="712">
        <f>IF(OR(J7="",J8="",NOT(ISNUMBER(J7)),NOT(ISNUMBER(J8))),"",IF(J7=0,"",IF(J8&gt;J7,"увеличилось на "&amp;ROUND((J8-J7)/J7*100,1)&amp;"%",IF(J8&lt;J7,"уменьшилось на "&amp;ROUND((J7-J8)/J7*100,1)&amp;"%","без изменений"))))</f>
        <v/>
      </c>
    </row>
    <row r="9" ht="20" customHeight="1">
      <c r="A9" s="712" t="inlineStr">
        <is>
          <t>Группа «Новые деньги»</t>
        </is>
      </c>
      <c r="B9" s="718" t="n"/>
      <c r="C9" s="714" t="n">
        <v>75</v>
      </c>
      <c r="D9" s="718" t="n"/>
      <c r="E9" s="711" t="n">
        <v>90</v>
      </c>
      <c r="F9" s="715">
        <f>IF(OR(C9="",C9=0),"—",E9/C9)</f>
        <v/>
      </c>
      <c r="G9" s="718" t="n"/>
      <c r="I9" s="708" t="n"/>
      <c r="J9" s="711" t="n"/>
      <c r="K9" s="712">
        <f>IF(OR(J8="",J9="",NOT(ISNUMBER(J8)),NOT(ISNUMBER(J9))),"",IF(J8=0,"",IF(J9&gt;J8,"увеличилось на "&amp;ROUND((J9-J8)/J8*100,1)&amp;"%",IF(J9&lt;J8,"уменьшилось на "&amp;ROUND((J8-J9)/J8*100,1)&amp;"%","без изменений"))))</f>
        <v/>
      </c>
    </row>
    <row r="10" ht="20" customHeight="1">
      <c r="A10" s="712" t="inlineStr">
        <is>
          <t>Группа продуктового запуска</t>
        </is>
      </c>
      <c r="B10" s="718" t="n"/>
      <c r="C10" s="714" t="n">
        <v>25</v>
      </c>
      <c r="D10" s="718" t="n"/>
      <c r="E10" s="711" t="n">
        <v>40</v>
      </c>
      <c r="F10" s="715">
        <f>IF(OR(C10="",C10=0),"—",E10/C10)</f>
        <v/>
      </c>
      <c r="G10" s="718" t="n"/>
      <c r="I10" s="708" t="n"/>
      <c r="J10" s="711" t="n"/>
      <c r="K10" s="712">
        <f>IF(OR(J9="",J10="",NOT(ISNUMBER(J9)),NOT(ISNUMBER(J10))),"",IF(J9=0,"",IF(J10&gt;J9,"увеличилось на "&amp;ROUND((J10-J9)/J9*100,1)&amp;"%",IF(J10&lt;J9,"уменьшилось на "&amp;ROUND((J9-J10)/J9*100,1)&amp;"%","без изменений"))))</f>
        <v/>
      </c>
    </row>
    <row r="11" ht="20" customHeight="1">
      <c r="A11" s="712" t="inlineStr">
        <is>
          <t>ЦКС</t>
        </is>
      </c>
      <c r="B11" s="718" t="n"/>
      <c r="C11" s="716" t="n"/>
      <c r="D11" s="718" t="n"/>
      <c r="E11" s="711" t="n">
        <v>20</v>
      </c>
      <c r="F11" s="715">
        <f>IF(OR(C11="",C11=0),"—",E11/C11)</f>
        <v/>
      </c>
      <c r="G11" s="718" t="n"/>
      <c r="I11" s="708" t="n"/>
      <c r="J11" s="711" t="n"/>
      <c r="K11" s="712">
        <f>IF(OR(J10="",J11="",NOT(ISNUMBER(J10)),NOT(ISNUMBER(J11))),"",IF(J10=0,"",IF(J11&gt;J10,"увеличилось на "&amp;ROUND((J11-J10)/J10*100,1)&amp;"%",IF(J11&lt;J10,"уменьшилось на "&amp;ROUND((J10-J11)/J10*100,1)&amp;"%","без изменений"))))</f>
        <v/>
      </c>
    </row>
    <row r="12" ht="10" customHeight="1">
      <c r="I12" s="708" t="n"/>
      <c r="J12" s="711" t="n"/>
      <c r="K12" s="712">
        <f>IF(OR(J11="",J12="",NOT(ISNUMBER(J11)),NOT(ISNUMBER(J12))),"",IF(J11=0,"",IF(J12&gt;J11,"увеличилось на "&amp;ROUND((J12-J11)/J11*100,1)&amp;"%",IF(J12&lt;J11,"уменьшилось на "&amp;ROUND((J11-J12)/J11*100,1)&amp;"%","без изменений"))))</f>
        <v/>
      </c>
    </row>
    <row r="13" ht="14.95" customHeight="1">
      <c r="I13" s="710" t="inlineStr">
        <is>
          <t>Жёлтые ячейки «Клиенты» — вводите числа вручную. «Изменение» пересчитается само (например 150→160 = увеличилось на 6,7%).</t>
        </is>
      </c>
      <c r="J13" s="717" t="n"/>
      <c r="K13" s="718" t="n"/>
    </row>
    <row r="14">
      <c r="I14" s="708" t="n"/>
      <c r="J14" s="711" t="n"/>
      <c r="K14" s="712">
        <f>IF(OR(J13="",J14="",NOT(ISNUMBER(J13)),NOT(ISNUMBER(J14))),"",IF(J13=0,"",IF(J14&gt;J13,"увеличилось на "&amp;ROUND((J14-J13)/J13*100,1)&amp;"%",IF(J14&lt;J13,"уменьшилось на "&amp;ROUND((J13-J14)/J13*100,1)&amp;"%","без изменений"))))</f>
        <v/>
      </c>
    </row>
    <row r="17">
      <c r="A17" s="589" t="inlineStr">
        <is>
          <t>Показатели рекламной кампании</t>
        </is>
      </c>
      <c r="B17" s="717" t="n"/>
      <c r="C17" s="717" t="n"/>
      <c r="D17" s="717" t="n"/>
      <c r="E17" s="717" t="n"/>
      <c r="F17" s="717" t="n"/>
      <c r="G17" s="718" t="n"/>
    </row>
    <row r="18">
      <c r="A18" s="590" t="inlineStr">
        <is>
          <t>№</t>
        </is>
      </c>
      <c r="B18" s="590" t="inlineStr">
        <is>
          <t>Название рекламной кампании</t>
        </is>
      </c>
      <c r="C18" s="590" t="inlineStr">
        <is>
          <t>Лидер</t>
        </is>
      </c>
      <c r="D18" s="590" t="inlineStr">
        <is>
          <t>Кол-во ЛИДов</t>
        </is>
      </c>
      <c r="E18" s="484" t="inlineStr">
        <is>
          <t>Стоимость ЛИДа</t>
        </is>
      </c>
      <c r="F18" s="484" t="inlineStr">
        <is>
          <t>Сделок</t>
        </is>
      </c>
      <c r="G18" s="446" t="inlineStr">
        <is>
          <t>Оплат</t>
        </is>
      </c>
      <c r="H18" s="489" t="n"/>
      <c r="I18" s="490" t="n"/>
    </row>
    <row r="19">
      <c r="A19" s="591" t="n"/>
      <c r="B19" s="591" t="inlineStr">
        <is>
          <t xml:space="preserve">ЭПД </t>
        </is>
      </c>
      <c r="C19" s="591" t="inlineStr">
        <is>
          <t>Савинская</t>
        </is>
      </c>
      <c r="D19" s="592" t="inlineStr">
        <is>
          <t xml:space="preserve">ЭПД Квиз - 9 шт, Заполнение CRM-формы "Внедрение и поддержка 1С:ЭПД" - 17 шт, Заявка с сайта - 1С-ЭПД | Обмен электронными перевозочными документами | Цена - 6 шт </t>
        </is>
      </c>
      <c r="E19" s="592" t="n">
        <v>1400</v>
      </c>
      <c r="F19" s="683" t="inlineStr">
        <is>
          <t>ЭПД квиз  - 3 сделки (2 контроль оплаты),Заполнение CRM-формы "Внедрение и поддержка 1С:ЭПД" - 5 сделки (1 на контроле оплаты на 18 100), Заявка с сайта - 1С-ЭПД | Обмен электронными перевозочными документами | Цена - 5 сделок (2 оплаты, 3 на контроле оплаты)</t>
        </is>
      </c>
      <c r="G19" s="468" t="inlineStr">
        <is>
          <t>2 шт/10 000 р</t>
        </is>
      </c>
      <c r="H19" s="489" t="n"/>
      <c r="I19" s="490" t="n"/>
    </row>
    <row r="20">
      <c r="A20" s="494" t="inlineStr">
        <is>
          <t xml:space="preserve">МПП </t>
        </is>
      </c>
      <c r="B20" s="593" t="inlineStr">
        <is>
          <t>Ссылка на лид</t>
        </is>
      </c>
      <c r="C20" s="494" t="inlineStr">
        <is>
          <t>Клиент</t>
        </is>
      </c>
      <c r="D20" s="494" t="inlineStr">
        <is>
          <t>Этап сделки</t>
        </is>
      </c>
      <c r="E20" s="446" t="inlineStr">
        <is>
          <t>Поступила оплата</t>
        </is>
      </c>
      <c r="F20" s="671" t="inlineStr">
        <is>
          <t>Время взятия ЛИДа в работу</t>
        </is>
      </c>
      <c r="G20" s="671" t="inlineStr">
        <is>
          <t>Комментарий</t>
        </is>
      </c>
      <c r="H20" s="481" t="n"/>
      <c r="I20" s="481" t="n"/>
      <c r="J20" s="481" t="n"/>
      <c r="K20" s="481" t="n"/>
      <c r="L20" s="481" t="n"/>
    </row>
    <row r="21">
      <c r="A21" s="594" t="n"/>
      <c r="B21" s="636" t="n"/>
      <c r="C21" s="594" t="n"/>
      <c r="D21" s="596" t="n"/>
      <c r="E21" s="448" t="n"/>
      <c r="F21" s="496" t="n"/>
      <c r="G21" s="718" t="n"/>
      <c r="H21" s="492" t="n"/>
      <c r="I21" s="492" t="n"/>
      <c r="J21" s="482" t="n"/>
      <c r="K21" s="482" t="n"/>
      <c r="L21" s="482" t="n"/>
    </row>
    <row r="22" ht="53.05" customHeight="1">
      <c r="A22" s="496" t="n"/>
      <c r="B22" s="636" t="n"/>
      <c r="C22" s="594" t="n"/>
      <c r="D22" s="596" t="n"/>
      <c r="E22" s="594" t="n"/>
      <c r="F22" s="496" t="n"/>
      <c r="G22" s="718" t="n"/>
      <c r="H22" s="492" t="n"/>
      <c r="I22" s="492" t="n"/>
      <c r="J22" s="482" t="n"/>
      <c r="K22" s="482" t="n"/>
      <c r="L22" s="482" t="n"/>
    </row>
    <row r="23" ht="52.65" customHeight="1">
      <c r="A23" s="496" t="n"/>
      <c r="B23" s="636" t="n"/>
      <c r="C23" s="594" t="n"/>
      <c r="D23" s="599" t="n"/>
      <c r="E23" s="594" t="n"/>
      <c r="F23" s="632" t="n"/>
      <c r="G23" s="718" t="n"/>
      <c r="H23" s="492" t="n"/>
      <c r="I23" s="492" t="n"/>
      <c r="J23" s="482" t="n"/>
      <c r="K23" s="482" t="n"/>
      <c r="L23" s="482" t="n"/>
    </row>
    <row r="24" ht="49.7" customHeight="1">
      <c r="A24" s="496" t="n"/>
      <c r="B24" s="598" t="n"/>
      <c r="C24" s="594" t="n"/>
      <c r="D24" s="599" t="n"/>
      <c r="E24" s="594" t="n"/>
      <c r="F24" s="496" t="n"/>
      <c r="G24" s="718" t="n"/>
      <c r="H24" s="492" t="n"/>
      <c r="I24" s="492" t="n"/>
      <c r="J24" s="482" t="n"/>
      <c r="K24" s="482" t="n"/>
      <c r="L24" s="482" t="n"/>
    </row>
    <row r="25" ht="52.85" customHeight="1">
      <c r="A25" s="496" t="n"/>
      <c r="B25" s="598" t="n"/>
      <c r="C25" s="594" t="n"/>
      <c r="D25" s="599" t="n"/>
      <c r="E25" s="594" t="n"/>
      <c r="F25" s="496" t="n"/>
      <c r="G25" s="718" t="n"/>
      <c r="H25" s="492" t="n"/>
      <c r="I25" s="492" t="n"/>
      <c r="J25" s="482" t="n"/>
      <c r="K25" s="482" t="n"/>
      <c r="L25" s="482" t="n"/>
    </row>
    <row r="26" ht="38.45" customHeight="1">
      <c r="A26" s="496" t="n"/>
      <c r="B26" s="598" t="n"/>
      <c r="C26" s="594" t="n"/>
      <c r="D26" s="599" t="n"/>
      <c r="E26" s="594" t="n"/>
      <c r="F26" s="496" t="n"/>
      <c r="G26" s="718" t="n"/>
      <c r="H26" s="492" t="n"/>
      <c r="I26" s="492" t="n"/>
      <c r="J26" s="482" t="n"/>
      <c r="K26" s="482" t="n"/>
      <c r="L26" s="482" t="n"/>
    </row>
    <row r="27" ht="43.4" customHeight="1">
      <c r="A27" s="496" t="n"/>
      <c r="B27" s="600" t="n"/>
      <c r="C27" s="594" t="n"/>
      <c r="D27" s="599" t="n"/>
      <c r="E27" s="594" t="n"/>
      <c r="F27" s="496" t="n"/>
      <c r="G27" s="718" t="n"/>
      <c r="H27" s="492" t="n"/>
      <c r="I27" s="492" t="n"/>
      <c r="J27" s="482" t="n"/>
      <c r="K27" s="482" t="n"/>
      <c r="L27" s="482" t="n"/>
    </row>
    <row r="28" ht="91.25" customHeight="1">
      <c r="A28" s="496" t="n"/>
      <c r="B28" s="598" t="n"/>
      <c r="C28" s="594" t="n"/>
      <c r="D28" s="599" t="n"/>
      <c r="E28" s="594" t="n"/>
      <c r="F28" s="496" t="n"/>
      <c r="G28" s="718" t="n"/>
      <c r="H28" s="492" t="n"/>
      <c r="I28" s="492" t="n"/>
      <c r="J28" s="482" t="n"/>
      <c r="K28" s="482" t="n"/>
      <c r="L28" s="482" t="n"/>
    </row>
    <row r="29">
      <c r="A29" s="496" t="n"/>
      <c r="B29" s="600" t="n"/>
      <c r="C29" s="594" t="n"/>
      <c r="D29" s="599" t="n"/>
      <c r="E29" s="594" t="n"/>
      <c r="F29" s="496" t="n"/>
      <c r="G29" s="718" t="n"/>
      <c r="H29" s="492" t="n"/>
      <c r="I29" s="492" t="n"/>
      <c r="J29" s="482" t="n"/>
      <c r="K29" s="482" t="n"/>
      <c r="L29" s="482" t="n"/>
    </row>
    <row r="30" ht="16.95" customHeight="1">
      <c r="A30" s="496" t="n"/>
      <c r="B30" s="601" t="n"/>
      <c r="C30" s="594" t="n"/>
      <c r="D30" s="602" t="n"/>
      <c r="E30" s="594" t="n"/>
      <c r="F30" s="496" t="n"/>
      <c r="G30" s="718" t="n"/>
      <c r="H30" s="492" t="n"/>
      <c r="I30" s="492" t="n"/>
      <c r="J30" s="482" t="n"/>
      <c r="K30" s="482" t="n"/>
      <c r="L30" s="482" t="n"/>
    </row>
    <row r="31">
      <c r="A31" s="496" t="n"/>
      <c r="B31" s="603" t="n"/>
      <c r="C31" s="594" t="n"/>
      <c r="D31" s="604" t="n"/>
      <c r="E31" s="603" t="n"/>
      <c r="F31" s="496" t="n"/>
      <c r="G31" s="718" t="n"/>
      <c r="H31" s="492" t="n"/>
      <c r="I31" s="492" t="n"/>
      <c r="J31" s="482" t="n"/>
      <c r="K31" s="482" t="n"/>
      <c r="L31" s="482" t="n"/>
    </row>
    <row r="32">
      <c r="A32" s="502" t="n"/>
      <c r="B32" s="717" t="n"/>
      <c r="C32" s="717" t="n"/>
      <c r="D32" s="717" t="n"/>
      <c r="E32" s="717" t="n"/>
      <c r="F32" s="717" t="n"/>
      <c r="G32" s="718" t="n"/>
    </row>
    <row r="33">
      <c r="A33" s="110" t="n"/>
      <c r="B33" s="57" t="n"/>
      <c r="C33" s="89" t="n"/>
      <c r="D33" s="184" t="n"/>
      <c r="E33" s="113" t="n"/>
      <c r="F33" s="496" t="n"/>
      <c r="G33" s="718" t="n"/>
    </row>
    <row r="34" ht="30" customHeight="1">
      <c r="A34" s="672" t="inlineStr">
        <is>
          <t>1. Мониторинг предыдущих решений:</t>
        </is>
      </c>
      <c r="B34" s="672" t="n"/>
      <c r="C34" s="672" t="n"/>
      <c r="D34" s="672" t="n"/>
      <c r="E34" s="672" t="n"/>
      <c r="F34" s="672" t="n"/>
      <c r="G34" s="718" t="n"/>
    </row>
    <row r="35" ht="14.25" customHeight="1">
      <c r="A35" s="590" t="inlineStr">
        <is>
          <t>№</t>
        </is>
      </c>
      <c r="B35" s="590" t="inlineStr">
        <is>
          <t>Задача</t>
        </is>
      </c>
      <c r="C35" s="590" t="inlineStr">
        <is>
          <t>Лидер</t>
        </is>
      </c>
      <c r="D35" s="590" t="inlineStr">
        <is>
          <t>Срок</t>
        </is>
      </c>
      <c r="E35" s="590" t="inlineStr">
        <is>
          <t>Статус*</t>
        </is>
      </c>
      <c r="F35" s="590" t="inlineStr">
        <is>
          <t>Комментарии. Выводы</t>
        </is>
      </c>
      <c r="G35" s="718" t="n"/>
    </row>
    <row r="36" ht="19.2" customHeight="1">
      <c r="A36" s="606" t="n"/>
      <c r="B36" s="653" t="inlineStr">
        <is>
          <t xml:space="preserve">Включить поле время взятия в работу заявки с РК </t>
        </is>
      </c>
      <c r="C36" s="654" t="inlineStr">
        <is>
          <t>Савинская</t>
        </is>
      </c>
      <c r="D36" s="654" t="inlineStr">
        <is>
          <t>до 27.08</t>
        </is>
      </c>
      <c r="E36" s="656" t="inlineStr">
        <is>
          <t xml:space="preserve">выполнено </t>
        </is>
      </c>
      <c r="F36" s="656" t="n"/>
      <c r="G36" s="718" t="n"/>
    </row>
    <row r="37" ht="17.25" customHeight="1">
      <c r="A37" s="719" t="n"/>
      <c r="B37" s="657" t="inlineStr">
        <is>
          <t>Обсудить разделения стоимости РК между ЦП и ЦКС на очной встрече 27.08</t>
        </is>
      </c>
      <c r="C37" s="657" t="inlineStr">
        <is>
          <t>все участники (Антонов В , Дербенева К)</t>
        </is>
      </c>
      <c r="D37" s="657" t="inlineStr">
        <is>
          <t xml:space="preserve">до 27.08 </t>
        </is>
      </c>
      <c r="E37" s="658" t="inlineStr">
        <is>
          <t xml:space="preserve">в работе </t>
        </is>
      </c>
      <c r="F37" s="670" t="n"/>
      <c r="G37" s="718" t="n"/>
    </row>
    <row r="38" ht="15.5" customHeight="1">
      <c r="A38" s="720" t="n"/>
      <c r="B38" s="660" t="inlineStr">
        <is>
          <t>текущая РК действует до середины сентября. Что дальше? Будем продлевать? Вопрос согласования бюджета</t>
        </is>
      </c>
      <c r="C38" s="660" t="inlineStr">
        <is>
          <t>все участники</t>
        </is>
      </c>
      <c r="D38" s="661" t="inlineStr">
        <is>
          <t>до 27.08</t>
        </is>
      </c>
      <c r="E38" s="656" t="inlineStr">
        <is>
          <t xml:space="preserve">в работе </t>
        </is>
      </c>
      <c r="F38" s="656" t="n"/>
      <c r="G38" s="718" t="n"/>
    </row>
    <row r="39" ht="19.6" customHeight="1">
      <c r="A39" s="719" t="n"/>
      <c r="B39" s="662" t="inlineStr">
        <is>
          <t xml:space="preserve">Собрать ОС от МПП по поводу сервиса ЭПД (что говорят клиенты)  - основные проблемы, возражения и потребности </t>
        </is>
      </c>
      <c r="C39" s="662" t="inlineStr">
        <is>
          <t xml:space="preserve">Савинская/Блохина/Степанова </t>
        </is>
      </c>
      <c r="D39" s="663" t="inlineStr">
        <is>
          <t>до 24.08 к 12:00</t>
        </is>
      </c>
      <c r="E39" s="664" t="inlineStr">
        <is>
          <t>выполнено</t>
        </is>
      </c>
      <c r="F39" s="665" t="inlineStr">
        <is>
          <t>создан документ (в беседе: ЭПДстратегия)</t>
        </is>
      </c>
      <c r="G39" s="718" t="n"/>
    </row>
    <row r="40" ht="19.25" customHeight="1">
      <c r="A40" s="721" t="n"/>
      <c r="B40" s="666" t="inlineStr">
        <is>
          <t xml:space="preserve">Собрать портрет клиента, который купил ЭПД </t>
        </is>
      </c>
      <c r="C40" s="666" t="inlineStr">
        <is>
          <t>Корнева/Степанова</t>
        </is>
      </c>
      <c r="D40" s="667" t="inlineStr">
        <is>
          <t>до 27.08</t>
        </is>
      </c>
      <c r="E40" s="668" t="inlineStr">
        <is>
          <t xml:space="preserve">в работе </t>
        </is>
      </c>
      <c r="F40" s="669" t="inlineStr">
        <is>
          <t>Коля, после встречи напишет Насте параметры, по которым будем собирать портрет клиента.</t>
        </is>
      </c>
      <c r="G40" s="718" t="n"/>
      <c r="H40" t="inlineStr">
        <is>
          <t>При чем тут Коля?</t>
        </is>
      </c>
    </row>
    <row r="41" ht="14.7" customHeight="1">
      <c r="A41" s="719" t="n"/>
      <c r="B41" s="657" t="inlineStr">
        <is>
          <t>Добавить Корневу и Степанову во встречу с Калугой</t>
        </is>
      </c>
      <c r="C41" s="657" t="inlineStr">
        <is>
          <t>Блохина</t>
        </is>
      </c>
      <c r="D41" s="663" t="inlineStr">
        <is>
          <t xml:space="preserve">до 24.08 </t>
        </is>
      </c>
      <c r="E41" s="670" t="inlineStr">
        <is>
          <t>выполнено</t>
        </is>
      </c>
      <c r="F41" s="657" t="n"/>
      <c r="G41" s="718" t="n"/>
    </row>
    <row r="42">
      <c r="A42" s="673" t="n"/>
      <c r="B42" s="396" t="inlineStr">
        <is>
          <t>Построить финансовую модель направления ЭПД – с учётом доходов (титулы, услуги, продления), затрат (реклама, зарплаты, производство), прогнозов по конверсиям и сценариев (с учётом возможного переноса штрафов).</t>
        </is>
      </c>
      <c r="C42" s="666" t="inlineStr">
        <is>
          <t>Все участники</t>
        </is>
      </c>
      <c r="D42" s="682" t="inlineStr">
        <is>
          <t xml:space="preserve">после стратег‑сессии </t>
        </is>
      </c>
      <c r="E42" s="675" t="n"/>
      <c r="F42" s="678" t="n"/>
      <c r="G42" s="718" t="n"/>
    </row>
    <row r="43" ht="14.25" customHeight="1">
      <c r="A43" s="115" t="n"/>
      <c r="B43" s="161" t="n"/>
      <c r="C43" s="161" t="n"/>
      <c r="D43" s="162" t="n"/>
      <c r="E43" s="172" t="n"/>
      <c r="F43" s="409" t="n"/>
      <c r="G43" s="718" t="n"/>
    </row>
    <row r="44" ht="14.25" customHeight="1">
      <c r="A44" s="502" t="n"/>
      <c r="B44" s="503" t="n"/>
      <c r="C44" s="504" t="n"/>
      <c r="D44" s="505" t="n"/>
      <c r="E44" s="508" t="n"/>
      <c r="F44" s="507" t="n"/>
      <c r="G44" s="718" t="n"/>
    </row>
    <row r="45" ht="14.25" customHeight="1">
      <c r="A45" s="134" t="n"/>
      <c r="B45" s="72" t="n"/>
      <c r="C45" s="88" t="n"/>
      <c r="D45" s="135" t="n"/>
      <c r="E45" s="624" t="n"/>
      <c r="F45" s="86" t="n"/>
      <c r="G45" s="718" t="n"/>
    </row>
    <row r="46">
      <c r="A46" s="589" t="inlineStr">
        <is>
          <t>2. Решения текущей встречи:</t>
        </is>
      </c>
      <c r="B46" s="717" t="n"/>
      <c r="C46" s="717" t="n"/>
      <c r="D46" s="717" t="n"/>
      <c r="E46" s="717" t="n"/>
      <c r="F46" s="717" t="n"/>
      <c r="G46" s="718" t="n"/>
    </row>
    <row r="47" ht="13.5" customHeight="1">
      <c r="A47" s="702" t="inlineStr">
        <is>
          <t>№</t>
        </is>
      </c>
      <c r="B47" s="702" t="inlineStr">
        <is>
          <t>Задача</t>
        </is>
      </c>
      <c r="C47" s="702" t="inlineStr">
        <is>
          <t>Лидер</t>
        </is>
      </c>
      <c r="D47" s="702" t="inlineStr">
        <is>
          <t>Срок</t>
        </is>
      </c>
      <c r="E47" s="702" t="inlineStr">
        <is>
          <t>Статус*</t>
        </is>
      </c>
      <c r="F47" s="702" t="inlineStr">
        <is>
          <t>Комментарии. Выводы</t>
        </is>
      </c>
      <c r="G47" s="718" t="n"/>
    </row>
    <row r="48" ht="36" customHeight="1">
      <c r="A48" s="714" t="n">
        <v>1</v>
      </c>
      <c r="B48" s="712" t="inlineStr">
        <is>
          <t>Разобраться с показателями охвата сервисом наших клиентов 1С-ЭПД из таблицы А. Дворяк</t>
        </is>
      </c>
      <c r="C48" s="708" t="inlineStr">
        <is>
          <t>Корнева, Степанова</t>
        </is>
      </c>
      <c r="D48" s="722" t="inlineStr">
        <is>
          <t>до след. встречи</t>
        </is>
      </c>
      <c r="E48" s="723" t="inlineStr">
        <is>
          <t>в работе</t>
        </is>
      </c>
      <c r="F48" s="724" t="inlineStr">
        <is>
          <t>9000 ед. в охвате — уточнить: подключение или предоплаченные пакеты? Цифры расходятся с Калугой.</t>
        </is>
      </c>
      <c r="G48" s="718" t="n"/>
    </row>
    <row r="49" ht="36" customHeight="1">
      <c r="A49" s="714" t="n">
        <v>2</v>
      </c>
      <c r="B49" s="712" t="inlineStr">
        <is>
          <t>Уточнить у Суворовой статус Элиттрейд; предложить акцию 3 мес. Доки для захода к контрагентам</t>
        </is>
      </c>
      <c r="C49" s="708" t="inlineStr">
        <is>
          <t>Блохина</t>
        </is>
      </c>
      <c r="D49" s="722" t="inlineStr">
        <is>
          <t>до след. встречи</t>
        </is>
      </c>
      <c r="E49" s="723" t="inlineStr">
        <is>
          <t>в работе</t>
        </is>
      </c>
      <c r="F49" s="724" t="inlineStr">
        <is>
          <t>Крупные производители задают правила → возможность выхода на контрагентов.</t>
        </is>
      </c>
      <c r="G49" s="718" t="n"/>
    </row>
    <row r="50" ht="36" customHeight="1">
      <c r="A50" s="714" t="n">
        <v>3</v>
      </c>
      <c r="B50" s="712" t="inlineStr">
        <is>
          <t>Подключить Антона Гуркова к процессу изучения привязки клиента (Доки.Логистика / ЦКС)</t>
        </is>
      </c>
      <c r="C50" s="708" t="inlineStr">
        <is>
          <t>Гурков А.</t>
        </is>
      </c>
      <c r="D50" s="722" t="inlineStr">
        <is>
          <t>в работе</t>
        </is>
      </c>
      <c r="E50" s="725" t="inlineStr">
        <is>
          <t>взял на себя</t>
        </is>
      </c>
      <c r="F50" s="724" t="inlineStr">
        <is>
          <t>Задача О. Ремез — прописать подробнее после пересмотра встречи.</t>
        </is>
      </c>
      <c r="G50" s="718" t="n"/>
    </row>
    <row r="51" ht="36" customHeight="1">
      <c r="A51" s="714" t="n">
        <v>4</v>
      </c>
      <c r="B51" s="712" t="inlineStr">
        <is>
          <t>Выяснить у Калуги: можно ли отследить активность клиента в сервисе Доки</t>
        </is>
      </c>
      <c r="C51" s="708" t="inlineStr">
        <is>
          <t>Дивакова М.</t>
        </is>
      </c>
      <c r="D51" s="722" t="inlineStr">
        <is>
          <t>до след. встречи</t>
        </is>
      </c>
      <c r="E51" s="723" t="inlineStr">
        <is>
          <t>в работе</t>
        </is>
      </c>
      <c r="F51" s="724" t="inlineStr"/>
      <c r="G51" s="718" t="n"/>
    </row>
    <row r="52" ht="36" customHeight="1">
      <c r="A52" s="714" t="n">
        <v>5</v>
      </c>
      <c r="B52" s="712" t="inlineStr">
        <is>
          <t>Уточнить у Никитченко: считается ли Доки в охват сервисами ЭПД</t>
        </is>
      </c>
      <c r="C52" s="708" t="inlineStr">
        <is>
          <t>Дворяк</t>
        </is>
      </c>
      <c r="D52" s="722" t="inlineStr">
        <is>
          <t>до след. встречи</t>
        </is>
      </c>
      <c r="E52" s="723" t="inlineStr">
        <is>
          <t>в работе</t>
        </is>
      </c>
      <c r="F52" s="724" t="inlineStr">
        <is>
          <t>Саша спросит.</t>
        </is>
      </c>
      <c r="G52" s="718" t="n"/>
    </row>
    <row r="53" ht="36" customHeight="1">
      <c r="A53" s="714" t="n">
        <v>6</v>
      </c>
      <c r="B53" s="712" t="inlineStr">
        <is>
          <t>Подготовить со СМАК материалы для прогрева клиента на период демо-доступа</t>
        </is>
      </c>
      <c r="C53" s="708" t="inlineStr">
        <is>
          <t>СМАК</t>
        </is>
      </c>
      <c r="D53" s="722" t="inlineStr">
        <is>
          <t>к 01.10</t>
        </is>
      </c>
      <c r="E53" s="723" t="inlineStr">
        <is>
          <t>в работе</t>
        </is>
      </c>
      <c r="F53" s="724" t="inlineStr">
        <is>
          <t>С 01.10 демо = 14 дней; до 01.10 — 3 месяца бесплатно.</t>
        </is>
      </c>
      <c r="G53" s="718" t="n"/>
    </row>
    <row r="54" ht="36" customHeight="1">
      <c r="A54" s="714" t="n">
        <v>7</v>
      </c>
      <c r="B54" s="712" t="inlineStr">
        <is>
          <t>Подготовить калькулятор пополнения титулов для менеджеров ЦКС</t>
        </is>
      </c>
      <c r="C54" s="708" t="inlineStr">
        <is>
          <t>Вика / Маша</t>
        </is>
      </c>
      <c r="D54" s="722" t="inlineStr">
        <is>
          <t>до след. встречи</t>
        </is>
      </c>
      <c r="E54" s="723" t="inlineStr">
        <is>
          <t>в работе</t>
        </is>
      </c>
      <c r="F54" s="724" t="inlineStr">
        <is>
          <t>Обсуждали накануне лектория с 1С.</t>
        </is>
      </c>
      <c r="G54" s="718" t="n"/>
    </row>
    <row r="55" ht="36" customHeight="1">
      <c r="A55" s="714" t="n">
        <v>8</v>
      </c>
      <c r="B55" s="712" t="inlineStr">
        <is>
          <t>Подготовить текст рассылки «проверьте контрагента и впишите в тандем» — сроки и текст</t>
        </is>
      </c>
      <c r="C55" s="708" t="inlineStr">
        <is>
          <t>Блохина</t>
        </is>
      </c>
      <c r="D55" s="722" t="inlineStr">
        <is>
          <t>до след. встречи</t>
        </is>
      </c>
      <c r="E55" s="723" t="inlineStr">
        <is>
          <t>в работе</t>
        </is>
      </c>
      <c r="F55" s="724" t="inlineStr"/>
      <c r="G55" s="718" t="n"/>
    </row>
    <row r="56" ht="36" customHeight="1">
      <c r="A56" s="714" t="n">
        <v>9</v>
      </c>
      <c r="B56" s="712" t="inlineStr">
        <is>
          <t>Обзвонить крупных клиентов (от 2000 титулов / генераторы трафика) и предложить ЭПД ТАНДЕМ</t>
        </is>
      </c>
      <c r="C56" s="708" t="inlineStr">
        <is>
          <t>ЦП / ЦКС</t>
        </is>
      </c>
      <c r="D56" s="722" t="inlineStr">
        <is>
          <t>сентябрь</t>
        </is>
      </c>
      <c r="E56" s="723" t="inlineStr">
        <is>
          <t>в работе</t>
        </is>
      </c>
      <c r="F56" s="724" t="inlineStr">
        <is>
          <t>Начать с крупных. Корп. сегмент продавал ЭПД даже в малом объёме.</t>
        </is>
      </c>
      <c r="G56" s="718" t="n"/>
    </row>
    <row r="57" ht="36" customHeight="1">
      <c r="A57" s="714" t="n">
        <v>10</v>
      </c>
      <c r="B57" s="712" t="inlineStr">
        <is>
          <t>Обзвон подключённых клиентов: оценка удовлетворённости + проекты ЦАС (Доки)</t>
        </is>
      </c>
      <c r="C57" s="708" t="inlineStr">
        <is>
          <t>Дворяк / Лазарчук</t>
        </is>
      </c>
      <c r="D57" s="722" t="inlineStr">
        <is>
          <t>сентябрь</t>
        </is>
      </c>
      <c r="E57" s="723" t="inlineStr">
        <is>
          <t>в работе</t>
        </is>
      </c>
      <c r="F57" s="724" t="inlineStr">
        <is>
          <t>Задача по клиентам ЦАС (Доки).</t>
        </is>
      </c>
      <c r="G57" s="718" t="n"/>
    </row>
    <row r="58" ht="36" customHeight="1">
      <c r="A58" s="714" t="n">
        <v>11</v>
      </c>
      <c r="B58" s="712" t="inlineStr">
        <is>
          <t>Взять неуспешные сделки ЭПД по корп. сегменту и предложить Доки в 1-ю неделю сентября</t>
        </is>
      </c>
      <c r="C58" s="708" t="inlineStr">
        <is>
          <t>Юлиана</t>
        </is>
      </c>
      <c r="D58" s="722" t="inlineStr">
        <is>
          <t>1-я нед. сентября</t>
        </is>
      </c>
      <c r="E58" s="723" t="inlineStr">
        <is>
          <t>в работе</t>
        </is>
      </c>
      <c r="F58" s="724" t="inlineStr">
        <is>
          <t>Клиенты сбытового офиса уходят на СБИС — разобрать причины.</t>
        </is>
      </c>
      <c r="G58" s="718" t="n"/>
    </row>
    <row r="59" ht="36" customHeight="1">
      <c r="A59" s="714" t="n">
        <v>12</v>
      </c>
      <c r="B59" s="712" t="inlineStr">
        <is>
          <t>Проверить в базе подключение клиентов к каналу ЭПД (МАКС / ТГ / ВК) как альт. канал</t>
        </is>
      </c>
      <c r="C59" s="708" t="inlineStr">
        <is>
          <t>ЦП / ЦКС</t>
        </is>
      </c>
      <c r="D59" s="722" t="inlineStr">
        <is>
          <t>до след. встречи</t>
        </is>
      </c>
      <c r="E59" s="723" t="inlineStr">
        <is>
          <t>в работе</t>
        </is>
      </c>
      <c r="F59" s="724" t="inlineStr">
        <is>
          <t>Связать со стратегией и целями.</t>
        </is>
      </c>
      <c r="G59" s="718" t="n"/>
    </row>
    <row r="60" ht="36" customHeight="1">
      <c r="A60" s="714" t="n">
        <v>13</v>
      </c>
      <c r="B60" s="712" t="inlineStr">
        <is>
          <t>Зафиксировать план 500 клиентов до конца 2026: 50 крупных / 300 средних / 150 мелких</t>
        </is>
      </c>
      <c r="C60" s="708" t="inlineStr">
        <is>
          <t>Все участники</t>
        </is>
      </c>
      <c r="D60" s="722" t="inlineStr">
        <is>
          <t>принято</t>
        </is>
      </c>
      <c r="E60" s="725" t="inlineStr">
        <is>
          <t>принято</t>
        </is>
      </c>
      <c r="F60" s="724" t="inlineStr">
        <is>
          <t>Приоритет — количество клиентов, не сумма выручки на старте.</t>
        </is>
      </c>
      <c r="G60" s="718" t="n"/>
    </row>
    <row r="61" ht="40" customHeight="1">
      <c r="A61" s="714" t="n">
        <v>14</v>
      </c>
      <c r="B61" s="712" t="inlineStr">
        <is>
          <t>Разобрать дубли тарифов у одного клиента (несколько мелких пакетов вместо одного крупного) и скорректировать скрипт</t>
        </is>
      </c>
      <c r="C61" s="708" t="inlineStr">
        <is>
          <t>ЦКС / ЦП</t>
        </is>
      </c>
      <c r="D61" s="722" t="inlineStr">
        <is>
          <t>до след. встречи</t>
        </is>
      </c>
      <c r="E61" s="723" t="inlineStr">
        <is>
          <t>в работе</t>
        </is>
      </c>
      <c r="F61" s="724" t="inlineStr">
        <is>
          <t>Пример из статистики 1С — «Пчёлы свободные».</t>
        </is>
      </c>
      <c r="G61" s="718" t="n"/>
    </row>
    <row r="62" ht="40" customHeight="1">
      <c r="A62" s="714" t="n">
        <v>15</v>
      </c>
      <c r="B62" s="712" t="inlineStr">
        <is>
          <t>Уточнить целевое % соотношение базы: крупные / средние / мелкие (в т.ч. вариант 10/30/60) на основе анализа текущей базы</t>
        </is>
      </c>
      <c r="C62" s="708" t="inlineStr">
        <is>
          <t>Все участники</t>
        </is>
      </c>
      <c r="D62" s="722" t="inlineStr">
        <is>
          <t>до след. встречи</t>
        </is>
      </c>
      <c r="E62" s="723" t="inlineStr">
        <is>
          <t>в работе</t>
        </is>
      </c>
      <c r="F62" s="724" t="inlineStr">
        <is>
          <t>Крупный = ещё и генератор трафика. Сейчас: 1 крупный, 8 средних.</t>
        </is>
      </c>
      <c r="G62" s="718" t="n"/>
    </row>
    <row r="63" ht="40" customHeight="1">
      <c r="A63" s="714" t="n">
        <v>16</v>
      </c>
      <c r="B63" s="712" t="inlineStr">
        <is>
          <t>Проработать модель центра компетенций / аккаунтинга ЭПД (админ + продажи + забота/продление) и зону ЦКС vs ЦП</t>
        </is>
      </c>
      <c r="C63" s="708" t="inlineStr">
        <is>
          <t>ЦКС / ЦП</t>
        </is>
      </c>
      <c r="D63" s="722" t="inlineStr">
        <is>
          <t>до след. встречи</t>
        </is>
      </c>
      <c r="E63" s="723" t="inlineStr">
        <is>
          <t>в работе</t>
        </is>
      </c>
      <c r="F63" s="724" t="inlineStr">
        <is>
          <t>Цель: пользование сервисом + своевременное пополнение баланса; допродажа УАТ — по выгрузке ЦП.</t>
        </is>
      </c>
      <c r="G63" s="718" t="n"/>
    </row>
    <row r="64" ht="40" customHeight="1">
      <c r="A64" s="714" t="n">
        <v>17</v>
      </c>
      <c r="B64" s="712" t="inlineStr">
        <is>
          <t>Зафиксировать сценарий выхаживания демо-клиентов (еженедельный контроль активности / звонки раз в 2 недели)</t>
        </is>
      </c>
      <c r="C64" s="708" t="inlineStr">
        <is>
          <t>ЦКС / ответственный</t>
        </is>
      </c>
      <c r="D64" s="722" t="inlineStr">
        <is>
          <t>до след. встречи</t>
        </is>
      </c>
      <c r="E64" s="723" t="inlineStr">
        <is>
          <t>в работе</t>
        </is>
      </c>
      <c r="F64" s="724" t="inlineStr">
        <is>
          <t>Определить, кто выхаживает: МПП, ЦКС или выделенный человек.</t>
        </is>
      </c>
      <c r="G64" s="718" t="n"/>
    </row>
    <row r="65" ht="40" customHeight="1">
      <c r="A65" s="714" t="n">
        <v>18</v>
      </c>
      <c r="B65" s="712" t="inlineStr">
        <is>
          <t>SMM/PR: системный план до конца года — статьи/SEO, вебинары с 1С/Калугой раз в месяц, кейсы и CTA в постах</t>
        </is>
      </c>
      <c r="C65" s="708" t="inlineStr">
        <is>
          <t>PR / ЦСВ</t>
        </is>
      </c>
      <c r="D65" s="722" t="inlineStr">
        <is>
          <t>сентябрь–декабрь</t>
        </is>
      </c>
      <c r="E65" s="723" t="inlineStr">
        <is>
          <t>в работе</t>
        </is>
      </c>
      <c r="F65" s="724" t="inlineStr">
        <is>
          <t>Точечные запросы контента — Вике. Материалы для менеджеров на сентябрь.</t>
        </is>
      </c>
      <c r="G65" s="718" t="n"/>
    </row>
    <row r="66" ht="40" customHeight="1">
      <c r="A66" s="714" t="n">
        <v>19</v>
      </c>
      <c r="B66" s="712" t="inlineStr">
        <is>
          <t>Доработать и запустить сентябрьскую акцию «экстренное подключение» (механика, каналы, материалы)</t>
        </is>
      </c>
      <c r="C66" s="708" t="inlineStr">
        <is>
          <t>PR / ЦП</t>
        </is>
      </c>
      <c r="D66" s="722" t="inlineStr">
        <is>
          <t>начало сентября</t>
        </is>
      </c>
      <c r="E66" s="723" t="inlineStr">
        <is>
          <t>в работе</t>
        </is>
      </c>
      <c r="F66" s="724" t="inlineStr">
        <is>
          <t>Соцсети + рассылка + менеджеры. Если к 01.09 — готовить сразу.</t>
        </is>
      </c>
      <c r="G66" s="718" t="n"/>
    </row>
    <row r="67" ht="40" customHeight="1">
      <c r="A67" s="714" t="n">
        <v>20</v>
      </c>
      <c r="B67" s="712" t="inlineStr">
        <is>
          <t>Проверить статус партнёра по ЭПД; отобрать внедрённые решения для публикации + оценка удовлетворённости по базе ~143</t>
        </is>
      </c>
      <c r="C67" s="708" t="inlineStr">
        <is>
          <t>Юля / PR</t>
        </is>
      </c>
      <c r="D67" s="722" t="inlineStr">
        <is>
          <t>сентябрь</t>
        </is>
      </c>
      <c r="E67" s="723" t="inlineStr">
        <is>
          <t>в работе</t>
        </is>
      </c>
      <c r="F67" s="724" t="inlineStr">
        <is>
          <t>Статус — инфоповод для контента.</t>
        </is>
      </c>
      <c r="G67" s="718" t="n"/>
    </row>
    <row r="68" ht="48" customHeight="1">
      <c r="A68" s="589" t="inlineStr">
        <is>
          <t>3. Обсуждаемые темы и выводы:</t>
        </is>
      </c>
      <c r="B68" s="717" t="n"/>
      <c r="C68" s="718" t="n"/>
      <c r="D68" s="718" t="n"/>
      <c r="E68" s="717" t="n"/>
      <c r="F68" s="717" t="n"/>
      <c r="G68" s="718" t="n"/>
    </row>
    <row r="69" ht="48" customHeight="1">
      <c r="A69" s="726" t="inlineStr">
        <is>
          <t>Обсуждаемая тема (проблема)</t>
        </is>
      </c>
      <c r="B69" s="717" t="n"/>
      <c r="C69" s="718" t="n"/>
      <c r="D69" s="726" t="inlineStr">
        <is>
          <t>Выводы и решения</t>
        </is>
      </c>
      <c r="E69" s="717" t="n"/>
      <c r="F69" s="717" t="n"/>
      <c r="G69" s="718" t="n"/>
      <c r="H69" s="727" t="n"/>
      <c r="I69" s="727" t="n"/>
    </row>
    <row r="70" ht="48" customHeight="1">
      <c r="A70" s="728" t="inlineStr">
        <is>
          <t>Блок: Акция и ЦСВ</t>
        </is>
      </c>
      <c r="B70" s="717" t="n"/>
      <c r="C70" s="718" t="n"/>
      <c r="D70" s="718" t="n"/>
      <c r="E70" s="717" t="n"/>
      <c r="F70" s="717" t="n"/>
      <c r="G70" s="718" t="n"/>
      <c r="H70" s="727" t="n"/>
      <c r="I70" s="727" t="n"/>
    </row>
    <row r="71" ht="18" customHeight="1">
      <c r="A71" s="724" t="inlineStr">
        <is>
          <t>Обсудить с ЦСВ трудозатраты на акцию по ЭПД.</t>
        </is>
      </c>
      <c r="B71" s="717" t="n"/>
      <c r="C71" s="717" t="n"/>
      <c r="D71" s="717" t="n"/>
      <c r="E71" s="717" t="n"/>
      <c r="F71" s="717" t="n"/>
      <c r="G71" s="718" t="n"/>
      <c r="H71" s="727" t="n"/>
      <c r="I71" s="727" t="n"/>
    </row>
    <row r="72" ht="48" customHeight="1">
      <c r="A72" s="728" t="inlineStr">
        <is>
          <t>Блок: Каналы МАКС / ТГ / ВК</t>
        </is>
      </c>
      <c r="B72" s="717" t="n"/>
      <c r="C72" s="718" t="n"/>
      <c r="D72" s="718" t="n"/>
      <c r="E72" s="717" t="n"/>
      <c r="F72" s="717" t="n"/>
      <c r="G72" s="718" t="n"/>
      <c r="H72" s="727" t="n"/>
      <c r="I72" s="727" t="n"/>
    </row>
    <row r="73" ht="48" customHeight="1">
      <c r="A73" s="724" t="inlineStr">
        <is>
          <t>Канал ЭПД в МАКС, ТГ, ВК. Можем ли прорабатывать этих клиентов силами ЦП и ЦКС? Связать со стратегией; альтернативный канал привлечения.</t>
        </is>
      </c>
      <c r="B73" s="717" t="n"/>
      <c r="C73" s="718" t="n"/>
      <c r="D73" s="724" t="inlineStr">
        <is>
          <t>Проверить из базы: подключён клиент к каналу или нет. Идея — просить менеджеров подключать клиентов (вопрос мотивации клиента открыт).</t>
        </is>
      </c>
      <c r="E73" s="717" t="n"/>
      <c r="F73" s="717" t="n"/>
      <c r="G73" s="718" t="n"/>
      <c r="H73" s="727" t="n"/>
      <c r="I73" s="727" t="n"/>
    </row>
    <row r="74" ht="48" customHeight="1">
      <c r="A74" s="728" t="inlineStr">
        <is>
          <t>Блок: Стратегия и сегментация</t>
        </is>
      </c>
      <c r="B74" s="717" t="n"/>
      <c r="C74" s="718" t="n"/>
      <c r="D74" s="718" t="n"/>
      <c r="E74" s="717" t="n"/>
      <c r="F74" s="717" t="n"/>
      <c r="G74" s="718" t="n"/>
      <c r="H74" s="727" t="n"/>
      <c r="I74" s="727" t="n"/>
    </row>
    <row r="75" ht="48" customHeight="1">
      <c r="A75" s="724" t="inlineStr">
        <is>
          <t>Заход в Элиттрейд (таблица А. Дворяк) — выход к контрагентам. Предложение Гуркова: сегментировать охваченных на крупных / средних / мелких.</t>
        </is>
      </c>
      <c r="B75" s="717" t="n"/>
      <c r="C75" s="718" t="n"/>
      <c r="D75" s="729" t="inlineStr">
        <is>
          <t>Производители (крупные) задают правила для перевозчиков → те для получателей. Лиза уточнит у Суворовой статус Элиттрейд; можно предложить акцию 3 мес. Доки.</t>
        </is>
      </c>
      <c r="E75" s="717" t="n"/>
      <c r="F75" s="717" t="n"/>
      <c r="G75" s="718" t="n"/>
      <c r="H75" s="727" t="n"/>
      <c r="I75" s="727" t="n"/>
    </row>
    <row r="76" ht="18" customHeight="1">
      <c r="A76" s="724" t="inlineStr">
        <is>
          <t>К признаку «крупный» добавить: является ли клиент генератором трафика (привлечение контрагентов).</t>
        </is>
      </c>
      <c r="B76" s="717" t="n"/>
      <c r="C76" s="717" t="n"/>
      <c r="D76" s="717" t="n"/>
      <c r="E76" s="717" t="n"/>
      <c r="F76" s="717" t="n"/>
      <c r="G76" s="718" t="n"/>
      <c r="H76" s="727" t="n"/>
      <c r="I76" s="727" t="n"/>
    </row>
    <row r="77" ht="48" customHeight="1">
      <c r="A77" s="724" t="inlineStr">
        <is>
          <t>Приоритет — количество привлечённых клиентов, а не сумма заработка. Выстроить цепочку «закрепления» и почкования с одного пакета на новых клиентов.</t>
        </is>
      </c>
      <c r="B77" s="717" t="n"/>
      <c r="C77" s="718" t="n"/>
      <c r="D77" s="729" t="inlineStr">
        <is>
          <t>ПЛАН: 500 клиентов до конца 2026 → 50 крупных + 300 средних + 150 мелких.</t>
        </is>
      </c>
      <c r="E77" s="717" t="n"/>
      <c r="F77" s="717" t="n"/>
      <c r="G77" s="718" t="n"/>
      <c r="H77" s="727" t="n"/>
      <c r="I77" s="727" t="n"/>
    </row>
    <row r="78" ht="18" customHeight="1">
      <c r="A78" s="728" t="inlineStr">
        <is>
          <t>Блок: Доки.Логистика и охват</t>
        </is>
      </c>
      <c r="B78" s="717" t="n"/>
      <c r="C78" s="717" t="n"/>
      <c r="D78" s="717" t="n"/>
      <c r="E78" s="717" t="n"/>
      <c r="F78" s="717" t="n"/>
      <c r="G78" s="718" t="n"/>
      <c r="H78" s="727" t="n"/>
      <c r="I78" s="727" t="n"/>
    </row>
    <row r="79" ht="48" customHeight="1">
      <c r="A79" s="724" t="inlineStr">
        <is>
          <t>Задача по Доки.Логистика (Оксана Ремез) — прописать подробнее после пересмотра встречи.</t>
        </is>
      </c>
      <c r="B79" s="717" t="n"/>
      <c r="C79" s="718" t="n"/>
      <c r="D79" s="729" t="inlineStr">
        <is>
          <t>Подключить Антона Гуркова к изучению привязки клиента. Антон взял на себя.</t>
        </is>
      </c>
      <c r="E79" s="717" t="n"/>
      <c r="F79" s="717" t="n"/>
      <c r="G79" s="718" t="n"/>
      <c r="H79" s="727" t="n"/>
      <c r="I79" s="727" t="n"/>
    </row>
    <row r="80" ht="48" customHeight="1">
      <c r="A80" s="724" t="inlineStr">
        <is>
          <t>Можем ли отследить активность клиента в сервисе Доки? (вопрос Калуге)</t>
        </is>
      </c>
      <c r="B80" s="717" t="n"/>
      <c r="C80" s="718" t="n"/>
      <c r="D80" s="729" t="inlineStr">
        <is>
          <t>Маша Дивакова выяснит.</t>
        </is>
      </c>
      <c r="E80" s="717" t="n"/>
      <c r="F80" s="717" t="n"/>
      <c r="G80" s="718" t="n"/>
      <c r="H80" s="727" t="n"/>
      <c r="I80" s="727" t="n"/>
    </row>
    <row r="81" ht="48" customHeight="1">
      <c r="A81" s="724" t="inlineStr">
        <is>
          <t>Считается ли Доки в охват сервисами ЭПД?</t>
        </is>
      </c>
      <c r="B81" s="717" t="n"/>
      <c r="C81" s="718" t="n"/>
      <c r="D81" s="729" t="inlineStr">
        <is>
          <t>Вопрос Никитченко — Саша спросит. Цифры расходятся с Калугой; проблемы с закреплением.</t>
        </is>
      </c>
      <c r="E81" s="717" t="n"/>
      <c r="F81" s="717" t="n"/>
      <c r="G81" s="718" t="n"/>
      <c r="H81" s="727" t="n"/>
      <c r="I81" s="727" t="n"/>
    </row>
    <row r="82" ht="18" customHeight="1">
      <c r="A82" s="724" t="inlineStr">
        <is>
          <t>Все проданные ЭПД: центр компетенции изучает — всё ли продано, подключились ли.</t>
        </is>
      </c>
      <c r="B82" s="717" t="n"/>
      <c r="C82" s="717" t="n"/>
      <c r="D82" s="717" t="n"/>
      <c r="E82" s="717" t="n"/>
      <c r="F82" s="717" t="n"/>
      <c r="G82" s="718" t="n"/>
      <c r="H82" s="727" t="n"/>
      <c r="I82" s="727" t="n"/>
    </row>
    <row r="83" ht="48" customHeight="1">
      <c r="A83" s="728" t="inlineStr">
        <is>
          <t>Блок: Демо и прогрев (СМАК)</t>
        </is>
      </c>
      <c r="B83" s="717" t="n"/>
      <c r="C83" s="718" t="n"/>
      <c r="D83" s="718" t="n"/>
      <c r="E83" s="717" t="n"/>
      <c r="F83" s="717" t="n"/>
      <c r="G83" s="718" t="n"/>
      <c r="H83" s="727" t="n"/>
      <c r="I83" s="727" t="n"/>
    </row>
    <row r="84" ht="48" customHeight="1">
      <c r="A84" s="724" t="inlineStr">
        <is>
          <t>Со СМАК подготовить материалы для прогрева клиента во время демо-доступа.</t>
        </is>
      </c>
      <c r="B84" s="717" t="n"/>
      <c r="C84" s="718" t="n"/>
      <c r="D84" s="724" t="inlineStr">
        <is>
          <t>С 01.10 — 14 дней демо; до 01.10 — 3 месяца бесплатно.</t>
        </is>
      </c>
      <c r="E84" s="717" t="n"/>
      <c r="F84" s="717" t="n"/>
      <c r="G84" s="718" t="n"/>
      <c r="H84" s="727" t="n"/>
      <c r="I84" s="727" t="n"/>
    </row>
    <row r="85" ht="48" customHeight="1">
      <c r="A85" s="728" t="inlineStr">
        <is>
          <t>Блок: Сопровождение МПП / ЦКС</t>
        </is>
      </c>
      <c r="B85" s="717" t="n"/>
      <c r="C85" s="718" t="n"/>
      <c r="D85" s="718" t="n"/>
      <c r="E85" s="717" t="n"/>
      <c r="F85" s="717" t="n"/>
      <c r="G85" s="718" t="n"/>
      <c r="H85" s="727" t="n"/>
      <c r="I85" s="727" t="n"/>
    </row>
    <row r="86" ht="18" customHeight="1">
      <c r="A86" s="724" t="inlineStr">
        <is>
          <t>План для МПП: платные / бесплатные клиенты; «выхаживать» может другой человек (идея — Антон Гурков).</t>
        </is>
      </c>
      <c r="B86" s="717" t="n"/>
      <c r="C86" s="717" t="n"/>
      <c r="D86" s="717" t="n"/>
      <c r="E86" s="717" t="n"/>
      <c r="F86" s="717" t="n"/>
      <c r="G86" s="718" t="n"/>
      <c r="H86" s="727" t="n"/>
      <c r="I86" s="727" t="n"/>
    </row>
    <row r="87" ht="48" customHeight="1">
      <c r="A87" s="724" t="inlineStr">
        <is>
          <t>Клиенту продают минимальный пакет («пока не понятно»). Кто ведёт дальше при продлении? Получают ли ЦКС сигнал о дозакупке титулов?</t>
        </is>
      </c>
      <c r="B87" s="717" t="n"/>
      <c r="C87" s="718" t="n"/>
      <c r="D87" s="724" t="inlineStr">
        <is>
          <t>По логике — ЦКС. Нужен калькулятор — Вика с Машей обсуждали накануне лектория с 1С.</t>
        </is>
      </c>
      <c r="E87" s="717" t="n"/>
      <c r="F87" s="717" t="n"/>
      <c r="G87" s="718" t="n"/>
      <c r="H87" s="727" t="n"/>
      <c r="I87" s="727" t="n"/>
    </row>
    <row r="88" ht="48" customHeight="1">
      <c r="A88" s="724" t="inlineStr">
        <is>
          <t>Ожидание: ЦКС категоризирует клиента по кол-ву титулов / УАТ и своевременно пополняет баланс.</t>
        </is>
      </c>
      <c r="B88" s="717" t="n"/>
      <c r="C88" s="718" t="n"/>
      <c r="D88" s="724" t="inlineStr">
        <is>
          <t>Зафиксировано как рабочий процесс.</t>
        </is>
      </c>
      <c r="E88" s="717" t="n"/>
      <c r="F88" s="717" t="n"/>
      <c r="G88" s="718" t="n"/>
      <c r="H88" s="727" t="n"/>
      <c r="I88" s="727" t="n"/>
    </row>
    <row r="89" ht="18" customHeight="1">
      <c r="A89" s="728" t="inlineStr">
        <is>
          <t>Блок: Тандем и обзвоны</t>
        </is>
      </c>
      <c r="B89" s="717" t="n"/>
      <c r="C89" s="717" t="n"/>
      <c r="D89" s="717" t="n"/>
      <c r="E89" s="717" t="n"/>
      <c r="F89" s="717" t="n"/>
      <c r="G89" s="718" t="n"/>
      <c r="H89" s="727" t="n"/>
      <c r="I89" s="727" t="n"/>
    </row>
    <row r="90" ht="52" customHeight="1">
      <c r="A90" s="724" t="inlineStr">
        <is>
          <t>Рассылка по клиентам: «проверьте своего контрагента и впишите в тандем».</t>
        </is>
      </c>
      <c r="B90" s="717" t="n"/>
      <c r="C90" s="718" t="n"/>
      <c r="D90" s="729" t="inlineStr">
        <is>
          <t>Лиза — когда и какой текст.</t>
        </is>
      </c>
      <c r="E90" s="717" t="n"/>
      <c r="F90" s="717" t="n"/>
      <c r="G90" s="718" t="n"/>
      <c r="H90" s="727" t="n"/>
      <c r="I90" s="727" t="n"/>
    </row>
    <row r="91" ht="52" customHeight="1">
      <c r="A91" s="724" t="inlineStr">
        <is>
          <t>Начать с крупных клиентов: прозвонить и предложить подключить контрагента в ЭПД ТАНДЕМ.</t>
        </is>
      </c>
      <c r="B91" s="717" t="n"/>
      <c r="C91" s="718" t="n"/>
      <c r="D91" s="724" t="inlineStr">
        <is>
          <t>Крупные = от 2000 титулов. Корп. клиенты продавали ЭПД даже в малом объёме.</t>
        </is>
      </c>
      <c r="E91" s="717" t="n"/>
      <c r="F91" s="717" t="n"/>
      <c r="G91" s="718" t="n"/>
      <c r="H91" s="727" t="n"/>
      <c r="I91" s="727" t="n"/>
    </row>
    <row r="92" ht="18" customHeight="1">
      <c r="A92" s="724" t="inlineStr">
        <is>
          <t>Обзвон подключённых клиентов: оценка удовлетворённости + проекты ЦАС (Доки).</t>
        </is>
      </c>
      <c r="B92" s="717" t="n"/>
      <c r="C92" s="717" t="n"/>
      <c r="D92" s="717" t="n"/>
      <c r="E92" s="717" t="n"/>
      <c r="F92" s="717" t="n"/>
      <c r="G92" s="718" t="n"/>
      <c r="H92" s="727" t="n"/>
      <c r="I92" s="727" t="n"/>
    </row>
    <row r="93" ht="52" customHeight="1">
      <c r="A93" s="728" t="inlineStr">
        <is>
          <t>Блок: Корп. сегмент / сбытовой офис</t>
        </is>
      </c>
      <c r="B93" s="717" t="n"/>
      <c r="C93" s="718" t="n"/>
      <c r="D93" s="718" t="n"/>
      <c r="E93" s="717" t="n"/>
      <c r="F93" s="717" t="n"/>
      <c r="G93" s="718" t="n"/>
      <c r="H93" s="727" t="n"/>
      <c r="I93" s="727" t="n"/>
    </row>
    <row r="94" ht="18" customHeight="1">
      <c r="A94" s="724" t="inlineStr">
        <is>
          <t>Почему клиенты сбытового офиса не переходят в ЭПД / уходят на СБИС?</t>
        </is>
      </c>
      <c r="B94" s="717" t="n"/>
      <c r="C94" s="717" t="n"/>
      <c r="D94" s="717" t="n"/>
      <c r="E94" s="717" t="n"/>
      <c r="F94" s="717" t="n"/>
      <c r="G94" s="718" t="n"/>
      <c r="H94" s="727" t="n"/>
      <c r="I94" s="727" t="n"/>
    </row>
    <row r="95" ht="52" customHeight="1">
      <c r="A95" s="724" t="inlineStr">
        <is>
          <t>Юля: предлагать всем клиентам бесплатно Доки (дублирующий сервис) на 3 мес.; KPI менеджерам на сентябрь.</t>
        </is>
      </c>
      <c r="B95" s="717" t="n"/>
      <c r="C95" s="718" t="n"/>
      <c r="D95" s="724" t="inlineStr">
        <is>
          <t>Зафиксировано как предложение.</t>
        </is>
      </c>
      <c r="E95" s="717" t="n"/>
      <c r="F95" s="717" t="n"/>
      <c r="G95" s="718" t="n"/>
      <c r="H95" s="727" t="n"/>
      <c r="I95" s="727" t="n"/>
    </row>
    <row r="96" ht="52" customHeight="1">
      <c r="A96" s="728" t="inlineStr">
        <is>
          <t>Блок: Статистика продаж и расхождения</t>
        </is>
      </c>
      <c r="B96" s="717" t="n"/>
      <c r="C96" s="718" t="n"/>
    </row>
    <row r="97" ht="18" customHeight="1">
      <c r="A97" s="724" t="inlineStr">
        <is>
          <t>Статистика 1С: оформленные тарифы (не клиенты). На текущий момент 143 тарифа; в августе уже ~87 подключений. УТ и 1С могут расходиться.</t>
        </is>
      </c>
      <c r="B97" s="717" t="n"/>
      <c r="C97" s="717" t="n"/>
      <c r="D97" s="717" t="n"/>
      <c r="E97" s="717" t="n"/>
      <c r="F97" s="717" t="n"/>
      <c r="G97" s="718" t="n"/>
    </row>
    <row r="98" ht="52" customHeight="1">
      <c r="A98" s="724" t="inlineStr">
        <is>
          <t>Дубли тарифов у одного клиента в одном периоде (пример «Пчёлы свободные»: две по 600 вместо одной 1000).</t>
        </is>
      </c>
      <c r="B98" s="717" t="n"/>
      <c r="C98" s="718" t="n"/>
      <c r="D98" s="729" t="inlineStr">
        <is>
          <t>Разобрать кейсы дублей: почему не предложили больший пакет; скорректировать скрипт продажи.</t>
        </is>
      </c>
      <c r="E98" s="717" t="n"/>
      <c r="F98" s="717" t="n"/>
      <c r="G98" s="718" t="n"/>
    </row>
    <row r="99" ht="52" customHeight="1">
      <c r="A99" s="728" t="inlineStr">
        <is>
          <t>Блок: Состав базы (крупные / средние / мелкие)</t>
        </is>
      </c>
      <c r="B99" s="717" t="n"/>
      <c r="C99" s="718" t="n"/>
    </row>
    <row r="100" ht="52" customHeight="1">
      <c r="A100" s="724" t="inlineStr">
        <is>
          <t>Как сегментировать план 500: крупные ≥10 000 титулов, средние 2 000–10 000, мелкие &lt;2 000. Сейчас по факту: 1 крупный, 8 средних, остальное мелкие.</t>
        </is>
      </c>
      <c r="B100" s="717" t="n"/>
      <c r="C100" s="718" t="n"/>
      <c r="D100" s="729" t="inlineStr">
        <is>
          <t>Обсудили альтернативу: ~10% крупных / 30% средних / 60% мелких (более достижимо по количеству). Признак «генератор трафика» обязателен для крупных. Уточнить целевые % после анализа базы.</t>
        </is>
      </c>
      <c r="E100" s="717" t="n"/>
      <c r="F100" s="717" t="n"/>
      <c r="G100" s="718" t="n"/>
    </row>
    <row r="101">
      <c r="A101" s="728" t="inlineStr">
        <is>
          <t>Блок: Центр компетенций и аккаунтинг</t>
        </is>
      </c>
    </row>
    <row r="102">
      <c r="A102" s="724" t="inlineStr">
        <is>
          <t>Нужен центр компетенций по ЭПД: все проданные в компании ЭПД изучать — объём, пользование, допродажи, продление. Идея ролей: администратор (операционка/чек-лист в Битрикс) + менеджер продаж + менеджер заботы/продлений.</t>
        </is>
      </c>
      <c r="D102" s="729" t="inlineStr">
        <is>
          <t>Цель: клиент начал пользоваться и вовремя пополнил баланс. Ожидание — зона ответственности ЦКС; допродажи УАТ/смежного — ЦП по выгрузке после продажи ЭПД. Проработать модель и нагрузку при росте до ~120–130 клиентов/мес.</t>
        </is>
      </c>
    </row>
    <row r="103">
      <c r="A103" s="724" t="inlineStr">
        <is>
          <t>Сценарий выхаживания на демо: раз в неделю смотреть активность (если доступно); если нет динамики — звонок; минимум раз в 2 недели контакт + проверка, что клиент в чате.</t>
        </is>
      </c>
      <c r="D103" s="729" t="inlineStr">
        <is>
          <t>Зафиксировать сценарий. Риск: кто выхаживает — МПП, ЦКС или выделенный человек (в т.ч. идея с Антоном / отдельными ролями в ЦП и ЦКС).</t>
        </is>
      </c>
    </row>
    <row r="104">
      <c r="A104" s="728" t="inlineStr">
        <is>
          <t>Блок: PR, контент и соцсети</t>
        </is>
      </c>
    </row>
    <row r="105">
      <c r="A105" s="724" t="inlineStr">
        <is>
          <t>Соцсети ЭПД: ВК, МАКС, Telegram. Контент должен закрывать этапы воронки: выбор решения → выбор компании → покупка. Не хватает кейсов, отзывов, CTA на консультацию в каждом посте.</t>
        </is>
      </c>
      <c r="D105" s="729" t="inlineStr">
        <is>
          <t>До конца года: системно — SEO/статьи (в т.ч. внешние площадки, РБК), вебинары с 1С/Калугой раз в месяц + соло-вебинары, усиление постов/акций. Помощь ЦСВ по экспертным материалам. Точечные запросы контента — Вике.</t>
        </is>
      </c>
    </row>
    <row r="106">
      <c r="A106" s="724" t="inlineStr">
        <is>
          <t>Идея сентябрьской акции «экстренное подключение» (бесплатно / пакет поддержки) + горячая линия (Олимпиада/Антон) для экспертизы.</t>
        </is>
      </c>
      <c r="D106" s="729" t="inlineStr">
        <is>
          <t>Механику доработать (срок акции, цена/бесплатность, каналы: соцсети + рассылка + материалы менеджерам). Если к 01.09 — готовить оперативно.</t>
        </is>
      </c>
    </row>
    <row r="107">
      <c r="A107" s="724" t="inlineStr">
        <is>
          <t>Статус партнёра по ЭПД / внедрённые решения: проверить отображение статуса; использовать как инфоповод («единственные в регионе»). По ~143 клиентам — отобрать кейсы для публикации + оценка удовлетворённости.</t>
        </is>
      </c>
      <c r="D107" s="729" t="inlineStr">
        <is>
          <t>Проверить статус заявки; нарастить число опубликованных внедрённых решений (Юля / команда).</t>
        </is>
      </c>
    </row>
    <row r="108">
      <c r="A108" s="710" t="inlineStr">
        <is>
          <t>Подсветка выводов: строки с поручениями/задачами выделены мягким оранжевым. Поставленные задачи продублированы в блоке «2. Решения текущей встречи».</t>
        </is>
      </c>
      <c r="H108" s="727" t="n"/>
      <c r="I108" s="727" t="n"/>
    </row>
    <row r="109">
      <c r="A109" s="727" t="n"/>
      <c r="B109" s="717" t="n"/>
      <c r="C109" s="718" t="n"/>
      <c r="D109" s="727" t="n"/>
      <c r="E109" s="727" t="n"/>
      <c r="F109" s="727" t="n"/>
      <c r="G109" s="727" t="n"/>
      <c r="H109" s="727" t="n"/>
      <c r="I109" s="727" t="n"/>
    </row>
    <row r="110">
      <c r="A110" s="727" t="n"/>
      <c r="B110" s="717" t="n"/>
      <c r="C110" s="718" t="n"/>
      <c r="D110" s="727" t="n"/>
      <c r="E110" s="727" t="n"/>
      <c r="F110" s="727" t="n"/>
      <c r="G110" s="727" t="n"/>
      <c r="H110" s="727" t="n"/>
      <c r="I110" s="727" t="n"/>
    </row>
    <row r="111">
      <c r="A111" s="727" t="n"/>
      <c r="B111" s="717" t="n"/>
      <c r="C111" s="718" t="n"/>
      <c r="D111" s="727" t="n"/>
      <c r="E111" s="727" t="n"/>
      <c r="F111" s="727" t="n"/>
      <c r="G111" s="727" t="n"/>
      <c r="H111" s="727" t="n"/>
      <c r="I111" s="727" t="n"/>
    </row>
    <row r="112">
      <c r="A112" s="727" t="n"/>
      <c r="B112" s="727" t="n"/>
      <c r="C112" s="727" t="n"/>
      <c r="D112" s="727" t="n"/>
      <c r="E112" s="727" t="n"/>
      <c r="F112" s="727" t="n"/>
      <c r="G112" s="727" t="n"/>
      <c r="H112" s="727" t="n"/>
      <c r="I112" s="727" t="n"/>
    </row>
    <row r="113">
      <c r="A113" s="727" t="n"/>
      <c r="B113" s="727" t="n"/>
      <c r="C113" s="727" t="n"/>
      <c r="D113" s="727" t="n"/>
      <c r="E113" s="727" t="n"/>
      <c r="F113" s="727" t="n"/>
      <c r="G113" s="727" t="n"/>
      <c r="H113" s="727" t="n"/>
      <c r="I113" s="727" t="n"/>
    </row>
    <row r="114">
      <c r="A114" s="727" t="n"/>
      <c r="B114" s="727" t="n"/>
      <c r="C114" s="727" t="n"/>
      <c r="D114" s="727" t="n"/>
      <c r="E114" s="727" t="n"/>
      <c r="F114" s="727" t="n"/>
      <c r="G114" s="727" t="n"/>
      <c r="H114" s="727" t="n"/>
      <c r="I114" s="727" t="n"/>
    </row>
    <row r="115">
      <c r="A115" s="727" t="n"/>
      <c r="B115" s="727" t="n"/>
      <c r="C115" s="727" t="n"/>
      <c r="D115" s="727" t="n"/>
      <c r="E115" s="727" t="n"/>
      <c r="F115" s="727" t="n"/>
      <c r="G115" s="727" t="n"/>
      <c r="H115" s="727" t="n"/>
      <c r="I115" s="727" t="n"/>
    </row>
    <row r="116">
      <c r="A116" s="727" t="n"/>
      <c r="B116" s="727" t="n"/>
      <c r="C116" s="727" t="n"/>
      <c r="D116" s="727" t="n"/>
      <c r="E116" s="727" t="n"/>
      <c r="F116" s="727" t="n"/>
      <c r="G116" s="727" t="n"/>
      <c r="H116" s="727" t="n"/>
      <c r="I116" s="727" t="n"/>
    </row>
    <row r="117">
      <c r="A117" s="727" t="n"/>
      <c r="B117" s="727" t="n"/>
      <c r="C117" s="727" t="n"/>
      <c r="D117" s="727" t="n"/>
      <c r="E117" s="727" t="n"/>
      <c r="F117" s="727" t="n"/>
      <c r="G117" s="727" t="n"/>
      <c r="H117" s="727" t="n"/>
      <c r="I117" s="727" t="n"/>
    </row>
    <row r="118">
      <c r="A118" s="727" t="n"/>
      <c r="B118" s="727" t="n"/>
      <c r="C118" s="727" t="n"/>
      <c r="D118" s="727" t="n"/>
      <c r="E118" s="727" t="n"/>
      <c r="F118" s="727" t="n"/>
      <c r="G118" s="727" t="n"/>
      <c r="H118" s="727" t="n"/>
      <c r="I118" s="727" t="n"/>
    </row>
    <row r="119">
      <c r="A119" s="727" t="n"/>
      <c r="B119" s="727" t="n"/>
      <c r="C119" s="727" t="n"/>
      <c r="D119" s="727" t="n"/>
      <c r="E119" s="727" t="n"/>
      <c r="F119" s="727" t="n"/>
      <c r="G119" s="727" t="n"/>
      <c r="H119" s="727" t="n"/>
      <c r="I119" s="727" t="n"/>
    </row>
    <row r="120">
      <c r="A120" s="727" t="n"/>
      <c r="B120" s="727" t="n"/>
      <c r="C120" s="727" t="n"/>
      <c r="D120" s="727" t="n"/>
      <c r="E120" s="727" t="n"/>
      <c r="F120" s="727" t="n"/>
      <c r="G120" s="727" t="n"/>
      <c r="H120" s="727" t="n"/>
      <c r="I120" s="727" t="n"/>
    </row>
    <row r="121">
      <c r="A121" s="727" t="n"/>
      <c r="B121" s="727" t="n"/>
      <c r="C121" s="727" t="n"/>
      <c r="D121" s="727" t="n"/>
      <c r="E121" s="727" t="n"/>
      <c r="F121" s="727" t="n"/>
      <c r="G121" s="727" t="n"/>
      <c r="H121" s="727" t="n"/>
      <c r="I121" s="727" t="n"/>
    </row>
  </sheetData>
  <mergeCells count="128">
    <mergeCell ref="F29:G29"/>
    <mergeCell ref="A80:C80"/>
    <mergeCell ref="F25:G25"/>
    <mergeCell ref="D74:G74"/>
    <mergeCell ref="D68:G68"/>
    <mergeCell ref="D100:G100"/>
    <mergeCell ref="A91:C91"/>
    <mergeCell ref="D84:G84"/>
    <mergeCell ref="A93:C93"/>
    <mergeCell ref="F23:G23"/>
    <mergeCell ref="D77:G77"/>
    <mergeCell ref="A77:C77"/>
    <mergeCell ref="A83:C83"/>
    <mergeCell ref="D95:G95"/>
    <mergeCell ref="F56:G56"/>
    <mergeCell ref="A46:G46"/>
    <mergeCell ref="F43:G43"/>
    <mergeCell ref="D70:G70"/>
    <mergeCell ref="A89:G89"/>
    <mergeCell ref="D72:G72"/>
    <mergeCell ref="A69:C69"/>
    <mergeCell ref="D87:G87"/>
    <mergeCell ref="A9:B9"/>
    <mergeCell ref="A71:G71"/>
    <mergeCell ref="F57:G57"/>
    <mergeCell ref="A75:C75"/>
    <mergeCell ref="F10:G10"/>
    <mergeCell ref="F54:G54"/>
    <mergeCell ref="A11:B11"/>
    <mergeCell ref="F63:G63"/>
    <mergeCell ref="F34:G34"/>
    <mergeCell ref="C5:D5"/>
    <mergeCell ref="E5:F5"/>
    <mergeCell ref="D98:G98"/>
    <mergeCell ref="D73:G73"/>
    <mergeCell ref="A95:C95"/>
    <mergeCell ref="C4:D4"/>
    <mergeCell ref="E4:F4"/>
    <mergeCell ref="D88:G88"/>
    <mergeCell ref="F30:G30"/>
    <mergeCell ref="F33:G33"/>
    <mergeCell ref="F45:G45"/>
    <mergeCell ref="A92:G92"/>
    <mergeCell ref="F42:G42"/>
    <mergeCell ref="D90:G90"/>
    <mergeCell ref="A81:C81"/>
    <mergeCell ref="A96:C96"/>
    <mergeCell ref="D99:G99"/>
    <mergeCell ref="F66:G66"/>
    <mergeCell ref="A1:G1"/>
    <mergeCell ref="F47:G47"/>
    <mergeCell ref="A94:G94"/>
    <mergeCell ref="F62:G62"/>
    <mergeCell ref="F31:G31"/>
    <mergeCell ref="A78:G78"/>
    <mergeCell ref="F28:G28"/>
    <mergeCell ref="A8:B8"/>
    <mergeCell ref="A73:C73"/>
    <mergeCell ref="C8:D8"/>
    <mergeCell ref="F9:G9"/>
    <mergeCell ref="F61:G61"/>
    <mergeCell ref="F39:G39"/>
    <mergeCell ref="F48:G48"/>
    <mergeCell ref="D75:G75"/>
    <mergeCell ref="A3:G3"/>
    <mergeCell ref="A10:B10"/>
    <mergeCell ref="F64:G64"/>
    <mergeCell ref="A32:G32"/>
    <mergeCell ref="A99:C99"/>
    <mergeCell ref="A97:G97"/>
    <mergeCell ref="A84:C84"/>
    <mergeCell ref="I3:K3"/>
    <mergeCell ref="F21:G21"/>
    <mergeCell ref="D79:G79"/>
    <mergeCell ref="F53:G53"/>
    <mergeCell ref="F36:G36"/>
    <mergeCell ref="A82:G82"/>
    <mergeCell ref="F50:G50"/>
    <mergeCell ref="D81:G81"/>
    <mergeCell ref="A72:C72"/>
    <mergeCell ref="F8:G8"/>
    <mergeCell ref="I13:K13"/>
    <mergeCell ref="A6:G6"/>
    <mergeCell ref="A5:B5"/>
    <mergeCell ref="F22:G22"/>
    <mergeCell ref="A4:B4"/>
    <mergeCell ref="A98:C98"/>
    <mergeCell ref="D91:G91"/>
    <mergeCell ref="A79:C79"/>
    <mergeCell ref="A88:C88"/>
    <mergeCell ref="A70:C70"/>
    <mergeCell ref="F49:G49"/>
    <mergeCell ref="A86:G86"/>
    <mergeCell ref="D93:G93"/>
    <mergeCell ref="F11:G11"/>
    <mergeCell ref="A90:C90"/>
    <mergeCell ref="D83:G83"/>
    <mergeCell ref="F65:G65"/>
    <mergeCell ref="A74:C74"/>
    <mergeCell ref="F40:G40"/>
    <mergeCell ref="D85:G85"/>
    <mergeCell ref="F59:G59"/>
    <mergeCell ref="F55:G55"/>
    <mergeCell ref="F24:G24"/>
    <mergeCell ref="C10:D10"/>
    <mergeCell ref="A85:C85"/>
    <mergeCell ref="D69:G69"/>
    <mergeCell ref="F51:G51"/>
    <mergeCell ref="A100:C100"/>
    <mergeCell ref="C9:D9"/>
    <mergeCell ref="F26:G26"/>
    <mergeCell ref="F41:G41"/>
    <mergeCell ref="F35:G35"/>
    <mergeCell ref="D80:G80"/>
    <mergeCell ref="A68:C68"/>
    <mergeCell ref="F38:G38"/>
    <mergeCell ref="C11:D11"/>
    <mergeCell ref="D96:G96"/>
    <mergeCell ref="A7:G7"/>
    <mergeCell ref="F58:G58"/>
    <mergeCell ref="F27:G27"/>
    <mergeCell ref="F52:G52"/>
    <mergeCell ref="F67:G67"/>
    <mergeCell ref="F37:G37"/>
    <mergeCell ref="F60:G60"/>
    <mergeCell ref="A87:C87"/>
    <mergeCell ref="A76:G76"/>
    <mergeCell ref="F44:G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tabSelected="0" workbookViewId="0">
      <selection activeCell="A1" sqref="A1"/>
    </sheetView>
  </sheetViews>
  <sheetFormatPr baseColWidth="13" defaultColWidth="13.4" defaultRowHeight="14.25" customHeight="1"/>
  <cols>
    <col width="8.762" customWidth="1" min="1" max="1"/>
    <col width="49.902" customWidth="1" min="2" max="2"/>
    <col width="35.613" customWidth="1" min="3" max="3"/>
    <col width="35.184" customWidth="1" min="4" max="4"/>
    <col width="24.141" customWidth="1" min="5" max="5"/>
    <col width="29.543" customWidth="1" min="6" max="6"/>
    <col width="34.801" customWidth="1" min="7" max="7"/>
    <col width="19.543" customWidth="1" min="9" max="9"/>
  </cols>
  <sheetData>
    <row r="1" ht="10.35" customHeight="1">
      <c r="A1" s="731" t="n"/>
      <c r="B1" s="732" t="n"/>
      <c r="C1" s="732" t="n"/>
      <c r="D1" s="732" t="n"/>
      <c r="E1" s="732" t="n"/>
      <c r="F1" s="732" t="n"/>
      <c r="G1" s="733" t="n"/>
    </row>
    <row r="2">
      <c r="A2" s="588" t="n"/>
      <c r="B2" s="588" t="n"/>
      <c r="C2" s="588" t="n"/>
      <c r="D2" s="588" t="n"/>
      <c r="E2" s="588" t="n"/>
      <c r="F2" s="588" t="n"/>
      <c r="G2" s="588" t="n"/>
    </row>
    <row r="3">
      <c r="A3" s="589" t="inlineStr">
        <is>
          <t>Показатели рекламной кампании</t>
        </is>
      </c>
      <c r="B3" s="717" t="n"/>
      <c r="C3" s="717" t="n"/>
      <c r="D3" s="717" t="n"/>
      <c r="E3" s="717" t="n"/>
      <c r="F3" s="717" t="n"/>
      <c r="G3" s="718" t="n"/>
    </row>
    <row r="4" ht="14.25" customHeight="1">
      <c r="A4" s="590" t="inlineStr">
        <is>
          <t>№</t>
        </is>
      </c>
      <c r="B4" s="590" t="inlineStr">
        <is>
          <t>Название рекламной кампании</t>
        </is>
      </c>
      <c r="C4" s="590" t="inlineStr">
        <is>
          <t>Лидер</t>
        </is>
      </c>
      <c r="D4" s="590" t="inlineStr">
        <is>
          <t>Кол-во ЛИДов</t>
        </is>
      </c>
      <c r="E4" s="484" t="inlineStr">
        <is>
          <t>Стоимость ЛИДа</t>
        </is>
      </c>
      <c r="F4" s="484" t="inlineStr">
        <is>
          <t>Сделок</t>
        </is>
      </c>
      <c r="G4" s="446" t="inlineStr">
        <is>
          <t>Оплат</t>
        </is>
      </c>
      <c r="H4" s="489" t="n"/>
      <c r="I4" s="490" t="n"/>
    </row>
    <row r="5" ht="52.5" customHeight="1">
      <c r="A5" s="591" t="n"/>
      <c r="B5" s="591" t="inlineStr">
        <is>
          <t xml:space="preserve">ЭПД </t>
        </is>
      </c>
      <c r="C5" s="591" t="inlineStr">
        <is>
          <t>Савинская</t>
        </is>
      </c>
      <c r="D5" s="592" t="inlineStr">
        <is>
          <t>16 (ЭПД Квиз - 6 шт, "Внедрение и поддержка 1С:ЭПД" - 10)</t>
        </is>
      </c>
      <c r="E5" s="592" t="inlineStr">
        <is>
          <t xml:space="preserve">1 984, потрачено 12 700 р за 4 дня с 17.08(цена лида стала 1400) </t>
        </is>
      </c>
      <c r="F5" s="468" t="n">
        <v>3</v>
      </c>
      <c r="G5" s="468" t="n">
        <v>0</v>
      </c>
      <c r="H5" s="489" t="n"/>
      <c r="I5" s="490" t="n"/>
    </row>
    <row r="6" ht="14.25" customHeight="1">
      <c r="A6" s="494" t="inlineStr">
        <is>
          <t xml:space="preserve">МПП </t>
        </is>
      </c>
      <c r="B6" s="593" t="inlineStr">
        <is>
          <t>Ссылка на лид</t>
        </is>
      </c>
      <c r="C6" s="494" t="inlineStr">
        <is>
          <t>Клиент</t>
        </is>
      </c>
      <c r="D6" s="494" t="inlineStr">
        <is>
          <t>Этап сделки</t>
        </is>
      </c>
      <c r="E6" s="446" t="inlineStr">
        <is>
          <t>Поступила оплата</t>
        </is>
      </c>
      <c r="F6" s="494" t="inlineStr">
        <is>
          <t>Комментарий</t>
        </is>
      </c>
      <c r="G6" s="718" t="n"/>
      <c r="H6" s="481" t="n"/>
      <c r="I6" s="481" t="n"/>
      <c r="J6" s="481" t="n"/>
      <c r="K6" s="481" t="n"/>
      <c r="L6" s="481" t="n"/>
    </row>
    <row r="7" ht="15.05" customHeight="1">
      <c r="A7" s="594" t="inlineStr">
        <is>
          <t>Соболев</t>
        </is>
      </c>
      <c r="B7" s="595" t="inlineStr">
        <is>
          <t>https://crm.forus.ru/crm/lead/details/265572/</t>
        </is>
      </c>
      <c r="C7" s="594" t="inlineStr">
        <is>
          <t>ООО "ТРИ-С ДОН" 6167203111</t>
        </is>
      </c>
      <c r="D7" s="596" t="inlineStr">
        <is>
          <t>отправить счет/договор</t>
        </is>
      </c>
      <c r="E7" s="448" t="n"/>
      <c r="F7" s="597" t="inlineStr">
        <is>
          <t>клиента устроила стоимость  взял время подумать , ЭПД 600, сумма 3600</t>
        </is>
      </c>
      <c r="G7" s="718" t="n"/>
      <c r="H7" s="492" t="n"/>
      <c r="I7" s="492" t="n"/>
      <c r="J7" s="482" t="n"/>
      <c r="K7" s="482" t="n"/>
      <c r="L7" s="482" t="n"/>
    </row>
    <row r="8">
      <c r="A8" s="496" t="inlineStr">
        <is>
          <t>Федосеев</t>
        </is>
      </c>
      <c r="B8" s="595" t="inlineStr">
        <is>
          <t>https://crm.forus.ru/crm/deal/details/318062/</t>
        </is>
      </c>
      <c r="C8" s="594" t="inlineStr">
        <is>
          <t xml:space="preserve">Ильмира </t>
        </is>
      </c>
      <c r="D8" s="596" t="inlineStr">
        <is>
          <t xml:space="preserve">отвал, клиент перестал выходить на связь </t>
        </is>
      </c>
      <c r="E8" s="594" t="n"/>
      <c r="F8" s="597" t="inlineStr">
        <is>
          <t xml:space="preserve">клиент отвалился после консультации , далее не вышел на связь </t>
        </is>
      </c>
      <c r="G8" s="718" t="n"/>
      <c r="H8" s="492" t="n"/>
      <c r="I8" s="492" t="n"/>
      <c r="J8" s="482" t="n"/>
      <c r="K8" s="482" t="n"/>
      <c r="L8" s="482" t="n"/>
    </row>
    <row r="9" ht="30" customHeight="1">
      <c r="A9" s="496" t="inlineStr">
        <is>
          <t>Фёдорова</t>
        </is>
      </c>
      <c r="B9" s="595" t="inlineStr">
        <is>
          <t>https://crm.forus.ru/crm/lead/details/265387/</t>
        </is>
      </c>
      <c r="C9" s="594" t="inlineStr">
        <is>
          <t>ООО "РАФТ ЛИЗИНГ" 3805703273</t>
        </is>
      </c>
      <c r="D9" s="599" t="inlineStr">
        <is>
          <t xml:space="preserve">уточнене потребностей </t>
        </is>
      </c>
      <c r="E9" s="594" t="n"/>
      <c r="F9" s="631" t="inlineStr">
        <is>
          <t>клиент обслуживается у другого партнера, но рассматривает все предложения, сегодня после обеда даст ответ 5000</t>
        </is>
      </c>
      <c r="G9" s="718" t="n"/>
      <c r="H9" s="492" t="n"/>
      <c r="I9" s="492" t="n"/>
      <c r="J9" s="482" t="n"/>
      <c r="K9" s="482" t="n"/>
      <c r="L9" s="482" t="n"/>
    </row>
    <row r="10" ht="13.05" customHeight="1">
      <c r="A10" s="496" t="n"/>
      <c r="B10" s="598" t="n"/>
      <c r="C10" s="594" t="n"/>
      <c r="D10" s="599" t="n"/>
      <c r="E10" s="594" t="n"/>
      <c r="F10" s="597" t="n"/>
      <c r="G10" s="718" t="n"/>
      <c r="H10" s="492" t="n"/>
      <c r="I10" s="492" t="n"/>
      <c r="J10" s="482" t="n"/>
      <c r="K10" s="482" t="n"/>
      <c r="L10" s="482" t="n"/>
    </row>
    <row r="11" ht="14.3" customHeight="1">
      <c r="A11" s="496" t="n"/>
      <c r="B11" s="598" t="n"/>
      <c r="C11" s="594" t="n"/>
      <c r="D11" s="599" t="n"/>
      <c r="E11" s="594" t="n"/>
      <c r="F11" s="597" t="n"/>
      <c r="G11" s="718" t="n"/>
      <c r="H11" s="492" t="n"/>
      <c r="I11" s="492" t="n"/>
      <c r="J11" s="482" t="n"/>
      <c r="K11" s="482" t="n"/>
      <c r="L11" s="482" t="n"/>
    </row>
    <row r="12" ht="16.05" customHeight="1">
      <c r="A12" s="496" t="n"/>
      <c r="B12" s="598" t="n"/>
      <c r="C12" s="594" t="n"/>
      <c r="D12" s="599" t="n"/>
      <c r="E12" s="594" t="n"/>
      <c r="F12" s="597" t="n"/>
      <c r="G12" s="718" t="n"/>
      <c r="H12" s="492" t="n"/>
      <c r="I12" s="492" t="n"/>
      <c r="J12" s="482" t="n"/>
      <c r="K12" s="482" t="n"/>
      <c r="L12" s="482" t="n"/>
    </row>
    <row r="13" ht="14.95" customHeight="1">
      <c r="A13" s="496" t="n"/>
      <c r="B13" s="600" t="n"/>
      <c r="C13" s="594" t="n"/>
      <c r="D13" s="599" t="n"/>
      <c r="E13" s="594" t="n"/>
      <c r="F13" s="597" t="n"/>
      <c r="G13" s="718" t="n"/>
      <c r="H13" s="492" t="n"/>
      <c r="I13" s="492" t="n"/>
      <c r="J13" s="482" t="n"/>
      <c r="K13" s="482" t="n"/>
      <c r="L13" s="482" t="n"/>
    </row>
    <row r="14">
      <c r="A14" s="496" t="n"/>
      <c r="B14" s="598" t="n"/>
      <c r="C14" s="594" t="n"/>
      <c r="D14" s="599" t="n"/>
      <c r="E14" s="594" t="n"/>
      <c r="F14" s="597" t="n"/>
      <c r="G14" s="718" t="n"/>
      <c r="H14" s="492" t="n"/>
      <c r="I14" s="492" t="n"/>
      <c r="J14" s="482" t="n"/>
      <c r="K14" s="482" t="n"/>
      <c r="L14" s="482" t="n"/>
    </row>
    <row r="15">
      <c r="A15" s="496" t="n"/>
      <c r="B15" s="600" t="n"/>
      <c r="C15" s="594" t="n"/>
      <c r="D15" s="599" t="n"/>
      <c r="E15" s="594" t="n"/>
      <c r="F15" s="597" t="n"/>
      <c r="G15" s="718" t="n"/>
      <c r="H15" s="492" t="n"/>
      <c r="I15" s="492" t="n"/>
      <c r="J15" s="482" t="n"/>
      <c r="K15" s="482" t="n"/>
      <c r="L15" s="482" t="n"/>
    </row>
    <row r="16">
      <c r="A16" s="496" t="n"/>
      <c r="B16" s="601" t="n"/>
      <c r="C16" s="594" t="n"/>
      <c r="D16" s="602" t="n"/>
      <c r="E16" s="594" t="n"/>
      <c r="F16" s="597" t="n"/>
      <c r="G16" s="718" t="n"/>
      <c r="H16" s="492" t="n"/>
      <c r="I16" s="492" t="n"/>
      <c r="J16" s="482" t="n"/>
      <c r="K16" s="482" t="n"/>
      <c r="L16" s="482" t="n"/>
    </row>
    <row r="17">
      <c r="A17" s="496" t="n"/>
      <c r="B17" s="603" t="n"/>
      <c r="C17" s="594" t="n"/>
      <c r="D17" s="604" t="n"/>
      <c r="E17" s="603" t="n"/>
      <c r="F17" s="597" t="n"/>
      <c r="G17" s="718" t="n"/>
      <c r="H17" s="492" t="n"/>
      <c r="I17" s="492" t="n"/>
      <c r="J17" s="482" t="n"/>
      <c r="K17" s="482" t="n"/>
      <c r="L17" s="482" t="n"/>
    </row>
    <row r="18" ht="14.25" customHeight="1">
      <c r="A18" s="502" t="n"/>
      <c r="B18" s="503" t="n"/>
      <c r="C18" s="504" t="n"/>
      <c r="D18" s="505" t="n"/>
      <c r="E18" s="508" t="n"/>
      <c r="F18" s="597" t="n"/>
      <c r="G18" s="718" t="n"/>
    </row>
    <row r="19" ht="14.25" customHeight="1">
      <c r="A19" s="110" t="n"/>
      <c r="B19" s="57" t="n"/>
      <c r="C19" s="89" t="n"/>
      <c r="D19" s="184" t="n"/>
      <c r="E19" s="113" t="n"/>
      <c r="F19" s="597" t="n"/>
      <c r="G19" s="718" t="n"/>
    </row>
    <row r="20">
      <c r="A20" s="605" t="inlineStr">
        <is>
          <t>1. Мониторинг предыдущих решений:</t>
        </is>
      </c>
      <c r="B20" s="717" t="n"/>
      <c r="C20" s="717" t="n"/>
      <c r="D20" s="717" t="n"/>
      <c r="E20" s="717" t="n"/>
      <c r="F20" s="717" t="n"/>
      <c r="G20" s="718" t="n"/>
    </row>
    <row r="21">
      <c r="A21" s="590" t="inlineStr">
        <is>
          <t>№</t>
        </is>
      </c>
      <c r="B21" s="590" t="inlineStr">
        <is>
          <t>Задача</t>
        </is>
      </c>
      <c r="C21" s="590" t="inlineStr">
        <is>
          <t>Лидер</t>
        </is>
      </c>
      <c r="D21" s="590" t="inlineStr">
        <is>
          <t>Срок</t>
        </is>
      </c>
      <c r="E21" s="590" t="inlineStr">
        <is>
          <t>Статус*</t>
        </is>
      </c>
      <c r="F21" s="590" t="inlineStr">
        <is>
          <t>Комментарии. Выводы</t>
        </is>
      </c>
      <c r="G21" s="718" t="n"/>
    </row>
    <row r="22" ht="53.05" customHeight="1">
      <c r="A22" s="606" t="n"/>
      <c r="B22" s="630" t="inlineStr">
        <is>
          <t xml:space="preserve">Созвон с Настей К по поводу заявок-напоминаний , которые получаем в рассылке </t>
        </is>
      </c>
      <c r="C22" s="608" t="inlineStr">
        <is>
          <t xml:space="preserve">Савинская </t>
        </is>
      </c>
      <c r="D22" s="608" t="inlineStr">
        <is>
          <t>до 14.08</t>
        </is>
      </c>
      <c r="E22" s="609" t="inlineStr">
        <is>
          <t xml:space="preserve">готово </t>
        </is>
      </c>
      <c r="F22" s="610" t="inlineStr">
        <is>
          <t>все ок, принято</t>
        </is>
      </c>
      <c r="G22" s="718" t="n"/>
    </row>
    <row r="23" ht="74.05" customHeight="1">
      <c r="A23" s="719" t="n">
        <v>1</v>
      </c>
      <c r="B23" s="629" t="inlineStr">
        <is>
          <t xml:space="preserve">Обсудить с Машей Д по клиентам, которые могут сопровождаться у др.партнеров, но попали к нам на ЛК ( могут не иметь договора) </t>
        </is>
      </c>
      <c r="C23" s="613" t="inlineStr">
        <is>
          <t xml:space="preserve">Корнева </t>
        </is>
      </c>
      <c r="D23" s="613" t="inlineStr">
        <is>
          <t>до 14.08</t>
        </is>
      </c>
      <c r="E23" s="613" t="inlineStr">
        <is>
          <t xml:space="preserve">выполнено </t>
        </is>
      </c>
      <c r="F23" s="614" t="inlineStr">
        <is>
          <t xml:space="preserve">Корнева А. 13.08 : Поговорила  с ЦСВ. Клиентов распределяет Юля Ситникова. В августе таких клиентов не было, все клиенты , что пришли уже были с оформленным сервисом. На будущее решили так: если клиент действующий , то передача менеджеру ЦКС, если клиент без договора то в ЦП. </t>
        </is>
      </c>
      <c r="G23" s="718" t="n"/>
    </row>
    <row r="24" ht="58.25" customHeight="1">
      <c r="A24" s="720" t="n">
        <v>2</v>
      </c>
      <c r="B24" s="165" t="inlineStr">
        <is>
          <t>Подумать о Предложении К. Дербеневой определить общую цель по ЭПД (Штуки либо деньги, доля наших клиентов, которые попадают под изменения)</t>
        </is>
      </c>
      <c r="C24" s="608" t="inlineStr">
        <is>
          <t>все участники</t>
        </is>
      </c>
      <c r="D24" s="616" t="inlineStr">
        <is>
          <t xml:space="preserve">до 27.08 </t>
        </is>
      </c>
      <c r="E24" s="609" t="inlineStr">
        <is>
          <t xml:space="preserve">в работе </t>
        </is>
      </c>
      <c r="F24" s="617" t="inlineStr">
        <is>
          <t>учесть требования вендора, 20.08 обсуждаем ОС. Продлила срок до следующей встречи -27.08</t>
        </is>
      </c>
      <c r="G24" s="718" t="n"/>
    </row>
    <row r="25" ht="34.55" customHeight="1">
      <c r="A25" s="719" t="n">
        <v>3</v>
      </c>
      <c r="B25" s="618" t="inlineStr">
        <is>
          <t xml:space="preserve">Собрать ОС от МПП по поводу сервиса ЭПД (что говорят клиенты) для встречи с Калугой </t>
        </is>
      </c>
      <c r="C25" s="613" t="inlineStr">
        <is>
          <t>Дербенева/Корнева</t>
        </is>
      </c>
      <c r="D25" s="619" t="inlineStr">
        <is>
          <t>до 18.08</t>
        </is>
      </c>
      <c r="E25" s="613" t="inlineStr">
        <is>
          <t xml:space="preserve">выполнено </t>
        </is>
      </c>
      <c r="F25" s="620" t="inlineStr">
        <is>
          <t xml:space="preserve">Список собранный у Юли Степановой по всем МПП ЦКС </t>
        </is>
      </c>
      <c r="G25" s="718" t="n"/>
    </row>
    <row r="26" ht="38.45" customHeight="1">
      <c r="A26" s="721" t="n">
        <v>4</v>
      </c>
      <c r="B26" s="622" t="inlineStr">
        <is>
          <t>Собрать статистику по обработке базы от Калуга</t>
        </is>
      </c>
      <c r="C26" s="609" t="inlineStr">
        <is>
          <t xml:space="preserve">Савинская </t>
        </is>
      </c>
      <c r="D26" s="623" t="inlineStr">
        <is>
          <t>до 24.08</t>
        </is>
      </c>
      <c r="E26" s="609" t="inlineStr">
        <is>
          <t xml:space="preserve">в работе </t>
        </is>
      </c>
      <c r="F26" s="617" t="inlineStr">
        <is>
          <t xml:space="preserve">база находится в работе у ТМ , на этой неделе планируют закончить обзвон </t>
        </is>
      </c>
      <c r="G26" s="718" t="n"/>
    </row>
    <row r="27" ht="43.4" customHeight="1">
      <c r="A27" s="719" t="n">
        <v>5</v>
      </c>
      <c r="B27" s="618" t="inlineStr">
        <is>
          <t>Обсудить по поводу акции ЭПД до 31.08 или продлеваем?</t>
        </is>
      </c>
      <c r="C27" s="613" t="inlineStr">
        <is>
          <t xml:space="preserve">все участники </t>
        </is>
      </c>
      <c r="D27" s="619" t="inlineStr">
        <is>
          <t>до 20.08</t>
        </is>
      </c>
      <c r="E27" s="613" t="inlineStr">
        <is>
          <t xml:space="preserve">в работе </t>
        </is>
      </c>
      <c r="F27" s="620" t="n"/>
      <c r="G27" s="718" t="n"/>
    </row>
    <row r="28" ht="26.95" customHeight="1">
      <c r="A28" s="721" t="n">
        <v>6</v>
      </c>
      <c r="B28" s="622" t="inlineStr">
        <is>
          <t xml:space="preserve">Включить таблицу по РК ЭПД в протокол </t>
        </is>
      </c>
      <c r="C28" s="609" t="inlineStr">
        <is>
          <t xml:space="preserve">Блохина </t>
        </is>
      </c>
      <c r="D28" s="623" t="inlineStr">
        <is>
          <t xml:space="preserve">до 14.08 </t>
        </is>
      </c>
      <c r="E28" s="609" t="inlineStr">
        <is>
          <t>выполнено</t>
        </is>
      </c>
      <c r="F28" s="617" t="n"/>
      <c r="G28" s="718" t="n"/>
    </row>
    <row r="29">
      <c r="A29" s="115" t="n"/>
      <c r="B29" s="115" t="n"/>
      <c r="C29" s="115" t="n"/>
      <c r="D29" s="115" t="n"/>
      <c r="E29" s="624" t="n"/>
      <c r="F29" s="625" t="n"/>
      <c r="G29" s="718" t="n"/>
    </row>
    <row r="30" ht="16.95" customHeight="1">
      <c r="A30" s="502" t="n"/>
      <c r="B30" s="503" t="n"/>
      <c r="C30" s="504" t="n"/>
      <c r="D30" s="505" t="n"/>
      <c r="E30" s="508" t="n"/>
      <c r="F30" s="507" t="n"/>
      <c r="G30" s="718" t="n"/>
    </row>
    <row r="31">
      <c r="A31" s="134" t="n"/>
      <c r="B31" s="72" t="n"/>
      <c r="C31" s="88" t="n"/>
      <c r="D31" s="135" t="n"/>
      <c r="E31" s="624" t="n"/>
      <c r="F31" s="86" t="n"/>
      <c r="G31" s="718" t="n"/>
    </row>
    <row r="32">
      <c r="A32" s="589" t="inlineStr">
        <is>
          <t>2. Решения текущей встречи:</t>
        </is>
      </c>
      <c r="B32" s="717" t="n"/>
      <c r="C32" s="717" t="n"/>
      <c r="D32" s="717" t="n"/>
      <c r="E32" s="717" t="n"/>
      <c r="F32" s="717" t="n"/>
      <c r="G32" s="718" t="n"/>
    </row>
    <row r="33">
      <c r="A33" s="209" t="inlineStr">
        <is>
          <t>№</t>
        </is>
      </c>
      <c r="B33" s="209" t="inlineStr">
        <is>
          <t>Задача</t>
        </is>
      </c>
      <c r="C33" s="209" t="inlineStr">
        <is>
          <t>Лидер</t>
        </is>
      </c>
      <c r="D33" s="209" t="inlineStr">
        <is>
          <t>Срок</t>
        </is>
      </c>
      <c r="E33" s="209" t="inlineStr">
        <is>
          <t>Статус*</t>
        </is>
      </c>
      <c r="F33" s="209" t="inlineStr">
        <is>
          <t>Комментарии. Выводы</t>
        </is>
      </c>
      <c r="G33" s="718" t="n"/>
    </row>
    <row r="34" ht="29.25" customHeight="1">
      <c r="A34" s="155" t="n"/>
      <c r="B34" s="307" t="inlineStr">
        <is>
          <t xml:space="preserve">Включить поле время взятия в работу заявки с РК </t>
        </is>
      </c>
      <c r="C34" s="415" t="inlineStr">
        <is>
          <t>Савинская</t>
        </is>
      </c>
      <c r="D34" s="415" t="inlineStr">
        <is>
          <t>до 27.08</t>
        </is>
      </c>
      <c r="E34" s="159" t="inlineStr">
        <is>
          <t xml:space="preserve">в работе </t>
        </is>
      </c>
      <c r="F34" s="639" t="n"/>
      <c r="G34" s="718" t="n"/>
    </row>
    <row r="35" ht="29.25" customHeight="1">
      <c r="A35" s="349" t="n"/>
      <c r="B35" s="384" t="inlineStr">
        <is>
          <t>Обсудить разделения стоимости РК между ЦП и ЦКС на очной встрече 27.08</t>
        </is>
      </c>
      <c r="C35" s="384" t="inlineStr">
        <is>
          <t>все участники (Антонов В , Дербенева К)</t>
        </is>
      </c>
      <c r="D35" s="384" t="inlineStr">
        <is>
          <t xml:space="preserve">до 27.08 </t>
        </is>
      </c>
      <c r="E35" s="164" t="inlineStr">
        <is>
          <t xml:space="preserve">в работе </t>
        </is>
      </c>
      <c r="F35" s="409" t="n"/>
      <c r="G35" s="718" t="n"/>
    </row>
    <row r="36" ht="48" customHeight="1">
      <c r="A36" s="350" t="n"/>
      <c r="B36" s="165" t="inlineStr">
        <is>
          <t>текущая РК действует до середины сентября. Что дальше? Будем продлевать? Вопрос согласования бюджета</t>
        </is>
      </c>
      <c r="C36" s="165" t="inlineStr">
        <is>
          <t>все участники</t>
        </is>
      </c>
      <c r="D36" s="314" t="inlineStr">
        <is>
          <t>до 27.08</t>
        </is>
      </c>
      <c r="E36" s="159" t="inlineStr">
        <is>
          <t xml:space="preserve">в работе </t>
        </is>
      </c>
      <c r="F36" s="405" t="n"/>
      <c r="G36" s="718" t="n"/>
    </row>
    <row r="37" ht="41.25" customHeight="1">
      <c r="A37" s="349" t="n"/>
      <c r="B37" s="633" t="inlineStr">
        <is>
          <t xml:space="preserve">Собрать ОС от МПП по поводу сервиса ЭПД (что говорят клиенты)  - основные проблемы, возражения и потребности </t>
        </is>
      </c>
      <c r="C37" s="633" t="inlineStr">
        <is>
          <t xml:space="preserve">Савинская/Блохина/Степанова </t>
        </is>
      </c>
      <c r="D37" s="316" t="inlineStr">
        <is>
          <t>до 24.08 к 12:00</t>
        </is>
      </c>
      <c r="E37" s="634" t="inlineStr">
        <is>
          <t xml:space="preserve">в работе </t>
        </is>
      </c>
      <c r="F37" s="635" t="inlineStr">
        <is>
          <t xml:space="preserve">добавить дополнительное поле </t>
        </is>
      </c>
      <c r="G37" s="718" t="n"/>
    </row>
    <row r="38" ht="31.5" customHeight="1">
      <c r="A38" s="351" t="n"/>
      <c r="B38" s="396" t="inlineStr">
        <is>
          <t xml:space="preserve">Собрать портрет клиента, который купил ЭПД </t>
        </is>
      </c>
      <c r="C38" s="396" t="inlineStr">
        <is>
          <t>Корнева/Степанова</t>
        </is>
      </c>
      <c r="D38" s="397" t="inlineStr">
        <is>
          <t>до 27.08</t>
        </is>
      </c>
      <c r="E38" s="675" t="inlineStr">
        <is>
          <t xml:space="preserve">в работе </t>
        </is>
      </c>
      <c r="F38" s="420" t="inlineStr">
        <is>
          <t>Коля, после встречи напишет Насте параметры, по которым будем собирать портрет клиента.</t>
        </is>
      </c>
      <c r="G38" s="718" t="n"/>
    </row>
    <row r="39" ht="30" customHeight="1">
      <c r="A39" s="352" t="n"/>
      <c r="B39" s="161" t="inlineStr">
        <is>
          <t>Добавить Корневу и Степанову во встречу с Калугой</t>
        </is>
      </c>
      <c r="C39" s="161" t="inlineStr">
        <is>
          <t>Блохина</t>
        </is>
      </c>
      <c r="D39" s="316" t="inlineStr">
        <is>
          <t xml:space="preserve">до 24.08 </t>
        </is>
      </c>
      <c r="E39" s="172" t="inlineStr">
        <is>
          <t xml:space="preserve">в работе </t>
        </is>
      </c>
      <c r="F39" s="407" t="n"/>
      <c r="G39" s="718" t="n"/>
    </row>
    <row r="40" ht="19.25" customHeight="1">
      <c r="A40" s="351" t="n"/>
      <c r="B40" s="396" t="n"/>
      <c r="C40" s="396" t="n"/>
      <c r="D40" s="401" t="n"/>
      <c r="E40" s="675" t="n"/>
      <c r="F40" s="408" t="n"/>
      <c r="G40" s="718" t="n"/>
    </row>
    <row r="41" ht="14.7" customHeight="1">
      <c r="A41" s="352" t="n"/>
      <c r="B41" s="161" t="n"/>
      <c r="C41" s="161" t="n"/>
      <c r="D41" s="162" t="n"/>
      <c r="E41" s="172" t="n"/>
      <c r="F41" s="409" t="n"/>
      <c r="G41" s="718" t="n"/>
    </row>
    <row r="42">
      <c r="A42" s="351" t="n"/>
      <c r="B42" s="396" t="n"/>
      <c r="C42" s="396" t="n"/>
      <c r="D42" s="401" t="n"/>
      <c r="E42" s="675" t="n"/>
      <c r="F42" s="408" t="n"/>
      <c r="G42" s="718" t="n"/>
    </row>
    <row r="43" ht="14.25" customHeight="1">
      <c r="A43" s="352" t="n"/>
      <c r="B43" s="161" t="n"/>
      <c r="C43" s="161" t="n"/>
      <c r="D43" s="162" t="n"/>
      <c r="E43" s="172" t="n"/>
      <c r="F43" s="409" t="n"/>
      <c r="G43" s="718" t="n"/>
    </row>
    <row r="44" ht="14.25" customHeight="1">
      <c r="A44" s="351" t="n"/>
      <c r="B44" s="396" t="n"/>
      <c r="C44" s="396" t="n"/>
      <c r="D44" s="401" t="n"/>
      <c r="E44" s="675" t="n"/>
      <c r="F44" s="408" t="n"/>
      <c r="G44" s="718" t="n"/>
    </row>
    <row r="45" ht="14.25" customHeight="1">
      <c r="A45" s="351" t="n"/>
      <c r="B45" s="161" t="n"/>
      <c r="C45" s="161" t="n"/>
      <c r="D45" s="304" t="n"/>
      <c r="E45" s="172" t="n"/>
      <c r="F45" s="641" t="n"/>
      <c r="G45" s="718" t="n"/>
    </row>
    <row r="46">
      <c r="A46" s="589" t="inlineStr">
        <is>
          <t>3. Обсуждаемые темы и выводы:</t>
        </is>
      </c>
      <c r="B46" s="717" t="n"/>
      <c r="C46" s="717" t="n"/>
      <c r="D46" s="717" t="n"/>
      <c r="E46" s="717" t="n"/>
      <c r="F46" s="717" t="n"/>
      <c r="G46" s="718" t="n"/>
    </row>
    <row r="47" ht="13.5" customHeight="1">
      <c r="A47" s="299" t="inlineStr">
        <is>
          <t>Обсуждаемая тема (проблема)</t>
        </is>
      </c>
      <c r="B47" s="717" t="n"/>
      <c r="C47" s="718" t="n"/>
      <c r="D47" s="299" t="inlineStr">
        <is>
          <t>Выводы и решения</t>
        </is>
      </c>
      <c r="E47" s="717" t="n"/>
      <c r="F47" s="717" t="n"/>
      <c r="G47" s="718" t="n"/>
    </row>
    <row r="48" ht="15.6" customHeight="1">
      <c r="A48" s="308" t="inlineStr">
        <is>
          <t xml:space="preserve">Обсудить с ЦСВ трудозатраты на акцию по ЭПД. </t>
        </is>
      </c>
      <c r="B48" s="717" t="n"/>
      <c r="C48" s="718" t="n"/>
      <c r="D48" s="308" t="n"/>
      <c r="E48" s="717" t="n"/>
      <c r="F48" s="717" t="n"/>
      <c r="G48" s="718" t="n"/>
    </row>
    <row r="49" ht="36" customHeight="1">
      <c r="A49" s="308" t="inlineStr">
        <is>
          <t>Канал ЭПД в МАКС, ТГ , ВК. Можем ли прорабатывать этих клиентов силами ЦП и ЦКС? Связать со стратегией и целями, рассмотреть как альтернативный канал привлечения</t>
        </is>
      </c>
      <c r="B49" s="717" t="n"/>
      <c r="C49" s="718" t="n"/>
      <c r="D49" s="308" t="n"/>
      <c r="E49" s="717" t="n"/>
      <c r="F49" s="717" t="n"/>
      <c r="G49" s="718" t="n"/>
    </row>
    <row r="50" ht="15.8" customHeight="1">
      <c r="A50" s="308" t="n"/>
      <c r="B50" s="717" t="n"/>
      <c r="C50" s="718" t="n"/>
      <c r="D50" s="308" t="n"/>
      <c r="E50" s="717" t="n"/>
      <c r="F50" s="717" t="n"/>
      <c r="G50" s="718" t="n"/>
    </row>
    <row r="51" ht="16.5" customHeight="1">
      <c r="A51" s="308" t="n"/>
      <c r="B51" s="717" t="n"/>
      <c r="C51" s="718" t="n"/>
      <c r="D51" s="418" t="n"/>
      <c r="E51" s="717" t="n"/>
      <c r="F51" s="717" t="n"/>
      <c r="G51" s="718" t="n"/>
    </row>
    <row r="52" ht="13.95" customHeight="1">
      <c r="A52" s="308" t="n"/>
      <c r="B52" s="717" t="n"/>
      <c r="C52" s="718" t="n"/>
      <c r="D52" s="289" t="n"/>
      <c r="E52" s="717" t="n"/>
      <c r="F52" s="717" t="n"/>
      <c r="G52" s="718" t="n"/>
    </row>
    <row r="53" ht="15.85" customHeight="1">
      <c r="A53" s="289" t="n"/>
      <c r="B53" s="717" t="n"/>
      <c r="C53" s="718" t="n"/>
      <c r="D53" s="289" t="n"/>
      <c r="E53" s="717" t="n"/>
      <c r="F53" s="717" t="n"/>
      <c r="G53" s="718" t="n"/>
    </row>
    <row r="54" ht="15.5" customHeight="1">
      <c r="A54" s="410" t="n"/>
      <c r="B54" s="717" t="n"/>
      <c r="C54" s="718" t="n"/>
      <c r="D54" s="411" t="n"/>
      <c r="E54" s="717" t="n"/>
      <c r="F54" s="717" t="n"/>
      <c r="G54" s="718" t="n"/>
    </row>
    <row r="55" ht="18.15" customHeight="1">
      <c r="A55" s="410" t="n"/>
      <c r="B55" s="717" t="n"/>
      <c r="C55" s="718" t="n"/>
      <c r="D55" s="411" t="n"/>
      <c r="E55" s="717" t="n"/>
      <c r="F55" s="717" t="n"/>
      <c r="G55" s="718" t="n"/>
    </row>
    <row r="56" ht="12.95" customHeight="1">
      <c r="A56" s="410" t="n"/>
      <c r="B56" s="717" t="n"/>
      <c r="C56" s="718" t="n"/>
      <c r="D56" s="411" t="n"/>
      <c r="E56" s="717" t="n"/>
      <c r="F56" s="717" t="n"/>
      <c r="G56" s="718" t="n"/>
    </row>
    <row r="57">
      <c r="A57" s="281" t="n"/>
      <c r="B57" s="281" t="n"/>
      <c r="C57" s="281" t="n"/>
    </row>
  </sheetData>
  <mergeCells count="63">
    <mergeCell ref="A32:G32"/>
    <mergeCell ref="D56:G56"/>
    <mergeCell ref="F11:G11"/>
    <mergeCell ref="F29:G29"/>
    <mergeCell ref="F10:G10"/>
    <mergeCell ref="F16:G16"/>
    <mergeCell ref="F25:G25"/>
    <mergeCell ref="F34:G34"/>
    <mergeCell ref="F19:G19"/>
    <mergeCell ref="A56:C56"/>
    <mergeCell ref="A20:G20"/>
    <mergeCell ref="F6:G6"/>
    <mergeCell ref="D55:G55"/>
    <mergeCell ref="A50:C50"/>
    <mergeCell ref="A55:C55"/>
    <mergeCell ref="D51:G51"/>
    <mergeCell ref="F40:G40"/>
    <mergeCell ref="F7:G7"/>
    <mergeCell ref="D54:G54"/>
    <mergeCell ref="F21:G21"/>
    <mergeCell ref="F12:G12"/>
    <mergeCell ref="F30:G30"/>
    <mergeCell ref="F24:G24"/>
    <mergeCell ref="A47:C47"/>
    <mergeCell ref="F15:G15"/>
    <mergeCell ref="D50:G50"/>
    <mergeCell ref="F18:G18"/>
    <mergeCell ref="F33:G33"/>
    <mergeCell ref="F45:G45"/>
    <mergeCell ref="F36:G36"/>
    <mergeCell ref="F42:G42"/>
    <mergeCell ref="A53:C53"/>
    <mergeCell ref="F26:G26"/>
    <mergeCell ref="F41:G41"/>
    <mergeCell ref="F17:G17"/>
    <mergeCell ref="F35:G35"/>
    <mergeCell ref="A52:C52"/>
    <mergeCell ref="F8:G8"/>
    <mergeCell ref="A1:G1"/>
    <mergeCell ref="F38:G38"/>
    <mergeCell ref="F23:G23"/>
    <mergeCell ref="D52:G52"/>
    <mergeCell ref="F31:G31"/>
    <mergeCell ref="F22:G22"/>
    <mergeCell ref="F28:G28"/>
    <mergeCell ref="D49:G49"/>
    <mergeCell ref="F13:G13"/>
    <mergeCell ref="A48:C48"/>
    <mergeCell ref="F27:G27"/>
    <mergeCell ref="F9:G9"/>
    <mergeCell ref="A51:C51"/>
    <mergeCell ref="A46:G46"/>
    <mergeCell ref="F43:G43"/>
    <mergeCell ref="F37:G37"/>
    <mergeCell ref="F39:G39"/>
    <mergeCell ref="D48:G48"/>
    <mergeCell ref="A49:C49"/>
    <mergeCell ref="A3:G3"/>
    <mergeCell ref="D53:G53"/>
    <mergeCell ref="D47:G47"/>
    <mergeCell ref="F14:G14"/>
    <mergeCell ref="A54:C54"/>
    <mergeCell ref="F44:G4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0" workbookViewId="0">
      <selection activeCell="A1" sqref="A1"/>
    </sheetView>
  </sheetViews>
  <sheetFormatPr baseColWidth="13" defaultColWidth="13.4" defaultRowHeight="14.25" customHeight="1"/>
  <cols>
    <col width="8.762" customWidth="1" min="1" max="1"/>
    <col width="49.902" customWidth="1" min="2" max="2"/>
    <col width="35.613" customWidth="1" min="3" max="3"/>
    <col width="39.254" customWidth="1" min="4" max="4"/>
    <col width="24.141" customWidth="1" min="5" max="5"/>
    <col width="29.543" customWidth="1" min="6" max="6"/>
    <col width="34.801" customWidth="1" min="7" max="7"/>
    <col width="19.543" customWidth="1" min="9" max="9"/>
  </cols>
  <sheetData>
    <row r="1" ht="24.75" customHeight="1">
      <c r="A1" s="731" t="n"/>
      <c r="B1" s="732" t="n"/>
      <c r="C1" s="732" t="n"/>
      <c r="D1" s="732" t="n"/>
      <c r="E1" s="732" t="n"/>
      <c r="F1" s="732" t="n"/>
      <c r="G1" s="733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734" t="inlineStr">
        <is>
          <t>Показатели рекламной кампании</t>
        </is>
      </c>
      <c r="B3" s="735" t="n"/>
      <c r="C3" s="735" t="n"/>
      <c r="D3" s="735" t="n"/>
      <c r="E3" s="735" t="n"/>
      <c r="F3" s="735" t="n"/>
      <c r="G3" s="736" t="n"/>
    </row>
    <row r="4" ht="24" customHeight="1">
      <c r="A4" s="421" t="inlineStr">
        <is>
          <t>№</t>
        </is>
      </c>
      <c r="B4" s="422" t="inlineStr">
        <is>
          <t>Название рекламной кампании</t>
        </is>
      </c>
      <c r="C4" s="422" t="inlineStr">
        <is>
          <t>Лидер</t>
        </is>
      </c>
      <c r="D4" s="422" t="inlineStr">
        <is>
          <t>Длительность</t>
        </is>
      </c>
      <c r="E4" s="422" t="inlineStr">
        <is>
          <t>Кол-во ЛИДов</t>
        </is>
      </c>
      <c r="F4" s="440" t="inlineStr">
        <is>
          <t>Стоимость ЛИДа</t>
        </is>
      </c>
      <c r="G4" s="443" t="inlineStr">
        <is>
          <t>Сделок</t>
        </is>
      </c>
      <c r="H4" s="446" t="inlineStr">
        <is>
          <t>Оплат</t>
        </is>
      </c>
      <c r="I4" s="447" t="inlineStr">
        <is>
          <t>Конверсия из ЛИДа в оплату</t>
        </is>
      </c>
    </row>
    <row r="5" ht="15.75" customHeight="1">
      <c r="A5" s="423" t="n"/>
      <c r="B5" s="425" t="n"/>
      <c r="C5" s="425" t="inlineStr">
        <is>
          <t xml:space="preserve">Савинская </t>
        </is>
      </c>
      <c r="D5" s="425" t="n"/>
      <c r="E5" s="436" t="n"/>
      <c r="F5" s="439" t="n"/>
      <c r="G5" s="439" t="n"/>
      <c r="H5" s="448" t="n"/>
      <c r="I5" s="448">
        <f>H5/E5*100%</f>
        <v/>
      </c>
    </row>
    <row r="6">
      <c r="A6" s="737" t="inlineStr">
        <is>
          <t>1. Мониторинг предыдущих решений:</t>
        </is>
      </c>
      <c r="B6" s="735" t="n"/>
      <c r="C6" s="735" t="n"/>
      <c r="D6" s="735" t="n"/>
      <c r="E6" s="735" t="n"/>
      <c r="F6" s="735" t="n"/>
      <c r="G6" s="736" t="n"/>
    </row>
    <row r="7">
      <c r="A7" s="4" t="inlineStr">
        <is>
          <t>№</t>
        </is>
      </c>
      <c r="B7" s="40" t="inlineStr">
        <is>
          <t>Задача</t>
        </is>
      </c>
      <c r="C7" s="5" t="inlineStr">
        <is>
          <t>Лидер</t>
        </is>
      </c>
      <c r="D7" s="5" t="inlineStr">
        <is>
          <t>Срок</t>
        </is>
      </c>
      <c r="E7" s="5" t="inlineStr">
        <is>
          <t>Статус*</t>
        </is>
      </c>
      <c r="F7" s="40" t="inlineStr">
        <is>
          <t>Комментарии. Выводы</t>
        </is>
      </c>
      <c r="G7" s="78" t="n"/>
    </row>
    <row r="8" ht="27" customHeight="1">
      <c r="A8" s="41" t="n"/>
      <c r="B8" s="307" t="inlineStr">
        <is>
          <t xml:space="preserve">уточнить по поводу внесены ли вопросы МПП для создания базы знаний </t>
        </is>
      </c>
      <c r="C8" s="415" t="inlineStr">
        <is>
          <t xml:space="preserve">Блохина/Савинская/Гурков </t>
        </is>
      </c>
      <c r="D8" s="415" t="inlineStr">
        <is>
          <t>до 7.08</t>
        </is>
      </c>
      <c r="E8" s="159" t="inlineStr">
        <is>
          <t>выполнено</t>
        </is>
      </c>
      <c r="F8" s="639" t="inlineStr">
        <is>
          <t>вопросы внесены</t>
        </is>
      </c>
      <c r="G8" s="718" t="n"/>
    </row>
    <row r="9" ht="23.25" customHeight="1">
      <c r="A9" s="71" t="n"/>
      <c r="B9" s="384" t="inlineStr">
        <is>
          <t xml:space="preserve">написать Маше группу в аутлук для отправки напоминаний </t>
        </is>
      </c>
      <c r="C9" s="384" t="inlineStr">
        <is>
          <t xml:space="preserve">Савинская </t>
        </is>
      </c>
      <c r="D9" s="384" t="inlineStr">
        <is>
          <t>до 7.08</t>
        </is>
      </c>
      <c r="E9" s="164" t="inlineStr">
        <is>
          <t>выполнено</t>
        </is>
      </c>
      <c r="F9" s="409" t="n"/>
      <c r="G9" s="718" t="n"/>
    </row>
    <row r="10" ht="21.6" customHeight="1">
      <c r="A10" s="303" t="n"/>
      <c r="B10" s="165" t="inlineStr">
        <is>
          <t xml:space="preserve">Разбор по старым чатам </t>
        </is>
      </c>
      <c r="C10" s="165" t="inlineStr">
        <is>
          <t xml:space="preserve">Блохина </t>
        </is>
      </c>
      <c r="D10" s="314" t="n">
        <v>46240</v>
      </c>
      <c r="E10" s="159" t="inlineStr">
        <is>
          <t>выполнено</t>
        </is>
      </c>
      <c r="F10" s="405" t="n"/>
      <c r="G10" s="718" t="n"/>
    </row>
    <row r="11" ht="35.25" customHeight="1">
      <c r="A11" s="71" t="n"/>
      <c r="B11" s="161" t="inlineStr">
        <is>
          <t xml:space="preserve">Добавить Н.Корневу и переименовать встречу </t>
        </is>
      </c>
      <c r="C11" s="161" t="inlineStr">
        <is>
          <t xml:space="preserve">Блохина </t>
        </is>
      </c>
      <c r="D11" s="317" t="inlineStr">
        <is>
          <t>до 7.08</t>
        </is>
      </c>
      <c r="E11" s="164" t="inlineStr">
        <is>
          <t>выполнено</t>
        </is>
      </c>
      <c r="F11" s="409" t="n"/>
      <c r="G11" s="718" t="n"/>
    </row>
    <row r="12" ht="282.583" customHeight="1">
      <c r="A12" s="305" t="n"/>
      <c r="B12" s="396" t="inlineStr">
        <is>
          <t xml:space="preserve">Подумать о Предложении К. Дербеневой определить общую цель по ЭПД (Штуки либо деньги, доля наших клиентов, которые попадают под изменения) </t>
        </is>
      </c>
      <c r="C12" s="396" t="inlineStr">
        <is>
          <t>все участники</t>
        </is>
      </c>
      <c r="D12" s="397" t="inlineStr">
        <is>
          <t>до 13.08</t>
        </is>
      </c>
      <c r="E12" s="675" t="inlineStr">
        <is>
          <t xml:space="preserve">в работе </t>
        </is>
      </c>
      <c r="F12" s="420" t="n"/>
      <c r="G12" s="718" t="n"/>
    </row>
    <row r="13" ht="29.25" customHeight="1">
      <c r="A13" s="122" t="n"/>
      <c r="B13" s="161" t="inlineStr">
        <is>
          <t>Внести поля для комментариев участников (ФИО)</t>
        </is>
      </c>
      <c r="C13" s="161" t="inlineStr">
        <is>
          <t>Блохина</t>
        </is>
      </c>
      <c r="D13" s="316" t="n">
        <v>46240</v>
      </c>
      <c r="E13" s="172" t="inlineStr">
        <is>
          <t>выполнено</t>
        </is>
      </c>
      <c r="F13" s="407" t="n"/>
      <c r="G13" s="718" t="n"/>
    </row>
    <row r="14" ht="14.25" customHeight="1">
      <c r="A14" s="448" t="n"/>
      <c r="B14" s="448" t="n"/>
      <c r="C14" s="448" t="n"/>
      <c r="D14" s="448" t="n"/>
      <c r="E14" s="9" t="n"/>
      <c r="F14" s="738" t="n"/>
      <c r="G14" s="736" t="n"/>
    </row>
    <row r="15" ht="14.25" customHeight="1">
      <c r="A15" s="134" t="n"/>
      <c r="B15" s="72" t="n"/>
      <c r="C15" s="88" t="n"/>
      <c r="D15" s="302" t="n"/>
      <c r="E15" s="77" t="n"/>
      <c r="F15" s="739" t="n"/>
      <c r="G15" s="736" t="n"/>
    </row>
    <row r="16" ht="14.25" customHeight="1">
      <c r="A16" s="41" t="n"/>
      <c r="B16" s="57" t="n"/>
      <c r="C16" s="89" t="n"/>
      <c r="D16" s="9" t="n"/>
      <c r="E16" s="67" t="n"/>
      <c r="F16" s="738" t="n"/>
      <c r="G16" s="736" t="n"/>
    </row>
    <row r="17" ht="14.25" customHeight="1">
      <c r="A17" s="71" t="n"/>
      <c r="B17" s="72" t="n"/>
      <c r="C17" s="88" t="n"/>
      <c r="D17" s="73" t="n"/>
      <c r="E17" s="77" t="n"/>
      <c r="F17" s="739" t="n"/>
      <c r="G17" s="736" t="n"/>
    </row>
    <row r="18" ht="14.25" customHeight="1">
      <c r="A18" s="41" t="n"/>
      <c r="B18" s="57" t="n"/>
      <c r="C18" s="89" t="n"/>
      <c r="D18" s="15" t="n"/>
      <c r="E18" s="9" t="n"/>
      <c r="F18" s="738" t="n"/>
      <c r="G18" s="736" t="n"/>
    </row>
    <row r="19" ht="14.25" customHeight="1">
      <c r="A19" s="2" t="n"/>
      <c r="B19" s="2" t="n"/>
      <c r="C19" s="2" t="n"/>
      <c r="D19" s="2" t="n"/>
      <c r="E19" s="2" t="n"/>
      <c r="F19" s="2" t="n"/>
      <c r="G19" s="2" t="n"/>
    </row>
    <row r="20" ht="16.95" customHeight="1">
      <c r="A20" s="734" t="inlineStr">
        <is>
          <t>2. Решения текущей встречи:</t>
        </is>
      </c>
      <c r="B20" s="735" t="n"/>
      <c r="C20" s="735" t="n"/>
      <c r="D20" s="735" t="n"/>
      <c r="E20" s="735" t="n"/>
      <c r="F20" s="735" t="n"/>
      <c r="G20" s="736" t="n"/>
    </row>
    <row r="21" ht="14.25" customHeight="1">
      <c r="A21" s="109" t="inlineStr">
        <is>
          <t>№</t>
        </is>
      </c>
      <c r="B21" s="40" t="inlineStr">
        <is>
          <t>Задача</t>
        </is>
      </c>
      <c r="C21" s="40" t="inlineStr">
        <is>
          <t>Лидер</t>
        </is>
      </c>
      <c r="D21" s="40" t="inlineStr">
        <is>
          <t>Срок</t>
        </is>
      </c>
      <c r="E21" s="40" t="inlineStr">
        <is>
          <t>Статус*</t>
        </is>
      </c>
      <c r="F21" s="183" t="inlineStr">
        <is>
          <t>Комментарии. Выводы</t>
        </is>
      </c>
      <c r="G21" s="740" t="n"/>
    </row>
    <row r="22" ht="42.75" customHeight="1">
      <c r="A22" s="155" t="n"/>
      <c r="B22" s="307" t="inlineStr">
        <is>
          <t xml:space="preserve">Созвон с Настей К по поводу заявок-напоминаний , которые получаем в рассылке </t>
        </is>
      </c>
      <c r="C22" s="415" t="inlineStr">
        <is>
          <t xml:space="preserve">Савинская </t>
        </is>
      </c>
      <c r="D22" s="415" t="inlineStr">
        <is>
          <t>до 14.08</t>
        </is>
      </c>
      <c r="E22" s="159" t="inlineStr">
        <is>
          <t xml:space="preserve">в работе </t>
        </is>
      </c>
      <c r="F22" s="639" t="n"/>
      <c r="G22" s="718" t="n"/>
    </row>
    <row r="23" ht="42.75" customHeight="1">
      <c r="A23" s="349" t="n">
        <v>1</v>
      </c>
      <c r="B23" s="384" t="inlineStr">
        <is>
          <t xml:space="preserve">Обсудить с Машей Д по клиентам, которые могут сопровождаться у др.партнеров, но попали к нам на ЛК ( могут не иметь договора) </t>
        </is>
      </c>
      <c r="C23" s="384" t="inlineStr">
        <is>
          <t xml:space="preserve">Корнева </t>
        </is>
      </c>
      <c r="D23" s="384" t="inlineStr">
        <is>
          <t>до 14.08</t>
        </is>
      </c>
      <c r="E23" s="164" t="inlineStr">
        <is>
          <t xml:space="preserve">выполнено </t>
        </is>
      </c>
      <c r="F23" s="409" t="inlineStr">
        <is>
          <t xml:space="preserve">Корнева А. 13.08 : Поговорила  с ЦСВ. Клиентов распределяет Юля Ситникова. В августе таких клиентов не было, все клиенты , что пришли уже были с оформленным сервисом. На будущее решили так: если клиент действующий , то передача менеджеру ЦКС, если клиент без договора то в ЦП. </t>
        </is>
      </c>
      <c r="G23" s="718" t="n"/>
    </row>
    <row r="24" ht="56.25" customHeight="1">
      <c r="A24" s="350" t="n">
        <v>2</v>
      </c>
      <c r="B24" s="165" t="inlineStr">
        <is>
          <t>Подумать о Предложении К. Дербеневой определить общую цель по ЭПД (Штуки либо деньги, доля наших клиентов, которые попадают под изменения)</t>
        </is>
      </c>
      <c r="C24" s="165" t="inlineStr">
        <is>
          <t>все участники</t>
        </is>
      </c>
      <c r="D24" s="314" t="inlineStr">
        <is>
          <t xml:space="preserve">до 20.08 </t>
        </is>
      </c>
      <c r="E24" s="159" t="inlineStr">
        <is>
          <t xml:space="preserve">в работе </t>
        </is>
      </c>
      <c r="F24" s="405" t="inlineStr">
        <is>
          <t>учесть требования вендора, 20.08 обсуждаем ОС</t>
        </is>
      </c>
      <c r="G24" s="718" t="n"/>
    </row>
    <row r="25" ht="29.25" customHeight="1">
      <c r="A25" s="349" t="n">
        <v>3</v>
      </c>
      <c r="B25" s="161" t="inlineStr">
        <is>
          <t xml:space="preserve">Собрать ОС от МПП по поводу сервиса ЭПД (что говорят клиенты) для встречи с Калугой </t>
        </is>
      </c>
      <c r="C25" s="161" t="inlineStr">
        <is>
          <t>Дербенева/Корнева</t>
        </is>
      </c>
      <c r="D25" s="317" t="inlineStr">
        <is>
          <t>до 18.08</t>
        </is>
      </c>
      <c r="E25" s="164" t="inlineStr">
        <is>
          <t xml:space="preserve">в работе </t>
        </is>
      </c>
      <c r="F25" s="409" t="n"/>
      <c r="G25" s="718" t="n"/>
    </row>
    <row r="26" ht="26.1" customHeight="1">
      <c r="A26" s="351" t="n">
        <v>4</v>
      </c>
      <c r="B26" s="396" t="inlineStr">
        <is>
          <t>Собрать статистику по обработке базы от Калуга</t>
        </is>
      </c>
      <c r="C26" s="396" t="inlineStr">
        <is>
          <t xml:space="preserve">Савинская </t>
        </is>
      </c>
      <c r="D26" s="397" t="inlineStr">
        <is>
          <t>до 17.08</t>
        </is>
      </c>
      <c r="E26" s="675" t="inlineStr">
        <is>
          <t xml:space="preserve">в работе </t>
        </is>
      </c>
      <c r="F26" s="420" t="n"/>
      <c r="G26" s="718" t="n"/>
    </row>
    <row r="27" ht="27.9" customHeight="1">
      <c r="A27" s="352" t="n">
        <v>5</v>
      </c>
      <c r="B27" s="161" t="inlineStr">
        <is>
          <t>Обсудить по поводу акции ЭПД до 31.08 или продлеваем?</t>
        </is>
      </c>
      <c r="C27" s="161" t="inlineStr">
        <is>
          <t xml:space="preserve">все участники </t>
        </is>
      </c>
      <c r="D27" s="316" t="inlineStr">
        <is>
          <t>до 20.08</t>
        </is>
      </c>
      <c r="E27" s="172" t="inlineStr">
        <is>
          <t xml:space="preserve">в работе </t>
        </is>
      </c>
      <c r="F27" s="407" t="n"/>
      <c r="G27" s="718" t="n"/>
    </row>
    <row r="28" ht="15.75" customHeight="1">
      <c r="A28" s="351" t="n">
        <v>6</v>
      </c>
      <c r="B28" s="396" t="inlineStr">
        <is>
          <t xml:space="preserve">Включить таблицу по РК ЭПД в протокол </t>
        </is>
      </c>
      <c r="C28" s="396" t="inlineStr">
        <is>
          <t xml:space="preserve">Блохина </t>
        </is>
      </c>
      <c r="D28" s="401" t="inlineStr">
        <is>
          <t xml:space="preserve">до 14.08 </t>
        </is>
      </c>
      <c r="E28" s="675" t="inlineStr">
        <is>
          <t xml:space="preserve">в работе </t>
        </is>
      </c>
      <c r="F28" s="408" t="n"/>
      <c r="G28" s="718" t="n"/>
    </row>
    <row r="29" ht="14.25" customHeight="1">
      <c r="A29" s="352" t="n"/>
      <c r="B29" s="161" t="n"/>
      <c r="C29" s="161" t="n"/>
      <c r="D29" s="162" t="n"/>
      <c r="E29" s="172" t="n"/>
      <c r="F29" s="409" t="n"/>
      <c r="G29" s="718" t="n"/>
    </row>
    <row r="30" ht="14.25" customHeight="1">
      <c r="A30" s="351" t="n"/>
      <c r="B30" s="396" t="n"/>
      <c r="C30" s="396" t="n"/>
      <c r="D30" s="401" t="n"/>
      <c r="E30" s="675" t="n"/>
      <c r="F30" s="408" t="n"/>
      <c r="G30" s="718" t="n"/>
    </row>
    <row r="31">
      <c r="A31" s="741" t="inlineStr">
        <is>
          <t>3. Обсуждаемые темы и выводы:</t>
        </is>
      </c>
      <c r="G31" s="742" t="n"/>
    </row>
    <row r="32" ht="13.5" customHeight="1">
      <c r="A32" s="299" t="inlineStr">
        <is>
          <t>Обсуждаемая тема (проблема)</t>
        </is>
      </c>
      <c r="B32" s="717" t="n"/>
      <c r="C32" s="718" t="n"/>
      <c r="D32" s="299" t="inlineStr">
        <is>
          <t>Выводы и решения</t>
        </is>
      </c>
      <c r="E32" s="717" t="n"/>
      <c r="F32" s="717" t="n"/>
      <c r="G32" s="718" t="n"/>
    </row>
    <row r="33" ht="32.25" customHeight="1">
      <c r="A33" s="308" t="n"/>
      <c r="B33" s="717" t="n"/>
      <c r="C33" s="718" t="n"/>
      <c r="D33" s="308" t="n"/>
      <c r="E33" s="717" t="n"/>
      <c r="F33" s="717" t="n"/>
      <c r="G33" s="718" t="n"/>
    </row>
    <row r="34" ht="30.75" customHeight="1">
      <c r="A34" s="308" t="n"/>
      <c r="B34" s="717" t="n"/>
      <c r="C34" s="718" t="n"/>
      <c r="D34" s="308" t="n"/>
      <c r="E34" s="717" t="n"/>
      <c r="F34" s="717" t="n"/>
      <c r="G34" s="718" t="n"/>
    </row>
    <row r="35" ht="38.7" customHeight="1">
      <c r="A35" s="308" t="n"/>
      <c r="B35" s="717" t="n"/>
      <c r="C35" s="718" t="n"/>
      <c r="D35" s="308" t="n"/>
      <c r="E35" s="717" t="n"/>
      <c r="F35" s="717" t="n"/>
      <c r="G35" s="718" t="n"/>
    </row>
    <row r="36" ht="27.9" customHeight="1">
      <c r="A36" s="308" t="n"/>
      <c r="B36" s="717" t="n"/>
      <c r="C36" s="718" t="n"/>
      <c r="D36" s="418" t="n"/>
      <c r="E36" s="717" t="n"/>
      <c r="F36" s="717" t="n"/>
      <c r="G36" s="718" t="n"/>
    </row>
    <row r="37" ht="28.75" customHeight="1">
      <c r="A37" s="308" t="n"/>
      <c r="B37" s="717" t="n"/>
      <c r="C37" s="718" t="n"/>
      <c r="D37" s="289" t="n"/>
      <c r="E37" s="717" t="n"/>
      <c r="F37" s="717" t="n"/>
      <c r="G37" s="718" t="n"/>
    </row>
    <row r="38" ht="25.65" customHeight="1">
      <c r="A38" s="289" t="n"/>
      <c r="B38" s="717" t="n"/>
      <c r="C38" s="718" t="n"/>
      <c r="D38" s="289" t="n"/>
      <c r="E38" s="717" t="n"/>
      <c r="F38" s="717" t="n"/>
      <c r="G38" s="718" t="n"/>
    </row>
    <row r="39" ht="25.45" customHeight="1">
      <c r="A39" s="410" t="n"/>
      <c r="B39" s="717" t="n"/>
      <c r="C39" s="718" t="n"/>
      <c r="D39" s="411" t="n"/>
      <c r="E39" s="717" t="n"/>
      <c r="F39" s="717" t="n"/>
      <c r="G39" s="718" t="n"/>
    </row>
    <row r="40" ht="27.05" customHeight="1">
      <c r="A40" s="410" t="n"/>
      <c r="B40" s="717" t="n"/>
      <c r="C40" s="718" t="n"/>
      <c r="D40" s="411" t="n"/>
      <c r="E40" s="717" t="n"/>
      <c r="F40" s="717" t="n"/>
      <c r="G40" s="718" t="n"/>
    </row>
    <row r="41" ht="21.45" customHeight="1">
      <c r="A41" s="410" t="n"/>
      <c r="B41" s="717" t="n"/>
      <c r="C41" s="718" t="n"/>
      <c r="D41" s="411" t="n"/>
      <c r="E41" s="717" t="n"/>
      <c r="F41" s="717" t="n"/>
      <c r="G41" s="718" t="n"/>
    </row>
    <row r="42">
      <c r="A42" s="281" t="n"/>
      <c r="B42" s="281" t="n"/>
      <c r="C42" s="281" t="n"/>
    </row>
  </sheetData>
  <mergeCells count="46">
    <mergeCell ref="A41:C41"/>
    <mergeCell ref="F11:G11"/>
    <mergeCell ref="F29:G29"/>
    <mergeCell ref="F16:G16"/>
    <mergeCell ref="D39:G39"/>
    <mergeCell ref="A37:C37"/>
    <mergeCell ref="F10:G10"/>
    <mergeCell ref="F25:G25"/>
    <mergeCell ref="A20:G20"/>
    <mergeCell ref="D33:G33"/>
    <mergeCell ref="D38:G38"/>
    <mergeCell ref="F21:G21"/>
    <mergeCell ref="A33:C33"/>
    <mergeCell ref="F24:G24"/>
    <mergeCell ref="F30:G30"/>
    <mergeCell ref="F12:G12"/>
    <mergeCell ref="F15:G15"/>
    <mergeCell ref="D35:G35"/>
    <mergeCell ref="A32:C32"/>
    <mergeCell ref="A31:G31"/>
    <mergeCell ref="F18:G18"/>
    <mergeCell ref="D34:G34"/>
    <mergeCell ref="A35:C35"/>
    <mergeCell ref="F26:G26"/>
    <mergeCell ref="F17:G17"/>
    <mergeCell ref="A38:C38"/>
    <mergeCell ref="F8:G8"/>
    <mergeCell ref="D40:G40"/>
    <mergeCell ref="A1:G1"/>
    <mergeCell ref="D36:G36"/>
    <mergeCell ref="A6:G6"/>
    <mergeCell ref="F23:G23"/>
    <mergeCell ref="A40:C40"/>
    <mergeCell ref="F22:G22"/>
    <mergeCell ref="F28:G28"/>
    <mergeCell ref="A39:C39"/>
    <mergeCell ref="A34:C34"/>
    <mergeCell ref="F13:G13"/>
    <mergeCell ref="F27:G27"/>
    <mergeCell ref="F9:G9"/>
    <mergeCell ref="D32:G32"/>
    <mergeCell ref="D41:G41"/>
    <mergeCell ref="A36:C36"/>
    <mergeCell ref="A3:G3"/>
    <mergeCell ref="F14:G14"/>
    <mergeCell ref="D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0" workbookViewId="0">
      <selection activeCell="A1" sqref="A1"/>
    </sheetView>
  </sheetViews>
  <sheetFormatPr baseColWidth="13" defaultColWidth="13.4" defaultRowHeight="14.25" customHeight="1"/>
  <cols>
    <col width="28.594" customWidth="1" min="1" max="1"/>
    <col width="49.902" customWidth="1" min="2" max="2"/>
    <col width="35.613" customWidth="1" min="3" max="3"/>
    <col width="39.254" customWidth="1" min="4" max="4"/>
    <col width="24.141" customWidth="1" min="5" max="5"/>
    <col width="29.543" customWidth="1" min="6" max="6"/>
    <col width="34.801" customWidth="1" min="7" max="7"/>
  </cols>
  <sheetData>
    <row r="1" ht="24.75" customHeight="1">
      <c r="A1" s="731" t="inlineStr">
        <is>
          <t>ВСТРЕЧА ЦП-ЦКС-ЦСВ-СМАК</t>
        </is>
      </c>
      <c r="B1" s="732" t="n"/>
      <c r="C1" s="732" t="n"/>
      <c r="D1" s="732" t="n"/>
      <c r="E1" s="732" t="n"/>
      <c r="F1" s="732" t="n"/>
      <c r="G1" s="733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734" t="inlineStr">
        <is>
          <t>1. Мониторинг предыдущих решений:</t>
        </is>
      </c>
      <c r="B3" s="735" t="n"/>
      <c r="C3" s="735" t="n"/>
      <c r="D3" s="735" t="n"/>
      <c r="E3" s="735" t="n"/>
      <c r="F3" s="735" t="n"/>
      <c r="G3" s="736" t="n"/>
    </row>
    <row r="4">
      <c r="A4" s="4" t="inlineStr">
        <is>
          <t>№</t>
        </is>
      </c>
      <c r="B4" s="40" t="inlineStr">
        <is>
          <t>Задача</t>
        </is>
      </c>
      <c r="C4" s="5" t="inlineStr">
        <is>
          <t>Лидер</t>
        </is>
      </c>
      <c r="D4" s="5" t="inlineStr">
        <is>
          <t>Срок</t>
        </is>
      </c>
      <c r="E4" s="5" t="inlineStr">
        <is>
          <t>Статус*</t>
        </is>
      </c>
      <c r="F4" s="40" t="inlineStr">
        <is>
          <t>Комментарии. Выводы</t>
        </is>
      </c>
      <c r="G4" s="78" t="n"/>
    </row>
    <row r="5">
      <c r="A5" s="41" t="n"/>
      <c r="B5" s="42" t="n"/>
      <c r="C5" s="66" t="n"/>
      <c r="D5" s="15" t="n"/>
      <c r="E5" s="79" t="n"/>
      <c r="F5" s="84" t="n"/>
      <c r="G5" s="718" t="n"/>
    </row>
    <row r="6">
      <c r="A6" s="71" t="n"/>
      <c r="B6" s="72" t="n"/>
      <c r="C6" s="88" t="n"/>
      <c r="D6" s="73" t="n"/>
      <c r="E6" s="81" t="n"/>
      <c r="F6" s="86" t="n"/>
      <c r="G6" s="718" t="n"/>
    </row>
    <row r="7">
      <c r="A7" s="41" t="n"/>
      <c r="B7" s="57" t="n"/>
      <c r="C7" s="89" t="n"/>
      <c r="D7" s="15" t="n"/>
      <c r="E7" s="83" t="n"/>
      <c r="F7" s="84" t="n"/>
      <c r="G7" s="718" t="n"/>
    </row>
    <row r="8">
      <c r="A8" s="71" t="n"/>
      <c r="B8" s="72" t="n"/>
      <c r="C8" s="88" t="n"/>
      <c r="D8" s="73" t="n"/>
      <c r="E8" s="81" t="n"/>
      <c r="F8" s="86" t="n"/>
      <c r="G8" s="718" t="n"/>
    </row>
    <row r="9" ht="14.25" customHeight="1">
      <c r="A9" s="41" t="n"/>
      <c r="B9" s="57" t="n"/>
      <c r="C9" s="89" t="n"/>
      <c r="D9" s="15" t="n"/>
      <c r="E9" s="79" t="n"/>
      <c r="F9" s="84" t="n"/>
      <c r="G9" s="718" t="n"/>
    </row>
    <row r="10">
      <c r="A10" s="71" t="n"/>
      <c r="B10" s="72" t="n"/>
      <c r="C10" s="88" t="n"/>
      <c r="D10" s="73" t="n"/>
      <c r="E10" s="33" t="n"/>
      <c r="F10" s="739" t="n"/>
      <c r="G10" s="736" t="n"/>
    </row>
    <row r="11" ht="14.25" customHeight="1">
      <c r="A11" s="41" t="n"/>
      <c r="B11" s="57" t="n"/>
      <c r="C11" s="89" t="n"/>
      <c r="D11" s="15" t="n"/>
      <c r="E11" s="9" t="n"/>
      <c r="F11" s="738" t="n"/>
      <c r="G11" s="736" t="n"/>
    </row>
    <row r="12" ht="14.25" customHeight="1">
      <c r="A12" s="71" t="n"/>
      <c r="B12" s="72" t="n"/>
      <c r="C12" s="88" t="n"/>
      <c r="D12" s="73" t="n"/>
      <c r="E12" s="77" t="n"/>
      <c r="F12" s="739" t="n"/>
      <c r="G12" s="736" t="n"/>
    </row>
    <row r="13" ht="14.25" customHeight="1">
      <c r="A13" s="41" t="n"/>
      <c r="B13" s="57" t="n"/>
      <c r="C13" s="89" t="n"/>
      <c r="D13" s="9" t="n"/>
      <c r="E13" s="67" t="n"/>
      <c r="F13" s="738" t="n"/>
      <c r="G13" s="736" t="n"/>
    </row>
    <row r="14" ht="14.25" customHeight="1">
      <c r="A14" s="71" t="n"/>
      <c r="B14" s="72" t="n"/>
      <c r="C14" s="88" t="n"/>
      <c r="D14" s="73" t="n"/>
      <c r="E14" s="77" t="n"/>
      <c r="F14" s="739" t="n"/>
      <c r="G14" s="736" t="n"/>
    </row>
    <row r="15" ht="14.25" customHeight="1">
      <c r="A15" s="41" t="n"/>
      <c r="B15" s="57" t="n"/>
      <c r="C15" s="89" t="n"/>
      <c r="D15" s="15" t="n"/>
      <c r="E15" s="9" t="n"/>
      <c r="F15" s="738" t="n"/>
      <c r="G15" s="736" t="n"/>
    </row>
    <row r="16" ht="14.25" customHeight="1">
      <c r="A16" s="2" t="n"/>
      <c r="B16" s="2" t="n"/>
      <c r="C16" s="2" t="n"/>
      <c r="D16" s="2" t="n"/>
      <c r="E16" s="2" t="n"/>
      <c r="F16" s="2" t="n"/>
      <c r="G16" s="2" t="n"/>
    </row>
    <row r="17" ht="14.25" customHeight="1">
      <c r="A17" s="734" t="inlineStr">
        <is>
          <t>2. Решения текущей встречи:</t>
        </is>
      </c>
      <c r="B17" s="735" t="n"/>
      <c r="C17" s="735" t="n"/>
      <c r="D17" s="735" t="n"/>
      <c r="E17" s="735" t="n"/>
      <c r="F17" s="735" t="n"/>
      <c r="G17" s="736" t="n"/>
    </row>
    <row r="18" ht="14.25" customHeight="1">
      <c r="A18" s="109" t="inlineStr">
        <is>
          <t>№</t>
        </is>
      </c>
      <c r="B18" s="40" t="inlineStr">
        <is>
          <t>Задача</t>
        </is>
      </c>
      <c r="C18" s="40" t="inlineStr">
        <is>
          <t>Лидер</t>
        </is>
      </c>
      <c r="D18" s="40" t="inlineStr">
        <is>
          <t>Срок</t>
        </is>
      </c>
      <c r="E18" s="40" t="inlineStr">
        <is>
          <t>Статус*</t>
        </is>
      </c>
      <c r="F18" s="40" t="inlineStr">
        <is>
          <t>Комментарии. Выводы</t>
        </is>
      </c>
      <c r="G18" s="78" t="n"/>
    </row>
    <row r="19" ht="15.75" customHeight="1">
      <c r="A19" s="155" t="n"/>
      <c r="B19" s="156" t="inlineStr">
        <is>
          <t>Задача</t>
        </is>
      </c>
      <c r="C19" s="157" t="inlineStr">
        <is>
          <t>Ответственный</t>
        </is>
      </c>
      <c r="D19" s="157" t="inlineStr">
        <is>
          <t>Срок</t>
        </is>
      </c>
      <c r="E19" s="159" t="n"/>
      <c r="F19" s="159" t="n"/>
      <c r="G19" s="159" t="n"/>
    </row>
    <row r="20" ht="42.75" customHeight="1">
      <c r="A20" s="160" t="n"/>
      <c r="B20" s="161" t="inlineStr">
        <is>
          <t>Подготовить и провести стратегическую сессию по направлению ЭПД (очный формат) – определить цель, планы, ресурсы, бюджет.</t>
        </is>
      </c>
      <c r="C20" s="161" t="inlineStr">
        <is>
          <t>Александра (Саша Дворяк) – организация и фасилитация</t>
        </is>
      </c>
      <c r="D20" s="162" t="inlineStr">
        <is>
          <t>провести до 15.08.2026 (дату уточнить)</t>
        </is>
      </c>
      <c r="E20" s="164" t="n"/>
      <c r="F20" s="164" t="n"/>
      <c r="G20" s="164" t="n"/>
    </row>
    <row r="21" ht="69.75" customHeight="1">
      <c r="A21" s="155" t="n"/>
      <c r="B21" s="165" t="inlineStr">
        <is>
          <t>Собрать обновлённые конверсии по обработке лидов (за последний месяц) – отдельно для группы Лизы и группы Жени, чтобы использовать для финмодели и стратегии.</t>
        </is>
      </c>
      <c r="C21" s="165" t="inlineStr">
        <is>
          <t>Лиза + Женя (встретиться и подготовить сводку)</t>
        </is>
      </c>
      <c r="D21" s="156" t="inlineStr">
        <is>
          <t>до следующей еженедельной встречи (в четверг, 31.07)</t>
        </is>
      </c>
      <c r="E21" s="159" t="n"/>
      <c r="F21" s="159" t="n"/>
      <c r="G21" s="159" t="n"/>
    </row>
    <row r="22" ht="83.25" customHeight="1">
      <c r="A22" s="160" t="n"/>
      <c r="B22" s="161" t="inlineStr">
        <is>
          <t>Построить финансовую модель направления ЭПД – с учётом доходов (титулы, услуги, продления), затрат (реклама, зарплаты, производство), прогнозов по конверсиям и сценариев (с учётом возможного переноса штрафов).</t>
        </is>
      </c>
      <c r="C22" s="161" t="n"/>
      <c r="D22" s="166" t="inlineStr">
        <is>
          <t>после стратег‑сессии (ориентир – к 15.08)</t>
        </is>
      </c>
      <c r="E22" s="164" t="n"/>
      <c r="F22" s="164" t="n"/>
      <c r="G22" s="164" t="n"/>
    </row>
    <row r="23" ht="42.75" customHeight="1">
      <c r="A23" s="167" t="n"/>
      <c r="B23" s="168" t="inlineStr">
        <is>
          <t>Проработать базу партнёров (клиенты, купившие УАД у партнёров) – составить список и предложить им переход на ЭПД.</t>
        </is>
      </c>
      <c r="C23" s="168" t="inlineStr">
        <is>
          <t>Оксана + Саша (по партнёрским контактам)</t>
        </is>
      </c>
      <c r="D23" s="169" t="inlineStr">
        <is>
          <t>подготовить список к 31.07, план обработки – обсудить на стратег‑сессии</t>
        </is>
      </c>
      <c r="E23" s="170" t="n"/>
      <c r="F23" s="170" t="n"/>
      <c r="G23" s="170" t="n"/>
    </row>
    <row r="24" ht="56.25" customHeight="1">
      <c r="A24" s="171" t="n"/>
      <c r="B24" s="161" t="inlineStr">
        <is>
          <t>Наладить оперативный обмен данными по лидам между группами Лизы и Жени (единая таблица в облаке, регулярное обновление статусов).</t>
        </is>
      </c>
      <c r="C24" s="161" t="inlineStr">
        <is>
          <t>Лиза + Женя</t>
        </is>
      </c>
      <c r="D24" s="166" t="inlineStr">
        <is>
          <t>внедрить до 03.08</t>
        </is>
      </c>
      <c r="E24" s="172" t="n"/>
      <c r="F24" s="172" t="n"/>
      <c r="G24" s="172" t="n"/>
    </row>
    <row r="25" ht="56.25" customHeight="1">
      <c r="A25" s="167" t="n"/>
      <c r="B25" s="168" t="inlineStr">
        <is>
          <t>Скорректировать оферы и таргетинг в рекламных кампаниях – чтобы привлекать не только бухгалтеров, но и предпринимателей / руководителей.</t>
        </is>
      </c>
      <c r="C25" s="168" t="n"/>
      <c r="D25" s="169" t="n"/>
      <c r="E25" s="170" t="n"/>
      <c r="F25" s="170" t="n"/>
      <c r="G25" s="170" t="n"/>
    </row>
    <row r="26" ht="42.75" customHeight="1">
      <c r="A26" s="171" t="n"/>
      <c r="B26" s="161" t="inlineStr">
        <is>
          <t>Ежемесячно предоставлять отчёт по ДДС направления (общая выручка по ЭПД с разбивкой по типам продаж).</t>
        </is>
      </c>
      <c r="C26" s="161" t="inlineStr">
        <is>
          <t>Оксана</t>
        </is>
      </c>
      <c r="D26" s="162" t="inlineStr">
        <is>
          <t>ежемесячно, до 5‑го числа (следующий – за июль – до 05.08)</t>
        </is>
      </c>
      <c r="E26" s="172" t="n"/>
      <c r="F26" s="172" t="n"/>
      <c r="G26" s="172" t="n"/>
    </row>
    <row r="27" ht="29.25" customHeight="1">
      <c r="A27" s="167" t="n"/>
      <c r="B27" s="168" t="inlineStr">
        <is>
          <t>Подготовить протокол текущей встречи и разослать всем участникам.</t>
        </is>
      </c>
      <c r="C27" s="168" t="inlineStr">
        <is>
          <t>Лиза</t>
        </is>
      </c>
      <c r="D27" s="173" t="n">
        <v>46227</v>
      </c>
      <c r="E27" s="170" t="n"/>
      <c r="F27" s="170" t="n"/>
      <c r="G27" s="170" t="n"/>
    </row>
    <row r="28">
      <c r="A28" s="743" t="inlineStr">
        <is>
          <t>3. Обсуждаемые темы и выводы:</t>
        </is>
      </c>
      <c r="B28" s="744" t="n"/>
      <c r="C28" s="744" t="n"/>
      <c r="D28" s="744" t="n"/>
      <c r="E28" s="744" t="n"/>
      <c r="F28" s="744" t="n"/>
      <c r="G28" s="740" t="n"/>
    </row>
    <row r="29" ht="13.5" customHeight="1">
      <c r="A29" s="299" t="inlineStr">
        <is>
          <t>Обсуждаемая тема (проблема)</t>
        </is>
      </c>
      <c r="B29" s="717" t="n"/>
      <c r="C29" s="718" t="n"/>
      <c r="D29" s="299" t="inlineStr">
        <is>
          <t>Выводы и решения</t>
        </is>
      </c>
      <c r="E29" s="717" t="n"/>
      <c r="F29" s="717" t="n"/>
      <c r="G29" s="718" t="n"/>
    </row>
    <row r="30" ht="102" customHeight="1">
      <c r="A30" s="289" t="inlineStr">
        <is>
          <t>1. Статистика по лидам с Яндекс.Директ
- Всего за июль – 32 лида (по данным Анны), стоимость лида снижена до 1 900 ₽ (было 2 500).
- Из них группа Лизы обработала 21 лид: 1 оплата, 12 в работе (основное возражение – «после отчётного периода»), 4 – брак по недозвону, 4 – неактуальны.
- Группа Жени обработала 11 лидов (переданы от Лизы), из них 11 фактические оплаты на сумму ~50 900 ₽ (данные Жени).
- Общая выручка по направлению ЭПД в июле (по данным Оксаны) – 64 000 ₽ (с учётом услуг и титулов)</t>
        </is>
      </c>
      <c r="B30" s="717" t="n"/>
      <c r="C30" s="718" t="n"/>
      <c r="D30" s="289" t="inlineStr">
        <is>
          <t>- Конверсия признана удовлетворительной, но основной тормоз – отчётный период у бухгалтеров (клиенты просят связаться после 27‑го числа).
- Отмечено, что реклама нацелена на предпринимателей, но в диалог вступают в основном бухгалтеры – требуется корректировка оферов и таргетинга (задача на маркетинг).
- Валидность лидов выше 50%, большинство сделок в работе – это позитивный сигнал.</t>
        </is>
      </c>
      <c r="E30" s="717" t="n"/>
      <c r="F30" s="717" t="n"/>
      <c r="G30" s="718" t="n"/>
    </row>
    <row r="31" ht="72" customHeight="1">
      <c r="A31" s="289" t="inlineStr">
        <is>
          <t>2. Распределение бюджета на продвижение
- Ранее согласовано 50 000 ₽ на тест, но фактически бюджет перерасходован (свободных осталось 25 000).
- Возник вопрос: делить ли бюджет между ЦП и ЦКС?</t>
        </is>
      </c>
      <c r="B31" s="717" t="n"/>
      <c r="C31" s="718" t="n"/>
      <c r="D31" s="289" t="inlineStr">
        <is>
          <t>Принято решение: не делить бюджет между подразделениями, а рассматривать его как общий котёл направления ЭПД.
- Расходы на продвижение должны покрываться из общей доходной части направления (продажи титулов, услуги, продления, апсейлы).
- Для обоснования бюджета необходимо построить финансовую модель направления с учётом всех затрат и прогноза доходов (задача на команду).</t>
        </is>
      </c>
      <c r="E31" s="717" t="n"/>
      <c r="F31" s="717" t="n"/>
      <c r="G31" s="718" t="n"/>
    </row>
    <row r="32" ht="69" customHeight="1">
      <c r="A32" s="289" t="inlineStr">
        <is>
          <t>3. Анализ текущей базы клиентов по ЭПД
Лиза представила анализ по ОКВЭДам (через «1С-Напарник»):
- Перевозчики – 132, экспедиторы – 60, грузоотправители – 220, смешанный тип – 260, чистые грузополучатели (только настройка) – 820.
- База обширна и может быть использована для целенаправленных обзвонов.</t>
        </is>
      </c>
      <c r="B32" s="717" t="n"/>
      <c r="C32" s="718" t="n"/>
      <c r="D32" s="289" t="inlineStr">
        <is>
          <t>- Данная база – бесплатный канал, который сейчас используется не в полной мере.
- Необходимо выгрузить полную таблицу с акведами и передать в ЦП и ЦКС для отработки.
- Работа с текущей базой – приоритетное направление для быстрого увеличения продаж без дополнительных затрат на рекламу.</t>
        </is>
      </c>
      <c r="E32" s="717" t="n"/>
      <c r="F32" s="717" t="n"/>
      <c r="G32" s="718" t="n"/>
    </row>
    <row r="33" ht="98.25" customHeight="1">
      <c r="A33" s="289" t="inlineStr">
        <is>
          <t>4. Стратегия захвата рынка и синхронизация
- Совет директоров ставит задачу массового захвата рынка ЭПД (передел рынка).
- Текущие усилия разрознены: маркетинг, ЦП, ЦКС, ЦСВ действуют автономно, нет единой цели и плана.
- Марк подсчитал: при текущей конверсии стоимость привлечения клиента ~7 125 ₽, а маржинальность пакета титулов ~40%, т.е. вложения в рекламу не окупаются в краткосрочной перспективе.
- Оксана отметила, что направление ЭПД пока убыточно (три сотрудника с зарплатами, большие минусы), но это инвестиции в захват рынка.</t>
        </is>
      </c>
      <c r="B33" s="717" t="n"/>
      <c r="C33" s="718" t="n"/>
      <c r="D33" s="289" t="inlineStr">
        <is>
          <t>- Единогласно признана необходимость стратегической сессии с участием всех подразделений (очный формат).
- Цель сессии:
- Определить конкретную цифровую цель по захвату рынка (например, количество клиентов, выручка, доля рынка).
- Согласовать единую карту «боевых действий» – каналы привлечения, конверсии, планы продаж, ресурсы, бюджет.
- Синхронизировать усилия маркетинга, ЦП, ЦКС и ЦСВ.
- Финансовая модель должна быть построена после определения стратегии, чтобы отражать реальные планы.</t>
        </is>
      </c>
      <c r="E33" s="717" t="n"/>
      <c r="F33" s="717" t="n"/>
      <c r="G33" s="718" t="n"/>
    </row>
    <row r="34" ht="48.75" customHeight="1">
      <c r="A34" s="289" t="inlineStr">
        <is>
          <t>5. Работа с партнёрами (идея Оксаны)
Оксана предложила активно «отъедать» клиентов у партнёров, особенно тех, кто не занимается ЭПД (например, партнёры, продающие УАД).</t>
        </is>
      </c>
      <c r="B34" s="717" t="n"/>
      <c r="C34" s="718" t="n"/>
      <c r="D34" s="289" t="inlineStr">
        <is>
          <t>Взять в проработку:
- Выявить партнёров, чьи клиенты уже купили УАД, и предложить им переход на ЭПД.
- Эта работа требует отдельного плана и ресурсов – обсудить на стратег‑сессии.</t>
        </is>
      </c>
      <c r="E34" s="717" t="n"/>
      <c r="F34" s="717" t="n"/>
      <c r="G34" s="718" t="n"/>
    </row>
    <row r="35" ht="47.25" customHeight="1">
      <c r="A35" s="289" t="inlineStr">
        <is>
          <t>6. Необходимость быстрой обратной связи по лидам
Анна отметила, что данные по лидам и сделкам поступают с задержкой, что мешает оперативной корректировке рекламы.</t>
        </is>
      </c>
      <c r="B35" s="717" t="n"/>
      <c r="C35" s="718" t="n"/>
      <c r="D35" s="289" t="inlineStr">
        <is>
          <t>Договорились:
- Лиза и Женя предоставляют еженедельную (или ежедневную в пиковые периоды) сводку по статусам лидов и оплатам.
- Оксана ежемесячно кидает данные по ДДС направления (общая выручка).</t>
        </is>
      </c>
      <c r="E35" s="717" t="n"/>
      <c r="F35" s="717" t="n"/>
      <c r="G35" s="718" t="n"/>
    </row>
    <row r="36" ht="14.25" customHeight="1">
      <c r="A36" s="235" t="n"/>
      <c r="D36" s="242" t="n"/>
    </row>
    <row r="37">
      <c r="A37" s="235" t="n"/>
      <c r="D37" s="242" t="n"/>
    </row>
    <row r="38">
      <c r="A38" s="235" t="n"/>
      <c r="D38" s="242" t="n"/>
    </row>
    <row r="39">
      <c r="A39" s="281" t="n"/>
      <c r="B39" s="281" t="n"/>
      <c r="C39" s="281" t="n"/>
    </row>
  </sheetData>
  <mergeCells count="35">
    <mergeCell ref="F11:G11"/>
    <mergeCell ref="A17:G17"/>
    <mergeCell ref="A37:C37"/>
    <mergeCell ref="F10:G10"/>
    <mergeCell ref="D30:G30"/>
    <mergeCell ref="F6:G6"/>
    <mergeCell ref="D33:G33"/>
    <mergeCell ref="D29:G29"/>
    <mergeCell ref="D38:G38"/>
    <mergeCell ref="A28:G28"/>
    <mergeCell ref="F7:G7"/>
    <mergeCell ref="F12:G12"/>
    <mergeCell ref="A33:C33"/>
    <mergeCell ref="F15:G15"/>
    <mergeCell ref="D35:G35"/>
    <mergeCell ref="A32:C32"/>
    <mergeCell ref="F5:G5"/>
    <mergeCell ref="D34:G34"/>
    <mergeCell ref="A29:C29"/>
    <mergeCell ref="A35:C35"/>
    <mergeCell ref="A38:C38"/>
    <mergeCell ref="F8:G8"/>
    <mergeCell ref="D31:G31"/>
    <mergeCell ref="A1:G1"/>
    <mergeCell ref="D36:G36"/>
    <mergeCell ref="A31:C31"/>
    <mergeCell ref="A30:C30"/>
    <mergeCell ref="F13:G13"/>
    <mergeCell ref="A34:C34"/>
    <mergeCell ref="F9:G9"/>
    <mergeCell ref="D32:G32"/>
    <mergeCell ref="A36:C36"/>
    <mergeCell ref="A3:G3"/>
    <mergeCell ref="F14:G14"/>
    <mergeCell ref="D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0" workbookViewId="0">
      <selection activeCell="A1" sqref="A1"/>
    </sheetView>
  </sheetViews>
  <sheetFormatPr baseColWidth="13" defaultColWidth="13.4" defaultRowHeight="14.25" customHeight="1"/>
  <cols>
    <col width="8.762" customWidth="1" min="1" max="1"/>
    <col width="49.902" customWidth="1" min="2" max="2"/>
    <col width="35.613" customWidth="1" min="3" max="3"/>
    <col width="39.254" customWidth="1" min="4" max="4"/>
    <col width="24.141" customWidth="1" min="5" max="5"/>
    <col width="29.543" customWidth="1" min="6" max="6"/>
    <col width="34.801" customWidth="1" min="7" max="7"/>
  </cols>
  <sheetData>
    <row r="1" ht="24.75" customHeight="1">
      <c r="A1" s="731" t="n"/>
      <c r="B1" s="732" t="n"/>
      <c r="C1" s="732" t="n"/>
      <c r="D1" s="732" t="n"/>
      <c r="E1" s="732" t="n"/>
      <c r="F1" s="732" t="n"/>
      <c r="G1" s="733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734" t="inlineStr">
        <is>
          <t>1. Мониторинг предыдущих решений:</t>
        </is>
      </c>
      <c r="B3" s="735" t="n"/>
      <c r="C3" s="735" t="n"/>
      <c r="D3" s="735" t="n"/>
      <c r="E3" s="735" t="n"/>
      <c r="F3" s="735" t="n"/>
      <c r="G3" s="736" t="n"/>
    </row>
    <row r="4">
      <c r="A4" s="4" t="inlineStr">
        <is>
          <t>№</t>
        </is>
      </c>
      <c r="B4" s="40" t="inlineStr">
        <is>
          <t>Задача</t>
        </is>
      </c>
      <c r="C4" s="5" t="inlineStr">
        <is>
          <t>Лидер</t>
        </is>
      </c>
      <c r="D4" s="5" t="inlineStr">
        <is>
          <t>Срок</t>
        </is>
      </c>
      <c r="E4" s="5" t="inlineStr">
        <is>
          <t>Статус*</t>
        </is>
      </c>
      <c r="F4" s="40" t="inlineStr">
        <is>
          <t>Комментарии. Выводы</t>
        </is>
      </c>
      <c r="G4" s="78" t="n"/>
    </row>
    <row r="5" ht="27" customHeight="1">
      <c r="A5" s="41" t="n"/>
      <c r="B5" s="355" t="inlineStr">
        <is>
          <t>Создать "базу знаний" по вопросам с лектория</t>
        </is>
      </c>
      <c r="C5" s="355" t="inlineStr">
        <is>
          <t>Антон</t>
        </is>
      </c>
      <c r="D5" s="354" t="n">
        <v>46237</v>
      </c>
      <c r="E5" s="355" t="inlineStr">
        <is>
          <t xml:space="preserve">в работе </t>
        </is>
      </c>
      <c r="F5" s="745" t="inlineStr">
        <is>
          <t>уточнить по поводу внесены ли вопросы МПП для создания базы знаний</t>
        </is>
      </c>
      <c r="G5" s="733" t="n"/>
    </row>
    <row r="6" ht="23.25" customHeight="1">
      <c r="A6" s="71" t="n"/>
      <c r="B6" s="357" t="inlineStr">
        <is>
          <t>Узнать у 1С - сколько у них стоит реклама</t>
        </is>
      </c>
      <c r="C6" s="357" t="inlineStr">
        <is>
          <t>Саша (+Лиза)</t>
        </is>
      </c>
      <c r="D6" s="358" t="n">
        <v>46239</v>
      </c>
      <c r="E6" s="515" t="inlineStr">
        <is>
          <t>в работе</t>
        </is>
      </c>
      <c r="F6" s="520" t="inlineStr">
        <is>
          <t xml:space="preserve">ОС в чате ЭПД стратегия будет </t>
        </is>
      </c>
      <c r="G6" s="733" t="n"/>
    </row>
    <row r="7" ht="112.5" customHeight="1">
      <c r="A7" s="303" t="n"/>
      <c r="B7" s="355" t="inlineStr">
        <is>
          <t>Анализ отвалов с ЛИДов после РК</t>
        </is>
      </c>
      <c r="C7" s="355" t="inlineStr">
        <is>
          <t>Женя + Лиза</t>
        </is>
      </c>
      <c r="D7" s="360" t="n">
        <v>46234</v>
      </c>
      <c r="E7" s="355" t="inlineStr">
        <is>
          <t>выполнено</t>
        </is>
      </c>
      <c r="F7" s="745" t="inlineStr">
        <is>
          <t xml:space="preserve">Отвалы Группа продуктвого запуска за июль: 12
уже решили вопрос - 4
выбрали других - 3
ндз - 2
не подходит сценарий -1
другое -1 </t>
        </is>
      </c>
      <c r="G7" s="733" t="n"/>
    </row>
    <row r="8" ht="35.25" customHeight="1">
      <c r="A8" s="71" t="n"/>
      <c r="B8" s="393" t="inlineStr">
        <is>
          <t>Структурирование всех чатов</t>
        </is>
      </c>
      <c r="C8" s="393" t="inlineStr">
        <is>
          <t>Лиза</t>
        </is>
      </c>
      <c r="D8" s="392" t="inlineStr">
        <is>
          <t xml:space="preserve">03.08.2026 </t>
        </is>
      </c>
      <c r="E8" s="393" t="n"/>
      <c r="F8" s="746" t="inlineStr">
        <is>
          <t>у меня нет старых чатов, вопрос - требуются ли нам чаты по  PR и ИМ отдельные?</t>
        </is>
      </c>
      <c r="G8" s="733" t="n"/>
    </row>
    <row r="9" ht="37.35" customHeight="1">
      <c r="A9" s="305" t="n"/>
      <c r="B9" s="372" t="inlineStr">
        <is>
          <t xml:space="preserve">Старт обзвона по проектным решениям </t>
        </is>
      </c>
      <c r="C9" s="372" t="inlineStr">
        <is>
          <t>Женя</t>
        </is>
      </c>
      <c r="D9" s="371" t="n"/>
      <c r="E9" s="372" t="inlineStr">
        <is>
          <t>приостановлено</t>
        </is>
      </c>
      <c r="F9" s="747" t="inlineStr">
        <is>
          <t>ПР снято с поддержки, 06.08 -встреча с коллегами из Калуги.Астрал по обсуждению проектного решения от Доки</t>
        </is>
      </c>
      <c r="G9" s="733" t="n"/>
    </row>
    <row r="10" ht="15.75" customHeight="1">
      <c r="A10" s="122" t="n"/>
      <c r="B10" s="362" t="inlineStr">
        <is>
          <t>Лизе зарегистрироваться в МАКС</t>
        </is>
      </c>
      <c r="C10" s="362" t="inlineStr">
        <is>
          <t>Лиза</t>
        </is>
      </c>
      <c r="D10" s="414" t="n">
        <v>46206</v>
      </c>
      <c r="E10" s="362" t="inlineStr">
        <is>
          <t>выполнено</t>
        </is>
      </c>
      <c r="F10" s="366" t="n"/>
      <c r="G10" s="733" t="n"/>
    </row>
    <row r="11" ht="14.25" customHeight="1">
      <c r="A11" s="448" t="n"/>
      <c r="B11" s="448" t="n"/>
      <c r="C11" s="448" t="n"/>
      <c r="D11" s="448" t="n"/>
      <c r="E11" s="9" t="n"/>
      <c r="F11" s="738" t="n"/>
      <c r="G11" s="736" t="n"/>
    </row>
    <row r="12" ht="14.25" customHeight="1">
      <c r="A12" s="134" t="n"/>
      <c r="B12" s="72" t="n"/>
      <c r="C12" s="88" t="n"/>
      <c r="D12" s="302" t="n"/>
      <c r="E12" s="77" t="n"/>
      <c r="F12" s="739" t="n"/>
      <c r="G12" s="736" t="n"/>
    </row>
    <row r="13" ht="14.25" customHeight="1">
      <c r="A13" s="41" t="n"/>
      <c r="B13" s="57" t="n"/>
      <c r="C13" s="89" t="n"/>
      <c r="D13" s="9" t="n"/>
      <c r="E13" s="67" t="n"/>
      <c r="F13" s="738" t="n"/>
      <c r="G13" s="736" t="n"/>
    </row>
    <row r="14" ht="14.25" customHeight="1">
      <c r="A14" s="71" t="n"/>
      <c r="B14" s="72" t="n"/>
      <c r="C14" s="88" t="n"/>
      <c r="D14" s="73" t="n"/>
      <c r="E14" s="77" t="n"/>
      <c r="F14" s="739" t="n"/>
      <c r="G14" s="736" t="n"/>
    </row>
    <row r="15" ht="14.25" customHeight="1">
      <c r="A15" s="41" t="n"/>
      <c r="B15" s="57" t="n"/>
      <c r="C15" s="89" t="n"/>
      <c r="D15" s="15" t="n"/>
      <c r="E15" s="9" t="n"/>
      <c r="F15" s="738" t="n"/>
      <c r="G15" s="736" t="n"/>
    </row>
    <row r="16" ht="14.25" customHeight="1">
      <c r="A16" s="2" t="n"/>
      <c r="B16" s="2" t="n"/>
      <c r="C16" s="2" t="n"/>
      <c r="D16" s="2" t="n"/>
      <c r="E16" s="2" t="n"/>
      <c r="F16" s="2" t="n"/>
      <c r="G16" s="2" t="n"/>
    </row>
    <row r="17" ht="14.25" customHeight="1">
      <c r="A17" s="734" t="inlineStr">
        <is>
          <t>2. Решения текущей встречи:</t>
        </is>
      </c>
      <c r="B17" s="735" t="n"/>
      <c r="C17" s="735" t="n"/>
      <c r="D17" s="735" t="n"/>
      <c r="E17" s="735" t="n"/>
      <c r="F17" s="735" t="n"/>
      <c r="G17" s="736" t="n"/>
    </row>
    <row r="18" ht="14.25" customHeight="1">
      <c r="A18" s="109" t="inlineStr">
        <is>
          <t>№</t>
        </is>
      </c>
      <c r="B18" s="40" t="inlineStr">
        <is>
          <t>Задача</t>
        </is>
      </c>
      <c r="C18" s="40" t="inlineStr">
        <is>
          <t>Лидер</t>
        </is>
      </c>
      <c r="D18" s="40" t="inlineStr">
        <is>
          <t>Срок</t>
        </is>
      </c>
      <c r="E18" s="40" t="inlineStr">
        <is>
          <t>Статус*</t>
        </is>
      </c>
      <c r="F18" s="183" t="inlineStr">
        <is>
          <t>Комментарии. Выводы</t>
        </is>
      </c>
      <c r="G18" s="740" t="n"/>
    </row>
    <row r="19" ht="30" customHeight="1">
      <c r="A19" s="155" t="n"/>
      <c r="B19" s="307" t="inlineStr">
        <is>
          <t xml:space="preserve">уточнить по поводу внесены ли вопросы МПП для создания базы знаний </t>
        </is>
      </c>
      <c r="C19" s="415" t="inlineStr">
        <is>
          <t xml:space="preserve">Блохина/Савинская/Гурков </t>
        </is>
      </c>
      <c r="D19" s="415" t="inlineStr">
        <is>
          <t>до 7.08</t>
        </is>
      </c>
      <c r="E19" s="159" t="inlineStr">
        <is>
          <t xml:space="preserve">в работе </t>
        </is>
      </c>
      <c r="F19" s="639" t="n"/>
      <c r="G19" s="718" t="n"/>
    </row>
    <row r="20" ht="30" customHeight="1">
      <c r="A20" s="349" t="n">
        <v>1</v>
      </c>
      <c r="B20" s="384" t="inlineStr">
        <is>
          <t xml:space="preserve">написать Маше группу в аутлук для отправки напоминаний </t>
        </is>
      </c>
      <c r="C20" s="384" t="inlineStr">
        <is>
          <t xml:space="preserve">Савинская </t>
        </is>
      </c>
      <c r="D20" s="384" t="inlineStr">
        <is>
          <t>до 7.08</t>
        </is>
      </c>
      <c r="E20" s="164" t="inlineStr">
        <is>
          <t xml:space="preserve">в работе </t>
        </is>
      </c>
      <c r="F20" s="409" t="n"/>
      <c r="G20" s="718" t="n"/>
    </row>
    <row r="21" ht="15.75" customHeight="1">
      <c r="A21" s="350" t="n">
        <v>2</v>
      </c>
      <c r="B21" s="165" t="inlineStr">
        <is>
          <t xml:space="preserve">Разбор по старым чатам </t>
        </is>
      </c>
      <c r="C21" s="165" t="inlineStr">
        <is>
          <t xml:space="preserve">Блохина </t>
        </is>
      </c>
      <c r="D21" s="314" t="n">
        <v>46240</v>
      </c>
      <c r="E21" s="159" t="inlineStr">
        <is>
          <t>выполнено</t>
        </is>
      </c>
      <c r="F21" s="405" t="n"/>
      <c r="G21" s="718" t="n"/>
    </row>
    <row r="22" ht="16.5" customHeight="1">
      <c r="A22" s="349" t="n">
        <v>3</v>
      </c>
      <c r="B22" s="161" t="inlineStr">
        <is>
          <t xml:space="preserve">Добавить Н.Корневу и переименовать встречу </t>
        </is>
      </c>
      <c r="C22" s="161" t="inlineStr">
        <is>
          <t xml:space="preserve">Блохина </t>
        </is>
      </c>
      <c r="D22" s="317" t="inlineStr">
        <is>
          <t>до 7.08</t>
        </is>
      </c>
      <c r="E22" s="164" t="inlineStr">
        <is>
          <t>в работе</t>
        </is>
      </c>
      <c r="F22" s="409" t="n"/>
      <c r="G22" s="718" t="n"/>
    </row>
    <row r="23" ht="252.75" customHeight="1">
      <c r="A23" s="351" t="n">
        <v>4</v>
      </c>
      <c r="B23" s="396" t="inlineStr">
        <is>
          <t xml:space="preserve">Подумать о Предложении К. Дербеневой определить общую цель по ЭПД (Штуки либо деньги, доля наших клиентов, которые попадают под изменения) </t>
        </is>
      </c>
      <c r="C23" s="396" t="inlineStr">
        <is>
          <t>все участники</t>
        </is>
      </c>
      <c r="D23" s="397" t="inlineStr">
        <is>
          <t>до 13.08</t>
        </is>
      </c>
      <c r="E23" s="675" t="inlineStr">
        <is>
          <t xml:space="preserve">в работе </t>
        </is>
      </c>
      <c r="F23" s="420" t="inlineStr">
        <is>
          <t>Дворяк:
Ремез:
Дербенева:
Пак:
Дивакова:
Блохина: Стратегическая цель проекта — занять лидирующие позиции в сегменте 1С:ЭПД за счёт максимального привлечения действующих клиентов, подпадающих под изменения, к приобретению сервиса у нас, укрепления экспертного статуса компании на рынке, формирования поддержки вендора и создания устойчивого органического потока лидов.
Савинская:
Гурков:
Корнева:
Лопатенко:
Деменская:</t>
        </is>
      </c>
      <c r="G23" s="718" t="n"/>
    </row>
    <row r="24" ht="15.95" customHeight="1">
      <c r="A24" s="352" t="n">
        <v>5</v>
      </c>
      <c r="B24" s="161" t="inlineStr">
        <is>
          <t>Внести поля для комментариев участников (ФИО)</t>
        </is>
      </c>
      <c r="C24" s="161" t="inlineStr">
        <is>
          <t>Блохина</t>
        </is>
      </c>
      <c r="D24" s="316" t="n">
        <v>46240</v>
      </c>
      <c r="E24" s="172" t="inlineStr">
        <is>
          <t>выполнено</t>
        </is>
      </c>
      <c r="F24" s="407" t="n"/>
      <c r="G24" s="718" t="n"/>
    </row>
    <row r="25" ht="15.75" customHeight="1">
      <c r="A25" s="351" t="n">
        <v>6</v>
      </c>
      <c r="B25" s="396" t="n"/>
      <c r="C25" s="396" t="n"/>
      <c r="D25" s="401" t="n"/>
      <c r="E25" s="675" t="n"/>
      <c r="F25" s="408" t="n"/>
      <c r="G25" s="718" t="n"/>
    </row>
    <row r="26" ht="14.25" customHeight="1">
      <c r="A26" s="352" t="n"/>
      <c r="B26" s="161" t="n"/>
      <c r="C26" s="161" t="n"/>
      <c r="D26" s="162" t="n"/>
      <c r="E26" s="172" t="n"/>
      <c r="F26" s="409" t="n"/>
      <c r="G26" s="718" t="n"/>
    </row>
    <row r="27" ht="14.25" customHeight="1">
      <c r="A27" s="351" t="n"/>
      <c r="B27" s="396" t="n"/>
      <c r="C27" s="396" t="n"/>
      <c r="D27" s="401" t="n"/>
      <c r="E27" s="675" t="n"/>
      <c r="F27" s="408" t="n"/>
      <c r="G27" s="718" t="n"/>
    </row>
    <row r="28">
      <c r="A28" s="741" t="inlineStr">
        <is>
          <t>3. Обсуждаемые темы и выводы:</t>
        </is>
      </c>
      <c r="G28" s="742" t="n"/>
    </row>
    <row r="29" ht="13.5" customHeight="1">
      <c r="A29" s="299" t="inlineStr">
        <is>
          <t>Обсуждаемая тема (проблема)</t>
        </is>
      </c>
      <c r="B29" s="717" t="n"/>
      <c r="C29" s="718" t="n"/>
      <c r="D29" s="299" t="inlineStr">
        <is>
          <t>Выводы и решения</t>
        </is>
      </c>
      <c r="E29" s="717" t="n"/>
      <c r="F29" s="717" t="n"/>
      <c r="G29" s="718" t="n"/>
    </row>
    <row r="30" ht="32.25" customHeight="1">
      <c r="A30" s="308" t="inlineStr">
        <is>
          <t xml:space="preserve"> Прошу включить тему регистрации проданных ЭПД и ДОКИ за Форусом. Сейчас нет ответственного. часть оплативших клиентов не закреплены за форусом (Антон Гурков)</t>
        </is>
      </c>
      <c r="B30" s="717" t="n"/>
      <c r="C30" s="718" t="n"/>
      <c r="D30" s="308" t="inlineStr">
        <is>
          <t xml:space="preserve">ознакомиться с протоколом в чате Стратегия ЭПД  (Процесс привязки клиента), оставляем вопрос до следующей встречи. Вопросы МПП можно адресовать Антону </t>
        </is>
      </c>
      <c r="E30" s="717" t="n"/>
      <c r="F30" s="717" t="n"/>
      <c r="G30" s="718" t="n"/>
    </row>
    <row r="31" ht="30.75" customHeight="1">
      <c r="A31" s="308" t="inlineStr">
        <is>
          <t>Акция от Калуги - закрепление действий</t>
        </is>
      </c>
      <c r="B31" s="717" t="n"/>
      <c r="C31" s="718" t="n"/>
      <c r="D31" s="308" t="inlineStr">
        <is>
          <t xml:space="preserve">Лиза планирует собрать ОС от партнеров, акция уже закончилась </t>
        </is>
      </c>
      <c r="E31" s="717" t="n"/>
      <c r="F31" s="717" t="n"/>
      <c r="G31" s="718" t="n"/>
    </row>
    <row r="32" ht="38.7" customHeight="1">
      <c r="A32" s="308" t="inlineStr">
        <is>
          <t xml:space="preserve">Мастерская по ЭПД + Доки </t>
        </is>
      </c>
      <c r="B32" s="717" t="n"/>
      <c r="C32" s="718" t="n"/>
      <c r="D32" s="308" t="inlineStr">
        <is>
          <t>13 августа будет мероприятие, идет запись МПП и подготовка вопросов. Лиза отправит Маше (в копию О. Костюкову) вопросы МПП до конца дня понедельника 10.08</t>
        </is>
      </c>
      <c r="E32" s="717" t="n"/>
      <c r="F32" s="717" t="n"/>
      <c r="G32" s="718" t="n"/>
    </row>
    <row r="33" ht="54" customHeight="1">
      <c r="A33" s="308" t="inlineStr">
        <is>
          <t>Обучение от Калуги.Астрал - не открывается для менеджеров, долгая проверка ИНН</t>
        </is>
      </c>
      <c r="B33" s="717" t="n"/>
      <c r="C33" s="718" t="n"/>
      <c r="D33" s="418" t="inlineStr">
        <is>
          <t>отправить Маше информацию по МПП, которые зарегались на портале Астрала, но не могут получить доступ к курску</t>
        </is>
      </c>
      <c r="E33" s="717" t="n"/>
      <c r="F33" s="717" t="n"/>
      <c r="G33" s="718" t="n"/>
    </row>
    <row r="34" ht="28.75" customHeight="1">
      <c r="A34" s="308" t="inlineStr">
        <is>
          <t>КЦР - статистика продаж/интересов, кому предлагаем, как работаем</t>
        </is>
      </c>
      <c r="B34" s="717" t="n"/>
      <c r="C34" s="718" t="n"/>
      <c r="D34" s="289" t="inlineStr">
        <is>
          <t xml:space="preserve">Лизой составляется регламент работы по продаже КЦР, какие линии использовать? Маша подтвердила, что КЦР можно ставить на линию ЭПД, КЦР не обслуживаем, но подготовят инструкции и специалистов. Если КЦР вне рамок ЭПД - и клиенты готовы платить, то можно подумать о линии. Если Маша найдет запись встречи от 1С , то направит нам </t>
        </is>
      </c>
      <c r="E34" s="717" t="n"/>
      <c r="F34" s="717" t="n"/>
      <c r="G34" s="718" t="n"/>
    </row>
    <row r="35" ht="25.65" customHeight="1">
      <c r="A35" s="289" t="n"/>
      <c r="B35" s="717" t="n"/>
      <c r="C35" s="718" t="n"/>
      <c r="D35" s="289" t="n"/>
      <c r="E35" s="717" t="n"/>
      <c r="F35" s="717" t="n"/>
      <c r="G35" s="718" t="n"/>
    </row>
    <row r="36" ht="25.45" customHeight="1">
      <c r="A36" s="410" t="n"/>
      <c r="B36" s="717" t="n"/>
      <c r="C36" s="718" t="n"/>
      <c r="D36" s="411" t="n"/>
      <c r="E36" s="717" t="n"/>
      <c r="F36" s="717" t="n"/>
      <c r="G36" s="718" t="n"/>
    </row>
    <row r="37" ht="27.05" customHeight="1">
      <c r="A37" s="410" t="n"/>
      <c r="B37" s="717" t="n"/>
      <c r="C37" s="718" t="n"/>
      <c r="D37" s="411" t="n"/>
      <c r="E37" s="717" t="n"/>
      <c r="F37" s="717" t="n"/>
      <c r="G37" s="718" t="n"/>
    </row>
    <row r="38" ht="21.45" customHeight="1">
      <c r="A38" s="410" t="n"/>
      <c r="B38" s="717" t="n"/>
      <c r="C38" s="718" t="n"/>
      <c r="D38" s="411" t="n"/>
      <c r="E38" s="717" t="n"/>
      <c r="F38" s="717" t="n"/>
      <c r="G38" s="718" t="n"/>
    </row>
    <row r="39">
      <c r="A39" s="281" t="n"/>
      <c r="B39" s="281" t="n"/>
      <c r="C39" s="281" t="n"/>
    </row>
  </sheetData>
  <mergeCells count="45">
    <mergeCell ref="F11:G11"/>
    <mergeCell ref="A17:G17"/>
    <mergeCell ref="A37:C37"/>
    <mergeCell ref="F10:G10"/>
    <mergeCell ref="F19:G19"/>
    <mergeCell ref="F25:G25"/>
    <mergeCell ref="D30:G30"/>
    <mergeCell ref="F6:G6"/>
    <mergeCell ref="D33:G33"/>
    <mergeCell ref="D29:G29"/>
    <mergeCell ref="D38:G38"/>
    <mergeCell ref="F7:G7"/>
    <mergeCell ref="A28:G28"/>
    <mergeCell ref="F21:G21"/>
    <mergeCell ref="F12:G12"/>
    <mergeCell ref="A33:C33"/>
    <mergeCell ref="F24:G24"/>
    <mergeCell ref="F15:G15"/>
    <mergeCell ref="D35:G35"/>
    <mergeCell ref="A32:C32"/>
    <mergeCell ref="F5:G5"/>
    <mergeCell ref="F20:G20"/>
    <mergeCell ref="F18:G18"/>
    <mergeCell ref="D34:G34"/>
    <mergeCell ref="A29:C29"/>
    <mergeCell ref="A35:C35"/>
    <mergeCell ref="F26:G26"/>
    <mergeCell ref="A38:C38"/>
    <mergeCell ref="F8:G8"/>
    <mergeCell ref="D31:G31"/>
    <mergeCell ref="A1:G1"/>
    <mergeCell ref="D36:G36"/>
    <mergeCell ref="A31:C31"/>
    <mergeCell ref="F23:G23"/>
    <mergeCell ref="F22:G22"/>
    <mergeCell ref="A30:C30"/>
    <mergeCell ref="F13:G13"/>
    <mergeCell ref="A34:C34"/>
    <mergeCell ref="F27:G27"/>
    <mergeCell ref="F9:G9"/>
    <mergeCell ref="D32:G32"/>
    <mergeCell ref="A36:C36"/>
    <mergeCell ref="A3:G3"/>
    <mergeCell ref="F14:G14"/>
    <mergeCell ref="D37:G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0" workbookViewId="0">
      <selection activeCell="A1" sqref="A1"/>
    </sheetView>
  </sheetViews>
  <sheetFormatPr baseColWidth="13" defaultColWidth="13.4" defaultRowHeight="14.25" customHeight="1"/>
  <cols>
    <col width="8.762" customWidth="1" min="1" max="1"/>
    <col width="49.902" customWidth="1" min="2" max="2"/>
    <col width="35.613" customWidth="1" min="3" max="3"/>
    <col width="39.254" customWidth="1" min="4" max="4"/>
    <col width="24.141" customWidth="1" min="5" max="5"/>
    <col width="29.543" customWidth="1" min="6" max="6"/>
    <col width="34.801" customWidth="1" min="7" max="7"/>
  </cols>
  <sheetData>
    <row r="1" ht="24.75" customHeight="1">
      <c r="A1" s="731" t="inlineStr">
        <is>
          <t>ВСТРЕЧА ЦП-ЦКС-ЦСВ-СМАК</t>
        </is>
      </c>
      <c r="B1" s="732" t="n"/>
      <c r="C1" s="732" t="n"/>
      <c r="D1" s="732" t="n"/>
      <c r="E1" s="732" t="n"/>
      <c r="F1" s="732" t="n"/>
      <c r="G1" s="733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734" t="inlineStr">
        <is>
          <t>1. Мониторинг предыдущих решений:</t>
        </is>
      </c>
      <c r="B3" s="735" t="n"/>
      <c r="C3" s="735" t="n"/>
      <c r="D3" s="735" t="n"/>
      <c r="E3" s="735" t="n"/>
      <c r="F3" s="735" t="n"/>
      <c r="G3" s="736" t="n"/>
    </row>
    <row r="4">
      <c r="A4" s="4" t="inlineStr">
        <is>
          <t>№</t>
        </is>
      </c>
      <c r="B4" s="40" t="inlineStr">
        <is>
          <t>Задача</t>
        </is>
      </c>
      <c r="C4" s="5" t="inlineStr">
        <is>
          <t>Лидер</t>
        </is>
      </c>
      <c r="D4" s="5" t="inlineStr">
        <is>
          <t>Срок</t>
        </is>
      </c>
      <c r="E4" s="5" t="inlineStr">
        <is>
          <t>Статус*</t>
        </is>
      </c>
      <c r="F4" s="40" t="inlineStr">
        <is>
          <t>Комментарии. Выводы</t>
        </is>
      </c>
      <c r="G4" s="78" t="n"/>
    </row>
    <row r="5" ht="161.25" customHeight="1">
      <c r="A5" s="41" t="n"/>
      <c r="B5" s="165" t="inlineStr">
        <is>
          <t>Собрать обновлённые конверсии по обработке лидов (за последний месяц) – отдельно для группы Лизы и группы Жени, чтобы использовать для финмодели и стратегии.</t>
        </is>
      </c>
      <c r="C5" s="165" t="inlineStr">
        <is>
          <t>Лиза + Женя (встретиться и подготовить сводку)</t>
        </is>
      </c>
      <c r="D5" s="307" t="inlineStr">
        <is>
          <t>до следующей еженедельной встречи (в четверг, 30.07)</t>
        </is>
      </c>
      <c r="E5" s="79" t="inlineStr">
        <is>
          <t>выполнено</t>
        </is>
      </c>
      <c r="F5" s="310" t="inlineStr">
        <is>
          <t>Группа "Новые деньги"
Заявки с сайта 1С: 9 оплат
Анкеты с лектория: 1 оплата
Входящая линия: 3 оплаты
РК ЭПД: 0 оплат
итого оплат:  13 шт
Группа продуктового запуска:
Анкеты с лектория: 0, 1 выставленный счет
Входящая линия: 3
РК ЭПД: 1
База канбана (длительная проработка с хол. лазы или базы НК (фреш): 5
итого оплат: 9 шт</t>
        </is>
      </c>
      <c r="G5" s="718" t="n"/>
    </row>
    <row r="6">
      <c r="A6" s="71" t="n"/>
      <c r="B6" s="161" t="inlineStr">
        <is>
          <t>Подготовить протокол текущей встречи и разослать всем участникам.</t>
        </is>
      </c>
      <c r="C6" s="161" t="inlineStr">
        <is>
          <t>Лиза</t>
        </is>
      </c>
      <c r="D6" s="311" t="n">
        <v>46227</v>
      </c>
      <c r="E6" s="81" t="inlineStr">
        <is>
          <t>выполнено</t>
        </is>
      </c>
      <c r="F6" s="86" t="n"/>
      <c r="G6" s="718" t="n"/>
    </row>
    <row r="7">
      <c r="A7" s="303" t="n"/>
      <c r="B7" s="168" t="n"/>
      <c r="C7" s="168" t="n"/>
      <c r="D7" s="169" t="n"/>
      <c r="E7" s="83" t="n"/>
      <c r="F7" s="84" t="n"/>
      <c r="G7" s="718" t="n"/>
    </row>
    <row r="8">
      <c r="A8" s="71" t="n"/>
      <c r="B8" s="161" t="n"/>
      <c r="C8" s="161" t="n"/>
      <c r="D8" s="166" t="n"/>
      <c r="E8" s="81" t="n"/>
      <c r="F8" s="86" t="n"/>
      <c r="G8" s="718" t="n"/>
    </row>
    <row r="9" ht="14.25" customHeight="1">
      <c r="A9" s="305" t="n"/>
      <c r="B9" s="168" t="n"/>
      <c r="C9" s="168" t="n"/>
      <c r="D9" s="306" t="n"/>
      <c r="E9" s="79" t="n"/>
      <c r="F9" s="84" t="n"/>
      <c r="G9" s="718" t="n"/>
    </row>
    <row r="10">
      <c r="A10" s="122" t="n"/>
      <c r="B10" s="124" t="n"/>
      <c r="C10" s="124" t="n"/>
      <c r="D10" s="124" t="n"/>
      <c r="E10" s="33" t="n"/>
      <c r="F10" s="739" t="n"/>
      <c r="G10" s="736" t="n"/>
    </row>
    <row r="11" ht="14.25" customHeight="1">
      <c r="A11" s="448" t="n"/>
      <c r="B11" s="448" t="n"/>
      <c r="C11" s="448" t="n"/>
      <c r="D11" s="448" t="n"/>
      <c r="E11" s="9" t="n"/>
      <c r="F11" s="738" t="n"/>
      <c r="G11" s="736" t="n"/>
    </row>
    <row r="12" ht="14.25" customHeight="1">
      <c r="A12" s="134" t="n"/>
      <c r="B12" s="72" t="n"/>
      <c r="C12" s="88" t="n"/>
      <c r="D12" s="302" t="n"/>
      <c r="E12" s="77" t="n"/>
      <c r="F12" s="739" t="n"/>
      <c r="G12" s="736" t="n"/>
    </row>
    <row r="13" ht="14.25" customHeight="1">
      <c r="A13" s="41" t="n"/>
      <c r="B13" s="57" t="n"/>
      <c r="C13" s="89" t="n"/>
      <c r="D13" s="9" t="n"/>
      <c r="E13" s="67" t="n"/>
      <c r="F13" s="738" t="n"/>
      <c r="G13" s="736" t="n"/>
    </row>
    <row r="14" ht="14.25" customHeight="1">
      <c r="A14" s="71" t="n"/>
      <c r="B14" s="72" t="n"/>
      <c r="C14" s="88" t="n"/>
      <c r="D14" s="73" t="n"/>
      <c r="E14" s="77" t="n"/>
      <c r="F14" s="739" t="n"/>
      <c r="G14" s="736" t="n"/>
    </row>
    <row r="15" ht="14.25" customHeight="1">
      <c r="A15" s="41" t="n"/>
      <c r="B15" s="57" t="n"/>
      <c r="C15" s="89" t="n"/>
      <c r="D15" s="15" t="n"/>
      <c r="E15" s="9" t="n"/>
      <c r="F15" s="738" t="n"/>
      <c r="G15" s="736" t="n"/>
    </row>
    <row r="16" ht="14.25" customHeight="1">
      <c r="A16" s="2" t="n"/>
      <c r="B16" s="2" t="n"/>
      <c r="C16" s="2" t="n"/>
      <c r="D16" s="2" t="n"/>
      <c r="E16" s="2" t="n"/>
      <c r="F16" s="2" t="n"/>
      <c r="G16" s="2" t="n"/>
    </row>
    <row r="17" ht="14.25" customHeight="1">
      <c r="A17" s="734" t="inlineStr">
        <is>
          <t>2. Решения текущей встречи:</t>
        </is>
      </c>
      <c r="B17" s="735" t="n"/>
      <c r="C17" s="735" t="n"/>
      <c r="D17" s="735" t="n"/>
      <c r="E17" s="735" t="n"/>
      <c r="F17" s="735" t="n"/>
      <c r="G17" s="736" t="n"/>
    </row>
    <row r="18" ht="14.25" customHeight="1">
      <c r="A18" s="109" t="inlineStr">
        <is>
          <t>№</t>
        </is>
      </c>
      <c r="B18" s="40" t="inlineStr">
        <is>
          <t>Задача</t>
        </is>
      </c>
      <c r="C18" s="40" t="inlineStr">
        <is>
          <t>Лидер</t>
        </is>
      </c>
      <c r="D18" s="40" t="inlineStr">
        <is>
          <t>Срок</t>
        </is>
      </c>
      <c r="E18" s="40" t="inlineStr">
        <is>
          <t>Статус*</t>
        </is>
      </c>
      <c r="F18" s="183" t="inlineStr">
        <is>
          <t>Комментарии. Выводы</t>
        </is>
      </c>
      <c r="G18" s="740" t="n"/>
    </row>
    <row r="19" ht="15.75" customHeight="1">
      <c r="A19" s="155" t="n"/>
      <c r="B19" s="156" t="inlineStr">
        <is>
          <t>Задача</t>
        </is>
      </c>
      <c r="C19" s="157" t="inlineStr">
        <is>
          <t>Ответственный</t>
        </is>
      </c>
      <c r="D19" s="157" t="inlineStr">
        <is>
          <t>Срок</t>
        </is>
      </c>
      <c r="E19" s="159" t="n"/>
      <c r="F19" s="639" t="n"/>
      <c r="G19" s="718" t="n"/>
    </row>
    <row r="20" ht="15.75" customHeight="1">
      <c r="A20" s="349" t="n">
        <v>1</v>
      </c>
      <c r="B20" s="161" t="inlineStr">
        <is>
          <t>Создать "базу знаний" по вопросам с лектория</t>
        </is>
      </c>
      <c r="C20" s="161" t="inlineStr">
        <is>
          <t>Антон</t>
        </is>
      </c>
      <c r="D20" s="312" t="n">
        <v>46237</v>
      </c>
      <c r="E20" s="164" t="n"/>
      <c r="F20" s="405" t="n"/>
      <c r="G20" s="718" t="n"/>
    </row>
    <row r="21" ht="15.75" customHeight="1">
      <c r="A21" s="350" t="n">
        <v>2</v>
      </c>
      <c r="B21" s="165" t="inlineStr">
        <is>
          <t>Узнать у 1С - сколько у них стоит реклама</t>
        </is>
      </c>
      <c r="C21" s="165" t="inlineStr">
        <is>
          <t>Саша (+Лиза)</t>
        </is>
      </c>
      <c r="D21" s="314" t="n">
        <v>46239</v>
      </c>
      <c r="E21" s="159" t="n"/>
      <c r="F21" s="405" t="inlineStr">
        <is>
          <t>Уточнить информацию у ЦРД</t>
        </is>
      </c>
      <c r="G21" s="718" t="n"/>
    </row>
    <row r="22" ht="15.75" customHeight="1">
      <c r="A22" s="349" t="n">
        <v>3</v>
      </c>
      <c r="B22" s="161" t="inlineStr">
        <is>
          <t>Анализ отвалов с ЛИДов после РК</t>
        </is>
      </c>
      <c r="C22" s="161" t="inlineStr">
        <is>
          <t>Женя + Лиза</t>
        </is>
      </c>
      <c r="D22" s="317" t="n">
        <v>46234</v>
      </c>
      <c r="E22" s="164" t="n"/>
      <c r="F22" s="405" t="inlineStr">
        <is>
          <t>+ корректирующие действия</t>
        </is>
      </c>
      <c r="G22" s="718" t="n"/>
    </row>
    <row r="23" ht="15.75" customHeight="1">
      <c r="A23" s="351" t="n">
        <v>4</v>
      </c>
      <c r="B23" s="168" t="inlineStr">
        <is>
          <t>Структурирование всех чатов</t>
        </is>
      </c>
      <c r="C23" s="168" t="inlineStr">
        <is>
          <t>Лиза</t>
        </is>
      </c>
      <c r="D23" s="312" t="inlineStr">
        <is>
          <t xml:space="preserve">03.08.2026 </t>
        </is>
      </c>
      <c r="E23" s="170" t="n"/>
      <c r="F23" s="405" t="inlineStr">
        <is>
          <t>лишние назвать Старыми</t>
        </is>
      </c>
      <c r="G23" s="718" t="n"/>
    </row>
    <row r="24" ht="52.5" customHeight="1">
      <c r="A24" s="352" t="n">
        <v>5</v>
      </c>
      <c r="B24" s="161" t="inlineStr">
        <is>
          <t xml:space="preserve">Старт обзвона по проектным решениям </t>
        </is>
      </c>
      <c r="C24" s="161" t="inlineStr">
        <is>
          <t>Женя</t>
        </is>
      </c>
      <c r="D24" s="166" t="n"/>
      <c r="E24" s="172" t="n"/>
      <c r="F24" s="407" t="inlineStr">
        <is>
          <t xml:space="preserve">нужен список; скрипт; если это проект, то как работаем с ЦСВ - если проект, то сразу встреча включаться будет Оксана и Маша. Первичный этап с Антоном. </t>
        </is>
      </c>
      <c r="G24" s="718" t="n"/>
    </row>
    <row r="25" ht="15.75" customHeight="1">
      <c r="A25" s="351" t="n">
        <v>6</v>
      </c>
      <c r="B25" s="168" t="inlineStr">
        <is>
          <t>Лизе зарегистрироваться в МАКС</t>
        </is>
      </c>
      <c r="C25" s="168" t="inlineStr">
        <is>
          <t>Лиза</t>
        </is>
      </c>
      <c r="D25" s="173" t="n">
        <v>46206</v>
      </c>
      <c r="E25" s="170" t="n"/>
      <c r="F25" s="748" t="n"/>
      <c r="G25" s="718" t="n"/>
    </row>
    <row r="26" ht="14.25" customHeight="1">
      <c r="A26" s="352" t="n"/>
      <c r="B26" s="161" t="n"/>
      <c r="C26" s="161" t="n"/>
      <c r="D26" s="162" t="n"/>
      <c r="E26" s="172" t="n"/>
      <c r="F26" s="748" t="n"/>
      <c r="G26" s="718" t="n"/>
    </row>
    <row r="27" ht="14.25" customHeight="1">
      <c r="A27" s="351" t="n"/>
      <c r="B27" s="168" t="n"/>
      <c r="C27" s="168" t="n"/>
      <c r="D27" s="173" t="n"/>
      <c r="E27" s="170" t="n"/>
      <c r="F27" s="748" t="n"/>
      <c r="G27" s="718" t="n"/>
    </row>
    <row r="28">
      <c r="A28" s="741" t="inlineStr">
        <is>
          <t>3. Обсуждаемые темы и выводы:</t>
        </is>
      </c>
      <c r="G28" s="742" t="n"/>
    </row>
    <row r="29" ht="13.5" customHeight="1">
      <c r="A29" s="299" t="inlineStr">
        <is>
          <t>Обсуждаемая тема (проблема)</t>
        </is>
      </c>
      <c r="B29" s="717" t="n"/>
      <c r="C29" s="718" t="n"/>
      <c r="D29" s="299" t="inlineStr">
        <is>
          <t>Выводы и решения</t>
        </is>
      </c>
      <c r="E29" s="717" t="n"/>
      <c r="F29" s="717" t="n"/>
      <c r="G29" s="718" t="n"/>
    </row>
    <row r="30" ht="32.25" customHeight="1">
      <c r="A30" s="308" t="inlineStr">
        <is>
          <t>1. Оставляем ли акцию "При покупке пакета титулов от 1 000 штук - бесплатная настройка рабочего места"</t>
        </is>
      </c>
      <c r="B30" s="717" t="n"/>
      <c r="C30" s="718" t="n"/>
      <c r="D30" s="308" t="inlineStr">
        <is>
          <t>Акцию необходимо продолжить и оставить до 30 августа, от нее идет хороший трафик</t>
        </is>
      </c>
      <c r="E30" s="717" t="n"/>
      <c r="F30" s="717" t="n"/>
      <c r="G30" s="718" t="n"/>
    </row>
    <row r="31" ht="30.75" customHeight="1">
      <c r="A31" s="308" t="inlineStr">
        <is>
          <t>2. Рекламная кампания - запускаем ли мы её с августа?</t>
        </is>
      </c>
      <c r="B31" s="717" t="n"/>
      <c r="C31" s="718" t="n"/>
      <c r="D31" s="308" t="n"/>
      <c r="E31" s="717" t="n"/>
      <c r="F31" s="717" t="n"/>
      <c r="G31" s="718" t="n"/>
    </row>
    <row r="32" ht="62.25" customHeight="1">
      <c r="A32" s="308" t="inlineStr">
        <is>
          <t>3. Участие в акции от Калуги: вопросы и решения</t>
        </is>
      </c>
      <c r="B32" s="717" t="n"/>
      <c r="C32" s="718" t="n"/>
      <c r="D32" s="308" t="inlineStr">
        <is>
          <t>1. Четко под запись узнать у Калуги: "Как все это работает", иначе - риск потери клиентов, 
2.В случае покупки пакета титулов клиентом у Калуги, зачисляется ли трафик партнеру? 
3. При регистрации клиента по реферальной ссылке, они падают в ?таблицу?, в которую мы можем перейти по ссылке, спустя какое время они передаются на другого партнера? как работает механизм?</t>
        </is>
      </c>
      <c r="E32" s="717" t="n"/>
      <c r="F32" s="717" t="n"/>
      <c r="G32" s="718" t="n"/>
    </row>
    <row r="33" ht="27.75" customHeight="1">
      <c r="A33" s="308" t="inlineStr">
        <is>
          <t>4.Судьба решений по проектным решениям</t>
        </is>
      </c>
      <c r="B33" s="717" t="n"/>
      <c r="C33" s="718" t="n"/>
      <c r="D33" s="308" t="inlineStr">
        <is>
          <t>на след неделе должне стартануть обзвон, будет первая статистика</t>
        </is>
      </c>
      <c r="E33" s="717" t="n"/>
      <c r="F33" s="717" t="n"/>
      <c r="G33" s="718" t="n"/>
    </row>
    <row r="34" ht="48.75" customHeight="1">
      <c r="A34" s="289" t="inlineStr">
        <is>
          <t>5. прошу включить тему регистрации проданных ЭПД и ДОКи за форусом. Сейчас нет ответственного. часть оплативших клиентов не закреплены за форусом</t>
        </is>
      </c>
      <c r="B34" s="717" t="n"/>
      <c r="C34" s="718" t="n"/>
      <c r="D34" s="289" t="n"/>
      <c r="E34" s="717" t="n"/>
      <c r="F34" s="717" t="n"/>
      <c r="G34" s="718" t="n"/>
    </row>
    <row r="35" ht="47.25" customHeight="1">
      <c r="A35" s="289" t="n"/>
      <c r="B35" s="717" t="n"/>
      <c r="C35" s="718" t="n"/>
      <c r="D35" s="289" t="n"/>
      <c r="E35" s="717" t="n"/>
      <c r="F35" s="717" t="n"/>
      <c r="G35" s="718" t="n"/>
    </row>
    <row r="36" ht="14.25" customHeight="1">
      <c r="A36" s="235" t="n"/>
      <c r="D36" s="242" t="n"/>
    </row>
    <row r="37">
      <c r="A37" s="235" t="n"/>
      <c r="D37" s="242" t="n"/>
    </row>
    <row r="38">
      <c r="A38" s="235" t="n"/>
      <c r="D38" s="242" t="n"/>
    </row>
    <row r="39">
      <c r="A39" s="281" t="n"/>
      <c r="B39" s="281" t="n"/>
      <c r="C39" s="281" t="n"/>
    </row>
  </sheetData>
  <mergeCells count="45">
    <mergeCell ref="F11:G11"/>
    <mergeCell ref="A17:G17"/>
    <mergeCell ref="A37:C37"/>
    <mergeCell ref="F10:G10"/>
    <mergeCell ref="F19:G19"/>
    <mergeCell ref="F25:G25"/>
    <mergeCell ref="D30:G30"/>
    <mergeCell ref="F6:G6"/>
    <mergeCell ref="D33:G33"/>
    <mergeCell ref="D29:G29"/>
    <mergeCell ref="D38:G38"/>
    <mergeCell ref="A28:G28"/>
    <mergeCell ref="F7:G7"/>
    <mergeCell ref="F21:G21"/>
    <mergeCell ref="F12:G12"/>
    <mergeCell ref="A33:C33"/>
    <mergeCell ref="F24:G24"/>
    <mergeCell ref="F15:G15"/>
    <mergeCell ref="D35:G35"/>
    <mergeCell ref="A32:C32"/>
    <mergeCell ref="F5:G5"/>
    <mergeCell ref="F20:G20"/>
    <mergeCell ref="F18:G18"/>
    <mergeCell ref="D34:G34"/>
    <mergeCell ref="A29:C29"/>
    <mergeCell ref="A35:C35"/>
    <mergeCell ref="F26:G26"/>
    <mergeCell ref="A38:C38"/>
    <mergeCell ref="F8:G8"/>
    <mergeCell ref="D31:G31"/>
    <mergeCell ref="A1:G1"/>
    <mergeCell ref="D36:G36"/>
    <mergeCell ref="A31:C31"/>
    <mergeCell ref="F23:G23"/>
    <mergeCell ref="F22:G22"/>
    <mergeCell ref="A30:C30"/>
    <mergeCell ref="F13:G13"/>
    <mergeCell ref="A34:C34"/>
    <mergeCell ref="F27:G27"/>
    <mergeCell ref="F9:G9"/>
    <mergeCell ref="D32:G32"/>
    <mergeCell ref="A36:C36"/>
    <mergeCell ref="A3:G3"/>
    <mergeCell ref="F14:G14"/>
    <mergeCell ref="D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2024-11-07T07:51:35Z</dcterms:created>
  <dcterms:modified xmlns:dcterms="http://purl.org/dc/terms/" xmlns:xsi="http://www.w3.org/2001/XMLSchema-instance" xsi:type="dcterms:W3CDTF">2026-09-02T08:37:31Z</dcterms:modified>
</cp:coreProperties>
</file>