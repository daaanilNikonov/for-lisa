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160" yWindow="2260" windowWidth="28240" windowHeight="17240" tabRatio="600" firstSheet="0" activeTab="0" autoFilterDateGrouping="1"/>
  </bookViews>
  <sheets>
    <sheet name="Шаблон (новая встреча)" sheetId="1" state="visible" r:id="rId1"/>
    <sheet name="27.08.2026" sheetId="2" state="visible" r:id="rId2"/>
    <sheet name="20.08.2026" sheetId="3" state="visible" r:id="rId3"/>
    <sheet name="13.08.2026 (2)" sheetId="4" state="visible" r:id="rId4"/>
    <sheet name="24.07.2026" sheetId="5" state="visible" r:id="rId5"/>
    <sheet name="06.082026" sheetId="6" state="visible" r:id="rId6"/>
    <sheet name="30.07.2026" sheetId="7" state="visible" r:id="rId7"/>
  </sheets>
  <definedNames>
    <definedName name="_xlnm.Print_Titles" localSheetId="1">'27.08.2026'!$1:$2</definedName>
  </definedNames>
  <calcPr calcId="181029" fullCalcOnLoad="1"/>
</workbook>
</file>

<file path=xl/styles.xml><?xml version="1.0" encoding="utf-8"?>
<styleSheet xmlns="http://schemas.openxmlformats.org/spreadsheetml/2006/main">
  <numFmts count="7">
    <numFmt numFmtId="164" formatCode="dd\.mm"/>
    <numFmt numFmtId="165" formatCode="dd\.mm\.yyyy"/>
    <numFmt numFmtId="166" formatCode="0.0"/>
    <numFmt numFmtId="167" formatCode="dd\.mm\.yyyy h:mm"/>
    <numFmt numFmtId="168" formatCode="0.0%"/>
    <numFmt numFmtId="169" formatCode="#,##0&quot; клиент.&quot;"/>
    <numFmt numFmtId="170" formatCode="#,##0&quot; ₽&quot;"/>
  </numFmts>
  <fonts count="52">
    <font>
      <name val="Arimo"/>
      <family val="2"/>
      <color theme="1"/>
      <sz val="10"/>
    </font>
    <font>
      <b val="1"/>
      <sz val="15"/>
    </font>
    <font>
      <b val="1"/>
      <sz val="13"/>
    </font>
    <font>
      <b val="1"/>
    </font>
    <font>
      <b val="1"/>
      <sz val="16"/>
    </font>
    <font>
      <sz val="16"/>
    </font>
    <font>
      <name val="Arimo"/>
      <family val="2"/>
      <color theme="1"/>
      <sz val="12"/>
    </font>
    <font>
      <name val="Arimo"/>
      <family val="2"/>
      <color theme="1"/>
      <sz val="11"/>
    </font>
    <font>
      <sz val="12"/>
    </font>
    <font>
      <sz val="11"/>
    </font>
    <font>
      <sz val="10"/>
    </font>
    <font>
      <sz val="14"/>
    </font>
    <font>
      <b val="1"/>
      <sz val="11"/>
    </font>
    <font>
      <b val="1"/>
      <sz val="12"/>
    </font>
    <font>
      <b val="1"/>
      <sz val="14"/>
    </font>
    <font>
      <b val="1"/>
      <sz val="400"/>
    </font>
    <font>
      <sz val="12"/>
    </font>
    <font>
      <color rgb="FF2F69C7"/>
      <sz val="12"/>
      <u val="single"/>
    </font>
    <font>
      <sz val="12"/>
    </font>
    <font>
      <name val="Arial"/>
      <sz val="10"/>
    </font>
    <font>
      <color rgb="FF0066CC"/>
      <sz val="10"/>
      <u val="single"/>
    </font>
    <font>
      <name val="Arial"/>
      <color rgb="FF0563C1"/>
      <sz val="10"/>
      <u val="single"/>
    </font>
    <font>
      <color rgb="FF0000FF"/>
      <sz val="10"/>
      <u val="single"/>
    </font>
    <font>
      <color rgb="FF0066CC"/>
      <sz val="10"/>
    </font>
    <font>
      <name val="Arial"/>
      <color rgb="FF0563C1"/>
      <sz val="10"/>
    </font>
    <font>
      <color rgb="FF0000FF"/>
      <sz val="10"/>
    </font>
    <font>
      <name val="Arial"/>
      <color rgb="FF2F69C7"/>
      <sz val="10"/>
      <u val="single"/>
    </font>
    <font>
      <name val="Arial"/>
      <sz val="10"/>
    </font>
    <font/>
    <font>
      <name val="Calibri"/>
      <b val="1"/>
      <color rgb="00FFFFFF"/>
      <sz val="16"/>
    </font>
    <font>
      <name val="Calibri"/>
      <color rgb="001F4E79"/>
      <sz val="11"/>
    </font>
    <font>
      <name val="Calibri"/>
      <b val="1"/>
      <color rgb="00FFFFFF"/>
      <sz val="13"/>
    </font>
    <font>
      <name val="Calibri"/>
      <b val="1"/>
      <color rgb="007F7F7F"/>
      <sz val="10"/>
    </font>
    <font>
      <name val="Calibri"/>
      <b val="1"/>
      <color rgb="001F4E79"/>
      <sz val="18"/>
    </font>
    <font>
      <name val="Calibri"/>
      <b val="1"/>
      <color rgb="00548235"/>
      <sz val="18"/>
    </font>
    <font>
      <name val="Calibri"/>
      <b val="1"/>
      <color rgb="00C65911"/>
      <sz val="18"/>
    </font>
    <font>
      <name val="Calibri"/>
      <color rgb="007F7F7F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  <color rgb="001F4E79"/>
      <sz val="12"/>
    </font>
    <font>
      <name val="Calibri"/>
      <b val="1"/>
      <color rgb="00548235"/>
      <sz val="12"/>
    </font>
    <font>
      <name val="Calibri"/>
      <b val="1"/>
      <color rgb="00000000"/>
      <sz val="11"/>
    </font>
    <font>
      <name val="Calibri"/>
      <color rgb="00000000"/>
      <sz val="10"/>
    </font>
    <font>
      <name val="Calibri"/>
      <color rgb="007F7F7F"/>
      <sz val="8"/>
    </font>
    <font>
      <name val="Calibri"/>
      <b val="1"/>
      <color rgb="00FFFFFF"/>
      <sz val="12"/>
    </font>
    <font>
      <name val="Calibri"/>
      <b val="1"/>
      <color rgb="00548235"/>
      <sz val="10"/>
    </font>
    <font>
      <name val="Calibri"/>
      <b val="1"/>
      <color rgb="00C65911"/>
      <sz val="10"/>
    </font>
    <font>
      <name val="Calibri"/>
      <b val="1"/>
      <color rgb="001F4E79"/>
      <sz val="10"/>
    </font>
    <font>
      <name val="Calibri"/>
      <b val="1"/>
      <color rgb="00FFFFFF"/>
      <sz val="9"/>
    </font>
    <font>
      <name val="Calibri"/>
      <color rgb="001F4E79"/>
      <sz val="10"/>
    </font>
    <font>
      <name val="Calibri"/>
      <b val="1"/>
      <color rgb="001F4E79"/>
      <sz val="16"/>
    </font>
  </fonts>
  <fills count="43">
    <fill>
      <patternFill/>
    </fill>
    <fill>
      <patternFill patternType="gray125"/>
    </fill>
    <fill>
      <patternFill patternType="solid">
        <fgColor rgb="FFFF9900"/>
      </patternFill>
    </fill>
    <fill>
      <patternFill patternType="solid">
        <fgColor rgb="FFC9DAF8"/>
      </patternFill>
    </fill>
    <fill>
      <patternFill patternType="solid">
        <fgColor rgb="FFECECEC"/>
      </patternFill>
    </fill>
    <fill>
      <patternFill patternType="solid">
        <fgColor rgb="FF8BC34A"/>
      </patternFill>
    </fill>
    <fill>
      <patternFill patternType="solid">
        <fgColor rgb="FFFFFFFF"/>
      </patternFill>
    </fill>
    <fill>
      <patternFill patternType="solid">
        <fgColor rgb="FFE2EFD9"/>
      </patternFill>
    </fill>
    <fill>
      <patternFill patternType="solid">
        <f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A8DCFF"/>
        <bgColor rgb="FFA8DCFF"/>
      </patternFill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  <fill>
      <patternFill patternType="solid">
        <fgColor rgb="FF8BC34A"/>
        <bgColor rgb="FF8BC34A"/>
      </patternFill>
    </fill>
    <fill>
      <patternFill patternType="solid">
        <fgColor rgb="FFECECEC"/>
        <bgColor rgb="FFECECEC"/>
      </patternFill>
    </fill>
    <fill>
      <patternFill patternType="solid">
        <fgColor rgb="FFFF6964"/>
        <bgColor rgb="FFFF6964"/>
      </patternFill>
    </fill>
    <fill>
      <patternFill patternType="solid">
        <fgColor rgb="FFF4B083"/>
      </patternFill>
    </fill>
    <fill>
      <patternFill patternType="solid">
        <fgColor rgb="001F4E79"/>
      </patternFill>
    </fill>
    <fill>
      <patternFill patternType="solid">
        <fgColor rgb="00EEF4FA"/>
      </patternFill>
    </fill>
    <fill>
      <patternFill patternType="solid">
        <fgColor rgb="002F69C7"/>
      </patternFill>
    </fill>
    <fill>
      <patternFill patternType="solid">
        <fgColor rgb="00D6E3F0"/>
      </patternFill>
    </fill>
    <fill>
      <patternFill patternType="solid">
        <fgColor rgb="00E2EFD9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FFFFFF"/>
      </patternFill>
    </fill>
    <fill>
      <patternFill patternType="solid">
        <fgColor rgb="00C65911"/>
      </patternFill>
    </fill>
    <fill>
      <patternFill patternType="solid">
        <fgColor rgb="00FFF8E7"/>
      </patternFill>
    </fill>
    <fill>
      <patternFill patternType="solid">
        <fgColor rgb="00DDEBF7"/>
      </patternFill>
    </fill>
    <fill>
      <patternFill patternType="solid">
        <fgColor rgb="005B9BD5"/>
      </patternFill>
    </fill>
    <fill>
      <patternFill patternType="solid">
        <fgColor rgb="00F5F9FC"/>
      </patternFill>
    </fill>
    <fill>
      <patternFill patternType="solid">
        <fgColor rgb="00E2EFDA"/>
      </patternFill>
    </fill>
    <fill>
      <patternFill patternType="solid">
        <fgColor rgb="0070AD47"/>
      </patternFill>
    </fill>
    <fill>
      <patternFill patternType="solid">
        <fgColor rgb="00ED7D31"/>
      </patternFill>
    </fill>
    <fill>
      <patternFill patternType="solid">
        <fgColor rgb="00F8CBAD"/>
      </patternFill>
    </fill>
    <fill>
      <patternFill patternType="solid">
        <fgColor rgb="009E480E"/>
      </patternFill>
    </fill>
    <fill>
      <patternFill patternType="solid">
        <fgColor rgb="00E2D5F1"/>
      </patternFill>
    </fill>
    <fill>
      <patternFill patternType="solid">
        <fgColor rgb="007030A0"/>
      </patternFill>
    </fill>
    <fill>
      <patternFill patternType="solid">
        <fgColor rgb="00F8D7DA"/>
      </patternFill>
    </fill>
    <fill>
      <patternFill patternType="solid">
        <fgColor rgb="00C00000"/>
      </patternFill>
    </fill>
    <fill>
      <patternFill patternType="solid">
        <fgColor rgb="00D6F0FA"/>
      </patternFill>
    </fill>
    <fill>
      <patternFill patternType="solid">
        <fgColor rgb="0000B0F0"/>
      </patternFill>
    </fill>
  </fills>
  <borders count="6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right style="thin">
        <color rgb="FF000000"/>
      </right>
      <bottom style="thin"/>
    </border>
    <border>
      <left style="thin">
        <color rgb="FF000000"/>
      </left>
      <right style="thin"/>
      <bottom style="thin">
        <color rgb="FF000000"/>
      </bottom>
    </border>
    <border>
      <left style="thin"/>
      <right style="thin"/>
      <top style="thin"/>
      <bottom style="thin"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 style="thin"/>
      <right style="thin"/>
      <top style="thin"/>
      <bottom style="thin">
        <color rgb="FF000000"/>
      </bottom>
    </border>
    <border>
      <left style="thin"/>
      <right style="thin"/>
      <top>
        <color rgb="FF000000"/>
      </top>
      <bottom>
        <color rgb="FF000000"/>
      </bottom>
    </border>
    <border>
      <left style="thin"/>
      <right style="thin"/>
      <top>
        <color rgb="FF000000"/>
      </top>
      <bottom style="thin"/>
    </border>
    <border>
      <right style="thin"/>
      <bottom style="thin">
        <color rgb="FF000000"/>
      </bottom>
    </border>
    <border>
      <left style="thin">
        <color rgb="FF000000"/>
      </left>
      <right style="thin">
        <color rgb="FF000000"/>
      </right>
      <bottom style="thin"/>
    </border>
    <border>
      <bottom style="thin"/>
    </border>
    <border>
      <left/>
      <right/>
      <top/>
      <bottom style="thin"/>
    </border>
    <border>
      <left/>
      <right style="thin">
        <color rgb="FF000000"/>
      </right>
      <top/>
      <bottom style="thin"/>
    </border>
    <border>
      <left style="thin"/>
      <right/>
      <top style="thin"/>
      <bottom/>
    </border>
    <border>
      <left/>
      <right/>
      <top style="thin"/>
      <bottom/>
    </border>
    <border>
      <left/>
      <right style="thin"/>
      <top style="thin"/>
      <bottom/>
    </border>
    <border>
      <left style="thin"/>
      <right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/>
      <top/>
      <bottom style="thin"/>
    </border>
    <border>
      <left/>
      <right style="thin"/>
      <top/>
      <bottom style="thin"/>
    </border>
    <border>
      <left style="thin">
        <color rgb="FF000000"/>
      </left>
      <right/>
      <top/>
      <bottom style="thin"/>
    </border>
    <border>
      <left/>
      <right style="thin">
        <color rgb="FF000000"/>
      </right>
      <top/>
      <bottom/>
    </border>
    <border>
      <left style="thin"/>
      <right/>
      <top style="thin"/>
      <bottom style="thin"/>
    </border>
    <border>
      <left style="thin">
        <color rgb="FF000000"/>
      </left>
      <right style="thin"/>
      <bottom style="thin"/>
    </border>
    <border>
      <left/>
      <right style="thin"/>
      <top style="thin"/>
      <bottom style="thin"/>
    </border>
    <border>
      <left style="thin">
        <color rgb="FF000000"/>
      </left>
      <right/>
      <top/>
      <bottom/>
    </border>
    <border>
      <left/>
      <right/>
      <top style="thin"/>
      <bottom style="thin"/>
    </border>
    <border>
      <left style="thin">
        <color rgb="FF000000"/>
      </left>
      <right style="thin"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/>
    </border>
    <border>
      <left style="thin">
        <color rgb="FF000000"/>
      </left>
      <right style="thin"/>
      <top style="thin">
        <color rgb="FF000000"/>
      </top>
      <bottom style="thin"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/>
      <top/>
      <bottom/>
    </border>
    <border>
      <left/>
      <right style="thin"/>
      <top/>
      <bottom/>
      <diagonal/>
    </border>
    <border>
      <left/>
      <right style="thin">
        <color rgb="FF000000"/>
      </right>
      <top/>
      <bottom style="thin"/>
      <diagonal/>
    </border>
    <border>
      <left style="thin">
        <color rgb="FF000000"/>
      </left>
      <right style="thin">
        <color rgb="FF000000"/>
      </right>
      <top/>
      <bottom style="thin"/>
    </border>
    <border>
      <left/>
      <right/>
      <top/>
      <bottom style="thin"/>
      <diagonal/>
    </border>
    <border/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>
        <color rgb="00B0B0B0"/>
      </left>
      <right/>
      <top/>
      <bottom/>
      <diagonal/>
    </border>
    <border>
      <left style="thin">
        <color rgb="00B0B0B0"/>
      </left>
      <right style="thin">
        <color rgb="00B0B0B0"/>
      </right>
      <top/>
      <bottom/>
      <diagonal/>
    </border>
    <border>
      <left style="thin">
        <color rgb="00B0B0B0"/>
      </left>
      <right style="thin">
        <color rgb="00B0B0B0"/>
      </right>
      <top/>
      <bottom style="thin">
        <color rgb="00B0B0B0"/>
      </bottom>
      <diagonal/>
    </border>
    <border>
      <left/>
      <right/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809">
    <xf numFmtId="0" fontId="0" fillId="0" borderId="0" pivotButton="0" quotePrefix="0" xfId="0"/>
    <xf numFmtId="0" fontId="1" fillId="2" borderId="1" applyAlignment="1" pivotButton="0" quotePrefix="0" xfId="0">
      <alignment horizontal="center" vertical="bottom"/>
    </xf>
    <xf numFmtId="0" fontId="0" fillId="3" borderId="2" applyAlignment="1" pivotButton="0" quotePrefix="0" xfId="0">
      <alignment vertical="bottom"/>
    </xf>
    <xf numFmtId="0" fontId="2" fillId="4" borderId="3" applyAlignment="1" pivotButton="0" quotePrefix="0" xfId="0">
      <alignment horizontal="center" vertical="bottom"/>
    </xf>
    <xf numFmtId="0" fontId="3" fillId="5" borderId="3" applyAlignment="1" pivotButton="0" quotePrefix="0" xfId="0">
      <alignment horizontal="center" vertical="bottom"/>
    </xf>
    <xf numFmtId="0" fontId="3" fillId="5" borderId="4" applyAlignment="1" pivotButton="0" quotePrefix="0" xfId="0">
      <alignment horizontal="center" vertical="bottom"/>
    </xf>
    <xf numFmtId="164" fontId="0" fillId="6" borderId="3" applyAlignment="1" pivotButton="0" quotePrefix="0" xfId="0">
      <alignment horizontal="center" vertical="bottom"/>
    </xf>
    <xf numFmtId="0" fontId="0" fillId="6" borderId="4" applyAlignment="1" pivotButton="0" quotePrefix="0" xfId="0">
      <alignment vertical="bottom"/>
    </xf>
    <xf numFmtId="0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vertical="bottom"/>
    </xf>
    <xf numFmtId="164" fontId="0" fillId="7" borderId="3" applyAlignment="1" pivotButton="0" quotePrefix="0" xfId="0">
      <alignment horizontal="center" vertical="bottom"/>
    </xf>
    <xf numFmtId="0" fontId="0" fillId="7" borderId="4" applyAlignment="1" pivotButton="0" quotePrefix="0" xfId="0">
      <alignment vertical="bottom"/>
    </xf>
    <xf numFmtId="0" fontId="0" fillId="7" borderId="4" applyAlignment="1" pivotButton="0" quotePrefix="0" xfId="0">
      <alignment horizontal="center" vertical="bottom"/>
    </xf>
    <xf numFmtId="0" fontId="0" fillId="7" borderId="4" applyAlignment="1" pivotButton="0" quotePrefix="0" xfId="0">
      <alignment vertical="bottom"/>
    </xf>
    <xf numFmtId="0" fontId="0" fillId="5" borderId="4" applyAlignment="1" pivotButton="0" quotePrefix="0" xfId="0">
      <alignment vertical="bottom"/>
    </xf>
    <xf numFmtId="165" fontId="0" fillId="6" borderId="4" applyAlignment="1" pivotButton="0" quotePrefix="0" xfId="0">
      <alignment horizontal="center" vertical="bottom"/>
    </xf>
    <xf numFmtId="165" fontId="0" fillId="7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7" borderId="4" applyAlignment="1" pivotButton="0" quotePrefix="0" xfId="0">
      <alignment vertical="top"/>
    </xf>
    <xf numFmtId="0" fontId="0" fillId="0" borderId="0" applyAlignment="1" pivotButton="0" quotePrefix="0" xfId="0">
      <alignment vertical="bottom"/>
    </xf>
    <xf numFmtId="0" fontId="1" fillId="2" borderId="5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0" fontId="2" fillId="4" borderId="8" applyAlignment="1" pivotButton="0" quotePrefix="0" xfId="0">
      <alignment horizontal="center" vertical="bottom"/>
    </xf>
    <xf numFmtId="0" fontId="0" fillId="0" borderId="9" pivotButton="0" quotePrefix="0" xfId="0"/>
    <xf numFmtId="0" fontId="0" fillId="0" borderId="10" pivotButton="0" quotePrefix="0" xfId="0"/>
    <xf numFmtId="0" fontId="1" fillId="9" borderId="5" applyAlignment="1" pivotButton="0" quotePrefix="0" xfId="0">
      <alignment horizontal="center" vertical="bottom"/>
    </xf>
    <xf numFmtId="0" fontId="0" fillId="9" borderId="6" pivotButton="0" quotePrefix="0" xfId="0"/>
    <xf numFmtId="0" fontId="0" fillId="9" borderId="7" pivotButton="0" quotePrefix="0" xfId="0"/>
    <xf numFmtId="0" fontId="1" fillId="10" borderId="5" applyAlignment="1" pivotButton="0" quotePrefix="0" xfId="0">
      <alignment horizontal="center" vertical="bottom"/>
    </xf>
    <xf numFmtId="0" fontId="0" fillId="10" borderId="6" pivotButton="0" quotePrefix="0" xfId="0"/>
    <xf numFmtId="0" fontId="0" fillId="10" borderId="7" pivotButton="0" quotePrefix="0" xfId="0"/>
    <xf numFmtId="0" fontId="0" fillId="11" borderId="4" applyAlignment="1" pivotButton="0" quotePrefix="0" xfId="0">
      <alignment horizontal="center" vertical="bottom"/>
    </xf>
    <xf numFmtId="0" fontId="0" fillId="12" borderId="4" applyAlignment="1" pivotButton="0" quotePrefix="0" xfId="0">
      <alignment horizontal="center" vertical="bottom"/>
    </xf>
    <xf numFmtId="0" fontId="4" fillId="10" borderId="5" applyAlignment="1" pivotButton="0" quotePrefix="0" xfId="0">
      <alignment horizontal="center" vertical="bottom"/>
    </xf>
    <xf numFmtId="0" fontId="5" fillId="10" borderId="6" pivotButton="0" quotePrefix="0" xfId="0"/>
    <xf numFmtId="0" fontId="5" fillId="10" borderId="7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3" fillId="5" borderId="11" applyAlignment="1" pivotButton="0" quotePrefix="0" xfId="0">
      <alignment horizontal="center" vertical="bottom"/>
    </xf>
    <xf numFmtId="164" fontId="0" fillId="6" borderId="12" applyAlignment="1" pivotButton="0" quotePrefix="0" xfId="0">
      <alignment horizontal="center" vertical="bottom"/>
    </xf>
    <xf numFmtId="0" fontId="7" fillId="0" borderId="13" applyAlignment="1" pivotButton="0" quotePrefix="0" xfId="0">
      <alignment wrapText="1"/>
    </xf>
    <xf numFmtId="0" fontId="0" fillId="0" borderId="1" pivotButton="0" quotePrefix="0" xfId="0"/>
    <xf numFmtId="0" fontId="0" fillId="0" borderId="14" pivotButton="0" quotePrefix="0" xfId="0"/>
    <xf numFmtId="0" fontId="8" fillId="0" borderId="1" pivotButton="0" quotePrefix="0" xfId="0"/>
    <xf numFmtId="0" fontId="8" fillId="0" borderId="14" pivotButton="0" quotePrefix="0" xfId="0"/>
    <xf numFmtId="0" fontId="9" fillId="0" borderId="1" pivotButton="0" quotePrefix="0" xfId="0"/>
    <xf numFmtId="0" fontId="9" fillId="0" borderId="14" pivotButton="0" quotePrefix="0" xfId="0"/>
    <xf numFmtId="0" fontId="10" fillId="0" borderId="1" pivotButton="0" quotePrefix="0" xfId="0"/>
    <xf numFmtId="0" fontId="10" fillId="0" borderId="14" pivotButton="0" quotePrefix="0" xfId="0"/>
    <xf numFmtId="0" fontId="10" fillId="0" borderId="1" applyAlignment="1" pivotButton="0" quotePrefix="0" xfId="0">
      <alignment wrapText="1"/>
    </xf>
    <xf numFmtId="0" fontId="10" fillId="0" borderId="14" applyAlignment="1" pivotButton="0" quotePrefix="0" xfId="0">
      <alignment wrapText="1"/>
    </xf>
    <xf numFmtId="164" fontId="0" fillId="7" borderId="12" applyAlignment="1" pivotButton="0" quotePrefix="0" xfId="0">
      <alignment horizontal="center" vertical="bottom"/>
    </xf>
    <xf numFmtId="0" fontId="10" fillId="0" borderId="15" applyAlignment="1" pivotButton="0" quotePrefix="0" xfId="0">
      <alignment wrapText="1"/>
    </xf>
    <xf numFmtId="0" fontId="10" fillId="0" borderId="16" applyAlignment="1" pivotButton="0" quotePrefix="0" xfId="0">
      <alignment wrapText="1"/>
    </xf>
    <xf numFmtId="0" fontId="10" fillId="0" borderId="17" applyAlignment="1" pivotButton="0" quotePrefix="0" xfId="0">
      <alignment wrapText="1"/>
    </xf>
    <xf numFmtId="0" fontId="10" fillId="0" borderId="13" applyAlignment="1" pivotButton="0" quotePrefix="0" xfId="0">
      <alignment wrapText="1"/>
    </xf>
    <xf numFmtId="0" fontId="11" fillId="0" borderId="14" pivotButton="0" quotePrefix="0" xfId="0"/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11" fillId="0" borderId="14" applyAlignment="1" pivotButton="0" quotePrefix="0" xfId="0">
      <alignment wrapText="1"/>
    </xf>
    <xf numFmtId="0" fontId="8" fillId="0" borderId="1" applyAlignment="1" pivotButton="0" quotePrefix="0" xfId="0">
      <alignment wrapText="1"/>
    </xf>
    <xf numFmtId="0" fontId="8" fillId="0" borderId="14" applyAlignment="1" pivotButton="0" quotePrefix="0" xfId="0">
      <alignment wrapText="1"/>
    </xf>
    <xf numFmtId="0" fontId="9" fillId="0" borderId="1" applyAlignment="1" pivotButton="0" quotePrefix="0" xfId="0">
      <alignment wrapText="1"/>
    </xf>
    <xf numFmtId="0" fontId="9" fillId="0" borderId="14" applyAlignment="1" pivotButton="0" quotePrefix="0" xfId="0">
      <alignment wrapText="1"/>
    </xf>
    <xf numFmtId="0" fontId="0" fillId="6" borderId="11" applyAlignment="1" pivotButton="0" quotePrefix="0" xfId="0">
      <alignment horizontal="center" vertical="bottom"/>
    </xf>
    <xf numFmtId="0" fontId="0" fillId="6" borderId="4" applyAlignment="1" pivotButton="0" quotePrefix="0" xfId="0">
      <alignment vertical="bottom" wrapText="1"/>
    </xf>
    <xf numFmtId="0" fontId="0" fillId="6" borderId="9" applyAlignment="1" pivotButton="0" quotePrefix="0" xfId="0">
      <alignment vertical="bottom"/>
    </xf>
    <xf numFmtId="0" fontId="0" fillId="6" borderId="10" applyAlignment="1" pivotButton="0" quotePrefix="0" xfId="0">
      <alignment vertical="bottom"/>
    </xf>
    <xf numFmtId="0" fontId="0" fillId="6" borderId="9" applyAlignment="1" pivotButton="0" quotePrefix="0" xfId="0">
      <alignment horizontal="center" vertical="bottom"/>
    </xf>
    <xf numFmtId="164" fontId="0" fillId="12" borderId="12" applyAlignment="1" pivotButton="0" quotePrefix="0" xfId="0">
      <alignment horizontal="center" vertical="bottom"/>
    </xf>
    <xf numFmtId="0" fontId="10" fillId="12" borderId="13" applyAlignment="1" pivotButton="0" quotePrefix="0" xfId="0">
      <alignment wrapText="1"/>
    </xf>
    <xf numFmtId="165" fontId="0" fillId="12" borderId="4" applyAlignment="1" pivotButton="0" quotePrefix="0" xfId="0">
      <alignment horizontal="center" vertical="bottom"/>
    </xf>
    <xf numFmtId="0" fontId="0" fillId="12" borderId="0" pivotButton="0" quotePrefix="0" xfId="0"/>
    <xf numFmtId="0" fontId="0" fillId="12" borderId="9" applyAlignment="1" pivotButton="0" quotePrefix="0" xfId="0">
      <alignment horizontal="center" vertical="bottom"/>
    </xf>
    <xf numFmtId="0" fontId="0" fillId="12" borderId="10" applyAlignment="1" pivotButton="0" quotePrefix="0" xfId="0">
      <alignment vertical="bottom"/>
    </xf>
    <xf numFmtId="0" fontId="0" fillId="12" borderId="4" applyAlignment="1" pivotButton="0" quotePrefix="0" xfId="0">
      <alignment vertical="bottom"/>
    </xf>
    <xf numFmtId="0" fontId="0" fillId="5" borderId="11" applyAlignment="1" pivotButton="0" quotePrefix="0" xfId="0">
      <alignment vertical="bottom"/>
    </xf>
    <xf numFmtId="0" fontId="0" fillId="6" borderId="18" applyAlignment="1" pivotButton="0" quotePrefix="0" xfId="0">
      <alignment horizontal="center" vertical="bottom"/>
    </xf>
    <xf numFmtId="0" fontId="0" fillId="0" borderId="13" pivotButton="0" quotePrefix="0" xfId="0"/>
    <xf numFmtId="0" fontId="0" fillId="12" borderId="18" applyAlignment="1" pivotButton="0" quotePrefix="0" xfId="0">
      <alignment horizontal="center" vertical="bottom"/>
    </xf>
    <xf numFmtId="0" fontId="0" fillId="12" borderId="13" pivotButton="0" quotePrefix="0" xfId="0"/>
    <xf numFmtId="0" fontId="0" fillId="11" borderId="18" applyAlignment="1" pivotButton="0" quotePrefix="0" xfId="0">
      <alignment horizontal="center" vertical="bottom"/>
    </xf>
    <xf numFmtId="0" fontId="0" fillId="6" borderId="13" applyAlignment="1" pivotButton="0" quotePrefix="0" xfId="0">
      <alignment horizontal="center" vertical="bottom"/>
    </xf>
    <xf numFmtId="0" fontId="0" fillId="6" borderId="13" applyAlignment="1" pivotButton="0" quotePrefix="0" xfId="0">
      <alignment vertical="bottom"/>
    </xf>
    <xf numFmtId="0" fontId="0" fillId="12" borderId="13" applyAlignment="1" pivotButton="0" quotePrefix="0" xfId="0">
      <alignment horizontal="center" vertical="bottom"/>
    </xf>
    <xf numFmtId="0" fontId="0" fillId="12" borderId="13" applyAlignment="1" pivotButton="0" quotePrefix="0" xfId="0">
      <alignment vertical="bottom"/>
    </xf>
    <xf numFmtId="0" fontId="10" fillId="12" borderId="13" applyAlignment="1" pivotButton="0" quotePrefix="0" xfId="0">
      <alignment horizontal="center" wrapText="1"/>
    </xf>
    <xf numFmtId="0" fontId="10" fillId="0" borderId="13" applyAlignment="1" pivotButton="0" quotePrefix="0" xfId="0">
      <alignment horizontal="center" wrapText="1"/>
    </xf>
    <xf numFmtId="0" fontId="3" fillId="0" borderId="2" applyAlignment="1" pivotButton="0" quotePrefix="0" xfId="0">
      <alignment horizontal="left"/>
    </xf>
    <xf numFmtId="0" fontId="0" fillId="0" borderId="2" pivotButton="0" quotePrefix="0" xfId="0"/>
    <xf numFmtId="0" fontId="3" fillId="0" borderId="2" pivotButton="0" quotePrefix="0" xfId="0"/>
    <xf numFmtId="165" fontId="3" fillId="0" borderId="2" pivotButton="0" quotePrefix="0" xfId="0"/>
    <xf numFmtId="0" fontId="3" fillId="0" borderId="2" applyAlignment="1" pivotButton="0" quotePrefix="0" xfId="0">
      <alignment horizontal="left" wrapText="1"/>
    </xf>
    <xf numFmtId="0" fontId="0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5" fontId="3" fillId="0" borderId="2" applyAlignment="1" pivotButton="0" quotePrefix="0" xfId="0">
      <alignment wrapText="1"/>
    </xf>
    <xf numFmtId="0" fontId="0" fillId="13" borderId="2" applyAlignment="1" pivotButton="0" quotePrefix="0" xfId="0">
      <alignment wrapText="1"/>
    </xf>
    <xf numFmtId="0" fontId="0" fillId="13" borderId="2" pivotButton="0" quotePrefix="0" xfId="0"/>
    <xf numFmtId="165" fontId="3" fillId="13" borderId="2" applyAlignment="1" pivotButton="0" quotePrefix="0" xfId="0">
      <alignment wrapText="1"/>
    </xf>
    <xf numFmtId="0" fontId="0" fillId="12" borderId="2" applyAlignment="1" pivotButton="0" quotePrefix="0" xfId="0">
      <alignment wrapText="1"/>
    </xf>
    <xf numFmtId="0" fontId="0" fillId="12" borderId="2" pivotButton="0" quotePrefix="0" xfId="0"/>
    <xf numFmtId="165" fontId="3" fillId="12" borderId="2" applyAlignment="1" pivotButton="0" quotePrefix="0" xfId="0">
      <alignment wrapText="1"/>
    </xf>
    <xf numFmtId="0" fontId="3" fillId="12" borderId="2" applyAlignment="1" pivotButton="0" quotePrefix="0" xfId="0">
      <alignment wrapText="1"/>
    </xf>
    <xf numFmtId="164" fontId="0" fillId="14" borderId="3" applyAlignment="1" pivotButton="0" quotePrefix="0" xfId="0">
      <alignment horizontal="center" vertical="bottom"/>
    </xf>
    <xf numFmtId="0" fontId="0" fillId="14" borderId="2" applyAlignment="1" pivotButton="0" quotePrefix="0" xfId="0">
      <alignment wrapText="1"/>
    </xf>
    <xf numFmtId="0" fontId="0" fillId="14" borderId="2" pivotButton="0" quotePrefix="0" xfId="0"/>
    <xf numFmtId="0" fontId="0" fillId="14" borderId="4" applyAlignment="1" pivotButton="0" quotePrefix="0" xfId="0">
      <alignment vertical="bottom"/>
    </xf>
    <xf numFmtId="0" fontId="3" fillId="5" borderId="19" applyAlignment="1" pivotButton="0" quotePrefix="0" xfId="0">
      <alignment horizontal="center" vertical="bottom"/>
    </xf>
    <xf numFmtId="164" fontId="0" fillId="6" borderId="13" applyAlignment="1" pivotButton="0" quotePrefix="0" xfId="0">
      <alignment horizontal="center" vertical="bottom"/>
    </xf>
    <xf numFmtId="0" fontId="3" fillId="0" borderId="13" applyAlignment="1" pivotButton="0" quotePrefix="0" xfId="0">
      <alignment horizontal="left" wrapText="1"/>
    </xf>
    <xf numFmtId="0" fontId="3" fillId="0" borderId="13" applyAlignment="1" pivotButton="0" quotePrefix="0" xfId="0">
      <alignment horizontal="left"/>
    </xf>
    <xf numFmtId="0" fontId="0" fillId="6" borderId="13" applyAlignment="1" pivotButton="0" quotePrefix="0" xfId="0">
      <alignment vertical="bottom"/>
    </xf>
    <xf numFmtId="164" fontId="0" fillId="7" borderId="13" applyAlignment="1" pivotButton="0" quotePrefix="0" xfId="0">
      <alignment horizontal="center" vertical="bottom"/>
    </xf>
    <xf numFmtId="0" fontId="0" fillId="12" borderId="13" applyAlignment="1" pivotButton="0" quotePrefix="0" xfId="0">
      <alignment wrapText="1"/>
    </xf>
    <xf numFmtId="0" fontId="0" fillId="7" borderId="13" applyAlignment="1" pivotButton="0" quotePrefix="0" xfId="0">
      <alignment vertical="bottom"/>
    </xf>
    <xf numFmtId="0" fontId="0" fillId="7" borderId="13" applyAlignment="1" pivotButton="0" quotePrefix="0" xfId="0">
      <alignment vertical="bottom"/>
    </xf>
    <xf numFmtId="0" fontId="0" fillId="0" borderId="13" applyAlignment="1" pivotButton="0" quotePrefix="0" xfId="0">
      <alignment wrapText="1"/>
    </xf>
    <xf numFmtId="0" fontId="3" fillId="0" borderId="13" applyAlignment="1" pivotButton="0" quotePrefix="0" xfId="0">
      <alignment wrapText="1"/>
    </xf>
    <xf numFmtId="0" fontId="3" fillId="12" borderId="13" applyAlignment="1" pivotButton="0" quotePrefix="0" xfId="0">
      <alignment wrapText="1"/>
    </xf>
    <xf numFmtId="165" fontId="3" fillId="0" borderId="13" applyAlignment="1" pivotButton="0" quotePrefix="0" xfId="0">
      <alignment wrapText="1"/>
    </xf>
    <xf numFmtId="164" fontId="0" fillId="14" borderId="13" applyAlignment="1" pivotButton="0" quotePrefix="0" xfId="0">
      <alignment horizontal="center" vertical="bottom"/>
    </xf>
    <xf numFmtId="0" fontId="0" fillId="14" borderId="13" applyAlignment="1" pivotButton="0" quotePrefix="0" xfId="0">
      <alignment wrapText="1"/>
    </xf>
    <xf numFmtId="0" fontId="0" fillId="14" borderId="13" pivotButton="0" quotePrefix="0" xfId="0"/>
    <xf numFmtId="0" fontId="0" fillId="14" borderId="13" applyAlignment="1" pivotButton="0" quotePrefix="0" xfId="0">
      <alignment vertical="bottom"/>
    </xf>
    <xf numFmtId="165" fontId="3" fillId="12" borderId="13" applyAlignment="1" pivotButton="0" quotePrefix="0" xfId="0">
      <alignment wrapText="1"/>
    </xf>
    <xf numFmtId="0" fontId="0" fillId="12" borderId="13" applyAlignment="1" pivotButton="0" quotePrefix="0" xfId="0">
      <alignment horizontal="left" wrapText="1"/>
    </xf>
    <xf numFmtId="0" fontId="3" fillId="12" borderId="13" applyAlignment="1" pivotButton="0" quotePrefix="0" xfId="0">
      <alignment horizontal="left" wrapText="1"/>
    </xf>
    <xf numFmtId="165" fontId="3" fillId="0" borderId="13" applyAlignment="1" pivotButton="0" quotePrefix="0" xfId="0">
      <alignment horizontal="left" wrapText="1"/>
    </xf>
    <xf numFmtId="0" fontId="0" fillId="14" borderId="13" applyAlignment="1" pivotButton="0" quotePrefix="0" xfId="0">
      <alignment horizontal="left" wrapText="1"/>
    </xf>
    <xf numFmtId="165" fontId="3" fillId="12" borderId="13" applyAlignment="1" pivotButton="0" quotePrefix="0" xfId="0">
      <alignment horizontal="left" wrapText="1"/>
    </xf>
    <xf numFmtId="0" fontId="3" fillId="14" borderId="13" applyAlignment="1" pivotButton="0" quotePrefix="0" xfId="0">
      <alignment horizontal="left" wrapText="1"/>
    </xf>
    <xf numFmtId="165" fontId="3" fillId="14" borderId="13" applyAlignment="1" pivotButton="0" quotePrefix="0" xfId="0">
      <alignment horizontal="left" wrapText="1"/>
    </xf>
    <xf numFmtId="164" fontId="0" fillId="12" borderId="13" applyAlignment="1" pivotButton="0" quotePrefix="0" xfId="0">
      <alignment horizontal="center" vertical="bottom"/>
    </xf>
    <xf numFmtId="0" fontId="0" fillId="12" borderId="13" applyAlignment="1" pivotButton="0" quotePrefix="0" xfId="0">
      <alignment vertical="bottom"/>
    </xf>
    <xf numFmtId="164" fontId="9" fillId="6" borderId="13" applyAlignment="1" pivotButton="0" quotePrefix="0" xfId="0">
      <alignment horizontal="center" vertical="bottom"/>
    </xf>
    <xf numFmtId="0" fontId="12" fillId="0" borderId="13" applyAlignment="1" pivotButton="0" quotePrefix="0" xfId="0">
      <alignment horizontal="left" wrapText="1"/>
    </xf>
    <xf numFmtId="0" fontId="12" fillId="0" borderId="13" applyAlignment="1" pivotButton="0" quotePrefix="0" xfId="0">
      <alignment horizontal="left"/>
    </xf>
    <xf numFmtId="0" fontId="9" fillId="6" borderId="13" applyAlignment="1" pivotButton="0" quotePrefix="0" xfId="0">
      <alignment vertical="bottom"/>
    </xf>
    <xf numFmtId="0" fontId="9" fillId="6" borderId="13" applyAlignment="1" pivotButton="0" quotePrefix="0" xfId="0">
      <alignment vertical="bottom"/>
    </xf>
    <xf numFmtId="164" fontId="9" fillId="7" borderId="13" applyAlignment="1" pivotButton="0" quotePrefix="0" xfId="0">
      <alignment horizontal="center" vertical="bottom"/>
    </xf>
    <xf numFmtId="0" fontId="9" fillId="12" borderId="13" applyAlignment="1" pivotButton="0" quotePrefix="0" xfId="0">
      <alignment wrapText="1"/>
    </xf>
    <xf numFmtId="0" fontId="9" fillId="12" borderId="13" applyAlignment="1" pivotButton="0" quotePrefix="0" xfId="0">
      <alignment horizontal="left" wrapText="1"/>
    </xf>
    <xf numFmtId="0" fontId="9" fillId="7" borderId="13" applyAlignment="1" pivotButton="0" quotePrefix="0" xfId="0">
      <alignment vertical="bottom"/>
    </xf>
    <xf numFmtId="0" fontId="9" fillId="7" borderId="13" applyAlignment="1" pivotButton="0" quotePrefix="0" xfId="0">
      <alignment vertical="bottom"/>
    </xf>
    <xf numFmtId="0" fontId="9" fillId="0" borderId="13" applyAlignment="1" pivotButton="0" quotePrefix="0" xfId="0">
      <alignment wrapText="1"/>
    </xf>
    <xf numFmtId="0" fontId="12" fillId="12" borderId="13" applyAlignment="1" pivotButton="0" quotePrefix="0" xfId="0">
      <alignment horizontal="left" wrapText="1"/>
    </xf>
    <xf numFmtId="164" fontId="9" fillId="14" borderId="13" applyAlignment="1" pivotButton="0" quotePrefix="0" xfId="0">
      <alignment horizontal="center" vertical="bottom"/>
    </xf>
    <xf numFmtId="0" fontId="9" fillId="14" borderId="13" applyAlignment="1" pivotButton="0" quotePrefix="0" xfId="0">
      <alignment wrapText="1"/>
    </xf>
    <xf numFmtId="0" fontId="12" fillId="14" borderId="13" applyAlignment="1" pivotButton="0" quotePrefix="0" xfId="0">
      <alignment horizontal="left" wrapText="1"/>
    </xf>
    <xf numFmtId="0" fontId="9" fillId="14" borderId="13" applyAlignment="1" pivotButton="0" quotePrefix="0" xfId="0">
      <alignment vertical="bottom"/>
    </xf>
    <xf numFmtId="164" fontId="9" fillId="12" borderId="13" applyAlignment="1" pivotButton="0" quotePrefix="0" xfId="0">
      <alignment horizontal="center" vertical="bottom"/>
    </xf>
    <xf numFmtId="0" fontId="9" fillId="12" borderId="13" applyAlignment="1" pivotButton="0" quotePrefix="0" xfId="0">
      <alignment vertical="bottom"/>
    </xf>
    <xf numFmtId="165" fontId="12" fillId="14" borderId="13" applyAlignment="1" pivotButton="0" quotePrefix="0" xfId="0">
      <alignment horizontal="left" wrapText="1"/>
    </xf>
    <xf numFmtId="164" fontId="8" fillId="6" borderId="13" applyAlignment="1" pivotButton="0" quotePrefix="0" xfId="0">
      <alignment horizontal="center" vertical="bottom"/>
    </xf>
    <xf numFmtId="0" fontId="13" fillId="0" borderId="13" applyAlignment="1" pivotButton="0" quotePrefix="0" xfId="0">
      <alignment horizontal="left" wrapText="1"/>
    </xf>
    <xf numFmtId="0" fontId="13" fillId="0" borderId="13" applyAlignment="1" pivotButton="0" quotePrefix="0" xfId="0">
      <alignment horizontal="left"/>
    </xf>
    <xf numFmtId="0" fontId="8" fillId="6" borderId="13" applyAlignment="1" pivotButton="0" quotePrefix="0" xfId="0">
      <alignment vertical="bottom"/>
    </xf>
    <xf numFmtId="0" fontId="8" fillId="6" borderId="13" applyAlignment="1" pivotButton="0" quotePrefix="0" xfId="0">
      <alignment vertical="bottom"/>
    </xf>
    <xf numFmtId="164" fontId="8" fillId="7" borderId="13" applyAlignment="1" pivotButton="0" quotePrefix="0" xfId="0">
      <alignment horizontal="center" vertical="bottom"/>
    </xf>
    <xf numFmtId="0" fontId="8" fillId="12" borderId="13" applyAlignment="1" pivotButton="0" quotePrefix="0" xfId="0">
      <alignment wrapText="1"/>
    </xf>
    <xf numFmtId="0" fontId="8" fillId="12" borderId="13" applyAlignment="1" pivotButton="0" quotePrefix="0" xfId="0">
      <alignment horizontal="left" wrapText="1"/>
    </xf>
    <xf numFmtId="0" fontId="8" fillId="7" borderId="13" applyAlignment="1" pivotButton="0" quotePrefix="0" xfId="0">
      <alignment vertical="bottom"/>
    </xf>
    <xf numFmtId="0" fontId="8" fillId="7" borderId="13" applyAlignment="1" pivotButton="0" quotePrefix="0" xfId="0">
      <alignment vertical="bottom"/>
    </xf>
    <xf numFmtId="0" fontId="8" fillId="0" borderId="13" applyAlignment="1" pivotButton="0" quotePrefix="0" xfId="0">
      <alignment wrapText="1"/>
    </xf>
    <xf numFmtId="0" fontId="13" fillId="12" borderId="13" applyAlignment="1" pivotButton="0" quotePrefix="0" xfId="0">
      <alignment horizontal="left" wrapText="1"/>
    </xf>
    <xf numFmtId="164" fontId="8" fillId="14" borderId="13" applyAlignment="1" pivotButton="0" quotePrefix="0" xfId="0">
      <alignment horizontal="center" vertical="bottom"/>
    </xf>
    <xf numFmtId="0" fontId="8" fillId="14" borderId="13" applyAlignment="1" pivotButton="0" quotePrefix="0" xfId="0">
      <alignment wrapText="1"/>
    </xf>
    <xf numFmtId="0" fontId="13" fillId="14" borderId="13" applyAlignment="1" pivotButton="0" quotePrefix="0" xfId="0">
      <alignment horizontal="left" wrapText="1"/>
    </xf>
    <xf numFmtId="0" fontId="8" fillId="14" borderId="13" applyAlignment="1" pivotButton="0" quotePrefix="0" xfId="0">
      <alignment vertical="bottom"/>
    </xf>
    <xf numFmtId="164" fontId="8" fillId="12" borderId="13" applyAlignment="1" pivotButton="0" quotePrefix="0" xfId="0">
      <alignment horizontal="center" vertical="bottom"/>
    </xf>
    <xf numFmtId="0" fontId="8" fillId="12" borderId="13" applyAlignment="1" pivotButton="0" quotePrefix="0" xfId="0">
      <alignment vertical="bottom"/>
    </xf>
    <xf numFmtId="165" fontId="13" fillId="14" borderId="13" applyAlignment="1" pivotButton="0" quotePrefix="0" xfId="0">
      <alignment horizontal="left" wrapText="1"/>
    </xf>
    <xf numFmtId="0" fontId="3" fillId="5" borderId="9" applyAlignment="1" pivotButton="0" quotePrefix="0" xfId="0">
      <alignment horizontal="center" vertical="bottom"/>
    </xf>
    <xf numFmtId="0" fontId="3" fillId="5" borderId="10" applyAlignment="1" pivotButton="0" quotePrefix="0" xfId="0">
      <alignment horizontal="center" vertical="bottom"/>
    </xf>
    <xf numFmtId="165" fontId="0" fillId="6" borderId="9" applyAlignment="1" pivotButton="0" quotePrefix="0" xfId="0">
      <alignment horizontal="center" vertical="bottom"/>
    </xf>
    <xf numFmtId="165" fontId="0" fillId="6" borderId="10" applyAlignment="1" pivotButton="0" quotePrefix="0" xfId="0">
      <alignment horizontal="center" vertical="bottom"/>
    </xf>
    <xf numFmtId="0" fontId="0" fillId="0" borderId="2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3" fillId="13" borderId="2" applyAlignment="1" pivotButton="0" quotePrefix="0" xfId="0">
      <alignment horizontal="left"/>
    </xf>
    <xf numFmtId="0" fontId="3" fillId="13" borderId="20" applyAlignment="1" pivotButton="0" quotePrefix="0" xfId="0">
      <alignment horizontal="left"/>
    </xf>
    <xf numFmtId="0" fontId="3" fillId="5" borderId="21" applyAlignment="1" pivotButton="0" quotePrefix="0" xfId="0">
      <alignment horizontal="center" vertical="bottom"/>
    </xf>
    <xf numFmtId="0" fontId="3" fillId="5" borderId="22" applyAlignment="1" pivotButton="0" quotePrefix="0" xfId="0">
      <alignment horizontal="center" vertical="bottom"/>
    </xf>
    <xf numFmtId="165" fontId="0" fillId="6" borderId="13" applyAlignment="1" pivotButton="0" quotePrefix="0" xfId="0">
      <alignment horizontal="center" vertical="bottom"/>
    </xf>
    <xf numFmtId="0" fontId="0" fillId="7" borderId="13" applyAlignment="1" pivotButton="0" quotePrefix="0" xfId="0">
      <alignment vertical="top"/>
    </xf>
    <xf numFmtId="0" fontId="0" fillId="0" borderId="13" applyAlignment="1" pivotButton="0" quotePrefix="0" xfId="0">
      <alignment vertical="bottom"/>
    </xf>
    <xf numFmtId="0" fontId="0" fillId="0" borderId="13" applyAlignment="1" pivotButton="0" quotePrefix="0" xfId="0">
      <alignment horizontal="center"/>
    </xf>
    <xf numFmtId="164" fontId="0" fillId="6" borderId="23" applyAlignment="1" pivotButton="0" quotePrefix="0" xfId="0">
      <alignment horizontal="center" vertical="bottom"/>
    </xf>
    <xf numFmtId="164" fontId="0" fillId="6" borderId="24" applyAlignment="1" pivotButton="0" quotePrefix="0" xfId="0">
      <alignment horizontal="center" vertical="bottom"/>
    </xf>
    <xf numFmtId="164" fontId="0" fillId="6" borderId="25" applyAlignment="1" pivotButton="0" quotePrefix="0" xfId="0">
      <alignment horizontal="center" vertical="bottom"/>
    </xf>
    <xf numFmtId="164" fontId="0" fillId="6" borderId="26" applyAlignment="1" pivotButton="0" quotePrefix="0" xfId="0">
      <alignment horizontal="center" vertical="bottom"/>
    </xf>
    <xf numFmtId="164" fontId="0" fillId="6" borderId="27" applyAlignment="1" pivotButton="0" quotePrefix="0" xfId="0">
      <alignment horizontal="center" vertical="bottom"/>
    </xf>
    <xf numFmtId="164" fontId="0" fillId="6" borderId="28" applyAlignment="1" pivotButton="0" quotePrefix="0" xfId="0">
      <alignment horizontal="center" vertical="bottom"/>
    </xf>
    <xf numFmtId="164" fontId="0" fillId="6" borderId="29" applyAlignment="1" pivotButton="0" quotePrefix="0" xfId="0">
      <alignment horizontal="center" vertical="bottom"/>
    </xf>
    <xf numFmtId="164" fontId="0" fillId="6" borderId="21" applyAlignment="1" pivotButton="0" quotePrefix="0" xfId="0">
      <alignment horizontal="center" vertical="bottom"/>
    </xf>
    <xf numFmtId="164" fontId="0" fillId="6" borderId="30" applyAlignment="1" pivotButton="0" quotePrefix="0" xfId="0">
      <alignment horizontal="center" vertical="bottom"/>
    </xf>
    <xf numFmtId="165" fontId="0" fillId="6" borderId="13" applyAlignment="1" pivotButton="0" quotePrefix="0" xfId="0">
      <alignment vertical="bottom"/>
    </xf>
    <xf numFmtId="164" fontId="0" fillId="6" borderId="23" applyAlignment="1" pivotButton="0" quotePrefix="0" xfId="0">
      <alignment vertical="bottom"/>
    </xf>
    <xf numFmtId="164" fontId="0" fillId="6" borderId="24" applyAlignment="1" pivotButton="0" quotePrefix="0" xfId="0">
      <alignment vertical="bottom"/>
    </xf>
    <xf numFmtId="164" fontId="0" fillId="6" borderId="25" applyAlignment="1" pivotButton="0" quotePrefix="0" xfId="0">
      <alignment vertical="bottom"/>
    </xf>
    <xf numFmtId="164" fontId="0" fillId="6" borderId="26" applyAlignment="1" pivotButton="0" quotePrefix="0" xfId="0">
      <alignment vertical="bottom"/>
    </xf>
    <xf numFmtId="164" fontId="0" fillId="6" borderId="27" applyAlignment="1" pivotButton="0" quotePrefix="0" xfId="0">
      <alignment vertical="bottom"/>
    </xf>
    <xf numFmtId="164" fontId="0" fillId="6" borderId="28" applyAlignment="1" pivotButton="0" quotePrefix="0" xfId="0">
      <alignment vertical="bottom"/>
    </xf>
    <xf numFmtId="164" fontId="0" fillId="6" borderId="29" applyAlignment="1" pivotButton="0" quotePrefix="0" xfId="0">
      <alignment vertical="bottom"/>
    </xf>
    <xf numFmtId="164" fontId="0" fillId="6" borderId="21" applyAlignment="1" pivotButton="0" quotePrefix="0" xfId="0">
      <alignment vertical="bottom"/>
    </xf>
    <xf numFmtId="164" fontId="0" fillId="6" borderId="30" applyAlignment="1" pivotButton="0" quotePrefix="0" xfId="0">
      <alignment vertical="bottom"/>
    </xf>
    <xf numFmtId="0" fontId="2" fillId="4" borderId="31" applyAlignment="1" pivotButton="0" quotePrefix="0" xfId="0">
      <alignment horizontal="center" vertical="bottom"/>
    </xf>
    <xf numFmtId="0" fontId="0" fillId="0" borderId="21" pivotButton="0" quotePrefix="0" xfId="0"/>
    <xf numFmtId="0" fontId="3" fillId="5" borderId="13" applyAlignment="1" pivotButton="0" quotePrefix="0" xfId="0">
      <alignment horizontal="center" vertical="bottom"/>
    </xf>
    <xf numFmtId="0" fontId="3" fillId="13" borderId="13" applyAlignment="1" pivotButton="0" quotePrefix="0" xfId="0">
      <alignment horizontal="left"/>
    </xf>
    <xf numFmtId="164" fontId="0" fillId="6" borderId="13" applyAlignment="1" pivotButton="0" quotePrefix="0" xfId="0">
      <alignment vertical="bottom"/>
    </xf>
    <xf numFmtId="0" fontId="3" fillId="5" borderId="23" applyAlignment="1" pivotButton="0" quotePrefix="0" xfId="0">
      <alignment horizontal="center" vertical="bottom"/>
    </xf>
    <xf numFmtId="0" fontId="3" fillId="5" borderId="24" applyAlignment="1" pivotButton="0" quotePrefix="0" xfId="0">
      <alignment horizontal="center" vertical="bottom"/>
    </xf>
    <xf numFmtId="0" fontId="3" fillId="5" borderId="25" applyAlignment="1" pivotButton="0" quotePrefix="0" xfId="0">
      <alignment horizontal="center" vertical="bottom"/>
    </xf>
    <xf numFmtId="0" fontId="3" fillId="5" borderId="26" applyAlignment="1" pivotButton="0" quotePrefix="0" xfId="0">
      <alignment horizontal="center" vertical="bottom"/>
    </xf>
    <xf numFmtId="0" fontId="3" fillId="5" borderId="27" applyAlignment="1" pivotButton="0" quotePrefix="0" xfId="0">
      <alignment horizontal="center" vertical="bottom"/>
    </xf>
    <xf numFmtId="0" fontId="3" fillId="5" borderId="28" applyAlignment="1" pivotButton="0" quotePrefix="0" xfId="0">
      <alignment horizontal="center" vertical="bottom"/>
    </xf>
    <xf numFmtId="0" fontId="3" fillId="5" borderId="29" applyAlignment="1" pivotButton="0" quotePrefix="0" xfId="0">
      <alignment horizontal="center" vertical="bottom"/>
    </xf>
    <xf numFmtId="0" fontId="3" fillId="5" borderId="30" applyAlignment="1" pivotButton="0" quotePrefix="0" xfId="0">
      <alignment horizontal="center" vertical="bottom"/>
    </xf>
    <xf numFmtId="0" fontId="3" fillId="5" borderId="32" applyAlignment="1" pivotButton="0" quotePrefix="0" xfId="0">
      <alignment horizontal="center" vertical="bottom"/>
    </xf>
    <xf numFmtId="0" fontId="3" fillId="5" borderId="21" applyAlignment="1" pivotButton="0" quotePrefix="0" xfId="0">
      <alignment vertical="bottom"/>
    </xf>
    <xf numFmtId="0" fontId="3" fillId="5" borderId="22" applyAlignment="1" pivotButton="0" quotePrefix="0" xfId="0">
      <alignment vertical="bottom"/>
    </xf>
    <xf numFmtId="0" fontId="3" fillId="5" borderId="23" applyAlignment="1" pivotButton="0" quotePrefix="0" xfId="0">
      <alignment vertical="bottom"/>
    </xf>
    <xf numFmtId="0" fontId="3" fillId="5" borderId="24" applyAlignment="1" pivotButton="0" quotePrefix="0" xfId="0">
      <alignment vertical="bottom"/>
    </xf>
    <xf numFmtId="0" fontId="3" fillId="5" borderId="25" applyAlignment="1" pivotButton="0" quotePrefix="0" xfId="0">
      <alignment vertical="bottom"/>
    </xf>
    <xf numFmtId="0" fontId="3" fillId="5" borderId="26" applyAlignment="1" pivotButton="0" quotePrefix="0" xfId="0">
      <alignment vertical="bottom"/>
    </xf>
    <xf numFmtId="0" fontId="3" fillId="5" borderId="27" applyAlignment="1" pivotButton="0" quotePrefix="0" xfId="0">
      <alignment vertical="bottom"/>
    </xf>
    <xf numFmtId="0" fontId="3" fillId="5" borderId="28" applyAlignment="1" pivotButton="0" quotePrefix="0" xfId="0">
      <alignment vertical="bottom"/>
    </xf>
    <xf numFmtId="0" fontId="3" fillId="5" borderId="29" applyAlignment="1" pivotButton="0" quotePrefix="0" xfId="0">
      <alignment vertical="bottom"/>
    </xf>
    <xf numFmtId="0" fontId="3" fillId="5" borderId="30" applyAlignment="1" pivotButton="0" quotePrefix="0" xfId="0">
      <alignment vertical="bottom"/>
    </xf>
    <xf numFmtId="0" fontId="3" fillId="14" borderId="23" applyAlignment="1" pivotButton="0" quotePrefix="0" xfId="0">
      <alignment vertical="bottom"/>
    </xf>
    <xf numFmtId="0" fontId="3" fillId="14" borderId="24" applyAlignment="1" pivotButton="0" quotePrefix="0" xfId="0">
      <alignment vertical="bottom"/>
    </xf>
    <xf numFmtId="0" fontId="3" fillId="14" borderId="25" applyAlignment="1" pivotButton="0" quotePrefix="0" xfId="0">
      <alignment vertical="bottom"/>
    </xf>
    <xf numFmtId="0" fontId="3" fillId="14" borderId="26" applyAlignment="1" pivotButton="0" quotePrefix="0" xfId="0">
      <alignment vertical="bottom"/>
    </xf>
    <xf numFmtId="0" fontId="3" fillId="14" borderId="27" applyAlignment="1" pivotButton="0" quotePrefix="0" xfId="0">
      <alignment vertical="bottom"/>
    </xf>
    <xf numFmtId="0" fontId="3" fillId="14" borderId="28" applyAlignment="1" pivotButton="0" quotePrefix="0" xfId="0">
      <alignment vertical="bottom"/>
    </xf>
    <xf numFmtId="0" fontId="3" fillId="14" borderId="29" applyAlignment="1" pivotButton="0" quotePrefix="0" xfId="0">
      <alignment vertical="bottom"/>
    </xf>
    <xf numFmtId="0" fontId="3" fillId="14" borderId="21" applyAlignment="1" pivotButton="0" quotePrefix="0" xfId="0">
      <alignment vertical="bottom"/>
    </xf>
    <xf numFmtId="0" fontId="3" fillId="14" borderId="30" applyAlignment="1" pivotButton="0" quotePrefix="0" xfId="0">
      <alignment vertical="bottom"/>
    </xf>
    <xf numFmtId="0" fontId="3" fillId="5" borderId="32" applyAlignment="1" pivotButton="0" quotePrefix="0" xfId="0">
      <alignment vertical="bottom"/>
    </xf>
    <xf numFmtId="0" fontId="3" fillId="14" borderId="32" applyAlignment="1" pivotButton="0" quotePrefix="0" xfId="0">
      <alignment vertical="bottom"/>
    </xf>
    <xf numFmtId="0" fontId="3" fillId="14" borderId="27" applyAlignment="1" pivotButton="0" quotePrefix="0" xfId="0">
      <alignment horizontal="center" vertical="bottom"/>
    </xf>
    <xf numFmtId="0" fontId="0" fillId="0" borderId="22" pivotButton="0" quotePrefix="0" xfId="0"/>
    <xf numFmtId="0" fontId="3" fillId="14" borderId="13" applyAlignment="1" pivotButton="0" quotePrefix="0" xfId="0">
      <alignment vertical="bottom"/>
    </xf>
    <xf numFmtId="0" fontId="3" fillId="14" borderId="13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32" pivotButton="0" quotePrefix="0" xfId="0"/>
    <xf numFmtId="0" fontId="3" fillId="14" borderId="33" applyAlignment="1" pivotButton="0" quotePrefix="0" xfId="0">
      <alignment vertical="bottom"/>
    </xf>
    <xf numFmtId="0" fontId="3" fillId="0" borderId="9" applyAlignment="1" pivotButton="0" quotePrefix="0" xfId="0">
      <alignment horizontal="left"/>
    </xf>
    <xf numFmtId="0" fontId="3" fillId="0" borderId="21" applyAlignment="1" pivotButton="0" quotePrefix="0" xfId="0">
      <alignment horizontal="left"/>
    </xf>
    <xf numFmtId="0" fontId="3" fillId="0" borderId="2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3" fillId="0" borderId="9" pivotButton="0" quotePrefix="0" xfId="0"/>
    <xf numFmtId="0" fontId="3" fillId="0" borderId="21" pivotButton="0" quotePrefix="0" xfId="0"/>
    <xf numFmtId="0" fontId="3" fillId="0" borderId="21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3" fillId="13" borderId="9" applyAlignment="1" pivotButton="0" quotePrefix="0" xfId="0">
      <alignment horizontal="center"/>
    </xf>
    <xf numFmtId="0" fontId="3" fillId="13" borderId="9" applyAlignment="1" pivotButton="0" quotePrefix="0" xfId="0">
      <alignment horizontal="left"/>
    </xf>
    <xf numFmtId="0" fontId="3" fillId="13" borderId="21" applyAlignment="1" pivotButton="0" quotePrefix="0" xfId="0">
      <alignment horizontal="left"/>
    </xf>
    <xf numFmtId="0" fontId="3" fillId="13" borderId="21" applyAlignment="1" pivotButton="0" quotePrefix="0" xfId="0">
      <alignment horizontal="center"/>
    </xf>
    <xf numFmtId="0" fontId="3" fillId="13" borderId="9" applyAlignment="1" pivotButton="0" quotePrefix="0" xfId="0">
      <alignment horizontal="center" wrapText="1"/>
    </xf>
    <xf numFmtId="0" fontId="3" fillId="13" borderId="9" applyAlignment="1" pivotButton="0" quotePrefix="0" xfId="0">
      <alignment horizontal="left" wrapText="1"/>
    </xf>
    <xf numFmtId="0" fontId="3" fillId="13" borderId="21" applyAlignment="1" pivotButton="0" quotePrefix="0" xfId="0">
      <alignment horizontal="left" wrapText="1"/>
    </xf>
    <xf numFmtId="0" fontId="3" fillId="13" borderId="21" applyAlignment="1" pivotButton="0" quotePrefix="0" xfId="0">
      <alignment horizontal="center" wrapText="1"/>
    </xf>
    <xf numFmtId="0" fontId="0" fillId="0" borderId="9" applyAlignment="1" pivotButton="0" quotePrefix="0" xfId="0">
      <alignment horizontal="center" wrapText="1"/>
    </xf>
    <xf numFmtId="0" fontId="0" fillId="0" borderId="9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1" applyAlignment="1" pivotButton="0" quotePrefix="0" xfId="0">
      <alignment horizontal="center" wrapText="1"/>
    </xf>
    <xf numFmtId="0" fontId="0" fillId="0" borderId="27" applyAlignment="1" pivotButton="0" quotePrefix="0" xfId="0">
      <alignment horizontal="center" wrapText="1"/>
    </xf>
    <xf numFmtId="0" fontId="0" fillId="0" borderId="27" applyAlignment="1" pivotButton="0" quotePrefix="0" xfId="0">
      <alignment wrapText="1"/>
    </xf>
    <xf numFmtId="0" fontId="3" fillId="13" borderId="9" applyAlignment="1" pivotButton="0" quotePrefix="0" xfId="0">
      <alignment horizontal="center"/>
    </xf>
    <xf numFmtId="0" fontId="3" fillId="13" borderId="9" applyAlignment="1" pivotButton="0" quotePrefix="0" xfId="0">
      <alignment horizontal="left"/>
    </xf>
    <xf numFmtId="0" fontId="3" fillId="13" borderId="21" applyAlignment="1" pivotButton="0" quotePrefix="0" xfId="0">
      <alignment horizontal="left"/>
    </xf>
    <xf numFmtId="0" fontId="3" fillId="13" borderId="2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9" pivotButton="0" quotePrefix="0" xfId="0"/>
    <xf numFmtId="0" fontId="0" fillId="0" borderId="21" pivotButton="0" quotePrefix="0" xfId="0"/>
    <xf numFmtId="0" fontId="0" fillId="0" borderId="2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0" fillId="0" borderId="27" pivotButton="0" quotePrefix="0" xfId="0"/>
    <xf numFmtId="0" fontId="3" fillId="13" borderId="13" applyAlignment="1" pivotButton="0" quotePrefix="0" xfId="0">
      <alignment horizontal="center" wrapText="1"/>
    </xf>
    <xf numFmtId="0" fontId="3" fillId="13" borderId="13" applyAlignment="1" pivotButton="0" quotePrefix="0" xfId="0">
      <alignment horizontal="left" wrapText="1"/>
    </xf>
    <xf numFmtId="0" fontId="0" fillId="0" borderId="13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vertical="top" wrapText="1"/>
    </xf>
    <xf numFmtId="0" fontId="0" fillId="0" borderId="13" applyAlignment="1" pivotButton="0" quotePrefix="0" xfId="0">
      <alignment vertical="top" wrapText="1"/>
    </xf>
    <xf numFmtId="0" fontId="9" fillId="0" borderId="13" applyAlignment="1" pivotButton="0" quotePrefix="0" xfId="0">
      <alignment horizontal="center" vertical="top" wrapText="1"/>
    </xf>
    <xf numFmtId="0" fontId="9" fillId="0" borderId="13" applyAlignment="1" pivotButton="0" quotePrefix="0" xfId="0">
      <alignment vertical="top" wrapText="1"/>
    </xf>
    <xf numFmtId="0" fontId="8" fillId="0" borderId="13" applyAlignment="1" pivotButton="0" quotePrefix="0" xfId="0">
      <alignment horizontal="center" vertical="top" wrapText="1"/>
    </xf>
    <xf numFmtId="0" fontId="8" fillId="0" borderId="13" applyAlignment="1" pivotButton="0" quotePrefix="0" xfId="0">
      <alignment vertical="top" wrapText="1"/>
    </xf>
    <xf numFmtId="0" fontId="12" fillId="13" borderId="13" applyAlignment="1" pivotButton="0" quotePrefix="0" xfId="0">
      <alignment horizontal="center" wrapText="1"/>
    </xf>
    <xf numFmtId="0" fontId="12" fillId="13" borderId="13" applyAlignment="1" pivotButton="0" quotePrefix="0" xfId="0">
      <alignment horizontal="left" wrapText="1"/>
    </xf>
    <xf numFmtId="0" fontId="13" fillId="13" borderId="13" applyAlignment="1" pivotButton="0" quotePrefix="0" xfId="0">
      <alignment horizontal="center" wrapText="1"/>
    </xf>
    <xf numFmtId="0" fontId="13" fillId="13" borderId="13" applyAlignment="1" pivotButton="0" quotePrefix="0" xfId="0">
      <alignment horizontal="left" wrapText="1"/>
    </xf>
    <xf numFmtId="0" fontId="14" fillId="13" borderId="13" applyAlignment="1" pivotButton="0" quotePrefix="0" xfId="0">
      <alignment horizontal="center" wrapText="1"/>
    </xf>
    <xf numFmtId="0" fontId="14" fillId="13" borderId="13" applyAlignment="1" pivotButton="0" quotePrefix="0" xfId="0">
      <alignment horizontal="left" wrapText="1"/>
    </xf>
    <xf numFmtId="0" fontId="15" fillId="13" borderId="13" applyAlignment="1" pivotButton="0" quotePrefix="0" xfId="0">
      <alignment horizontal="center" wrapText="1"/>
    </xf>
    <xf numFmtId="0" fontId="15" fillId="13" borderId="13" applyAlignment="1" pivotButton="0" quotePrefix="0" xfId="0">
      <alignment horizontal="left" wrapText="1"/>
    </xf>
    <xf numFmtId="0" fontId="2" fillId="13" borderId="13" applyAlignment="1" pivotButton="0" quotePrefix="0" xfId="0">
      <alignment horizontal="center" wrapText="1"/>
    </xf>
    <xf numFmtId="0" fontId="2" fillId="13" borderId="13" applyAlignment="1" pivotButton="0" quotePrefix="0" xfId="0">
      <alignment horizontal="left" wrapText="1"/>
    </xf>
    <xf numFmtId="164" fontId="0" fillId="12" borderId="34" applyAlignment="1" pivotButton="0" quotePrefix="0" xfId="0">
      <alignment horizontal="center" vertical="bottom"/>
    </xf>
    <xf numFmtId="165" fontId="0" fillId="12" borderId="13" applyAlignment="1" pivotButton="0" quotePrefix="0" xfId="0">
      <alignment horizontal="center" vertical="bottom"/>
    </xf>
    <xf numFmtId="164" fontId="0" fillId="14" borderId="12" applyAlignment="1" pivotButton="0" quotePrefix="0" xfId="0">
      <alignment horizontal="center" vertical="bottom"/>
    </xf>
    <xf numFmtId="165" fontId="13" fillId="12" borderId="13" applyAlignment="1" pivotButton="0" quotePrefix="0" xfId="0">
      <alignment horizontal="left" wrapText="1"/>
    </xf>
    <xf numFmtId="164" fontId="0" fillId="14" borderId="34" applyAlignment="1" pivotButton="0" quotePrefix="0" xfId="0">
      <alignment horizontal="center" vertical="bottom"/>
    </xf>
    <xf numFmtId="0" fontId="8" fillId="14" borderId="13" applyAlignment="1" pivotButton="0" quotePrefix="0" xfId="0">
      <alignment horizontal="left" wrapText="1"/>
    </xf>
    <xf numFmtId="0" fontId="16" fillId="0" borderId="13" applyAlignment="1" pivotButton="0" quotePrefix="0" xfId="0">
      <alignment horizontal="left" wrapText="1"/>
    </xf>
    <xf numFmtId="0" fontId="8" fillId="0" borderId="13" applyAlignment="1" pivotButton="0" quotePrefix="0" xfId="0">
      <alignment horizontal="left" vertical="top" wrapText="1"/>
    </xf>
    <xf numFmtId="0" fontId="0" fillId="6" borderId="13" applyAlignment="1" pivotButton="0" quotePrefix="0" xfId="0">
      <alignment horizontal="left" vertical="bottom"/>
    </xf>
    <xf numFmtId="0" fontId="0" fillId="6" borderId="13" applyAlignment="1" pivotButton="0" quotePrefix="0" xfId="0">
      <alignment horizontal="left" vertical="bottom" wrapText="1"/>
    </xf>
    <xf numFmtId="165" fontId="16" fillId="12" borderId="13" applyAlignment="1" pivotButton="0" quotePrefix="0" xfId="0">
      <alignment horizontal="left" wrapText="1"/>
    </xf>
    <xf numFmtId="165" fontId="8" fillId="12" borderId="13" applyAlignment="1" pivotButton="0" quotePrefix="0" xfId="0">
      <alignment horizontal="left" wrapText="1"/>
    </xf>
    <xf numFmtId="165" fontId="13" fillId="0" borderId="13" applyAlignment="1" pivotButton="0" quotePrefix="0" xfId="0">
      <alignment horizontal="left" wrapText="1"/>
    </xf>
    <xf numFmtId="165" fontId="16" fillId="0" borderId="13" applyAlignment="1" pivotButton="0" quotePrefix="0" xfId="0">
      <alignment horizontal="left" wrapText="1"/>
    </xf>
    <xf numFmtId="164" fontId="13" fillId="14" borderId="13" applyAlignment="1" pivotButton="0" quotePrefix="0" xfId="0">
      <alignment horizontal="left" wrapText="1"/>
    </xf>
    <xf numFmtId="164" fontId="13" fillId="12" borderId="13" applyAlignment="1" pivotButton="0" quotePrefix="0" xfId="0">
      <alignment horizontal="left" wrapText="1"/>
    </xf>
    <xf numFmtId="164" fontId="16" fillId="12" borderId="13" applyAlignment="1" pivotButton="0" quotePrefix="0" xfId="0">
      <alignment horizontal="left" wrapText="1"/>
    </xf>
    <xf numFmtId="0" fontId="8" fillId="12" borderId="33" applyAlignment="1" pivotButton="0" quotePrefix="0" xfId="0">
      <alignment vertical="bottom"/>
    </xf>
    <xf numFmtId="0" fontId="8" fillId="12" borderId="35" applyAlignment="1" pivotButton="0" quotePrefix="0" xfId="0">
      <alignment vertical="bottom"/>
    </xf>
    <xf numFmtId="0" fontId="8" fillId="12" borderId="13" applyAlignment="1" pivotButton="0" quotePrefix="0" xfId="0">
      <alignment horizontal="center" vertical="bottom"/>
    </xf>
    <xf numFmtId="0" fontId="8" fillId="12" borderId="33" applyAlignment="1" pivotButton="0" quotePrefix="0" xfId="0">
      <alignment horizontal="center" vertical="bottom"/>
    </xf>
    <xf numFmtId="0" fontId="8" fillId="12" borderId="33" applyAlignment="1" pivotButton="0" quotePrefix="0" xfId="0">
      <alignment horizontal="left" vertical="bottom"/>
    </xf>
    <xf numFmtId="0" fontId="8" fillId="12" borderId="35" applyAlignment="1" pivotButton="0" quotePrefix="0" xfId="0">
      <alignment horizontal="left" vertical="bottom"/>
    </xf>
    <xf numFmtId="0" fontId="8" fillId="12" borderId="33" applyAlignment="1" pivotButton="0" quotePrefix="0" xfId="0">
      <alignment horizontal="left" vertical="bottom" wrapText="1"/>
    </xf>
    <xf numFmtId="0" fontId="8" fillId="12" borderId="35" applyAlignment="1" pivotButton="0" quotePrefix="0" xfId="0">
      <alignment horizontal="left" vertical="bottom" wrapText="1"/>
    </xf>
    <xf numFmtId="0" fontId="8" fillId="6" borderId="33" applyAlignment="1" pivotButton="0" quotePrefix="0" xfId="0">
      <alignment vertical="bottom"/>
    </xf>
    <xf numFmtId="0" fontId="8" fillId="6" borderId="35" applyAlignment="1" pivotButton="0" quotePrefix="0" xfId="0">
      <alignment vertical="bottom"/>
    </xf>
    <xf numFmtId="0" fontId="8" fillId="6" borderId="13" applyAlignment="1" pivotButton="0" quotePrefix="0" xfId="0">
      <alignment horizontal="center" vertical="bottom"/>
    </xf>
    <xf numFmtId="0" fontId="8" fillId="6" borderId="33" applyAlignment="1" pivotButton="0" quotePrefix="0" xfId="0">
      <alignment horizontal="center" vertical="bottom"/>
    </xf>
    <xf numFmtId="0" fontId="8" fillId="6" borderId="33" applyAlignment="1" pivotButton="0" quotePrefix="0" xfId="0">
      <alignment horizontal="left" vertical="bottom"/>
    </xf>
    <xf numFmtId="0" fontId="8" fillId="6" borderId="35" applyAlignment="1" pivotButton="0" quotePrefix="0" xfId="0">
      <alignment horizontal="left" vertical="bottom"/>
    </xf>
    <xf numFmtId="0" fontId="8" fillId="14" borderId="33" applyAlignment="1" pivotButton="0" quotePrefix="0" xfId="0">
      <alignment vertical="bottom"/>
    </xf>
    <xf numFmtId="0" fontId="8" fillId="14" borderId="35" applyAlignment="1" pivotButton="0" quotePrefix="0" xfId="0">
      <alignment vertical="bottom"/>
    </xf>
    <xf numFmtId="0" fontId="8" fillId="14" borderId="13" applyAlignment="1" pivotButton="0" quotePrefix="0" xfId="0">
      <alignment horizontal="center" vertical="bottom"/>
    </xf>
    <xf numFmtId="0" fontId="8" fillId="14" borderId="33" applyAlignment="1" pivotButton="0" quotePrefix="0" xfId="0">
      <alignment horizontal="center" vertical="bottom"/>
    </xf>
    <xf numFmtId="0" fontId="8" fillId="14" borderId="33" applyAlignment="1" pivotButton="0" quotePrefix="0" xfId="0">
      <alignment horizontal="left" vertical="bottom"/>
    </xf>
    <xf numFmtId="0" fontId="8" fillId="14" borderId="35" applyAlignment="1" pivotButton="0" quotePrefix="0" xfId="0">
      <alignment horizontal="left" vertical="bottom"/>
    </xf>
    <xf numFmtId="0" fontId="2" fillId="4" borderId="36" applyAlignment="1" pivotButton="0" quotePrefix="0" xfId="0">
      <alignment horizontal="center" vertical="bottom"/>
    </xf>
    <xf numFmtId="0" fontId="2" fillId="4" borderId="27" applyAlignment="1" pivotButton="0" quotePrefix="0" xfId="0">
      <alignment horizontal="center" vertical="bottom"/>
    </xf>
    <xf numFmtId="0" fontId="2" fillId="4" borderId="28" applyAlignment="1" pivotButton="0" quotePrefix="0" xfId="0">
      <alignment horizontal="center" vertical="bottom"/>
    </xf>
    <xf numFmtId="2" fontId="8" fillId="7" borderId="13" applyAlignment="1" pivotButton="0" quotePrefix="0" xfId="0">
      <alignment horizontal="center" vertical="bottom"/>
    </xf>
    <xf numFmtId="2" fontId="8" fillId="6" borderId="13" applyAlignment="1" pivotButton="0" quotePrefix="0" xfId="0">
      <alignment horizontal="center" vertical="bottom"/>
    </xf>
    <xf numFmtId="2" fontId="8" fillId="14" borderId="13" applyAlignment="1" pivotButton="0" quotePrefix="0" xfId="0">
      <alignment horizontal="center" vertical="bottom"/>
    </xf>
    <xf numFmtId="2" fontId="8" fillId="12" borderId="13" applyAlignment="1" pivotButton="0" quotePrefix="0" xfId="0">
      <alignment horizontal="center" vertical="bottom"/>
    </xf>
    <xf numFmtId="166" fontId="8" fillId="7" borderId="13" applyAlignment="1" pivotButton="0" quotePrefix="0" xfId="0">
      <alignment horizontal="center" vertical="bottom"/>
    </xf>
    <xf numFmtId="166" fontId="8" fillId="6" borderId="13" applyAlignment="1" pivotButton="0" quotePrefix="0" xfId="0">
      <alignment horizontal="center" vertical="bottom"/>
    </xf>
    <xf numFmtId="166" fontId="8" fillId="14" borderId="13" applyAlignment="1" pivotButton="0" quotePrefix="0" xfId="0">
      <alignment horizontal="center" vertical="bottom"/>
    </xf>
    <xf numFmtId="166" fontId="8" fillId="12" borderId="13" applyAlignment="1" pivotButton="0" quotePrefix="0" xfId="0">
      <alignment horizontal="center" vertical="bottom"/>
    </xf>
    <xf numFmtId="1" fontId="8" fillId="7" borderId="13" applyAlignment="1" pivotButton="0" quotePrefix="0" xfId="0">
      <alignment horizontal="center" vertical="bottom"/>
    </xf>
    <xf numFmtId="1" fontId="8" fillId="6" borderId="13" applyAlignment="1" pivotButton="0" quotePrefix="0" xfId="0">
      <alignment horizontal="center" vertical="bottom"/>
    </xf>
    <xf numFmtId="1" fontId="8" fillId="14" borderId="13" applyAlignment="1" pivotButton="0" quotePrefix="0" xfId="0">
      <alignment horizontal="center" vertical="bottom"/>
    </xf>
    <xf numFmtId="1" fontId="8" fillId="12" borderId="13" applyAlignment="1" pivotButton="0" quotePrefix="0" xfId="0">
      <alignment horizontal="center" vertical="bottom"/>
    </xf>
    <xf numFmtId="0" fontId="8" fillId="7" borderId="1" pivotButton="0" quotePrefix="0" xfId="0"/>
    <xf numFmtId="165" fontId="8" fillId="7" borderId="1" applyAlignment="1" pivotButton="0" quotePrefix="0" xfId="0">
      <alignment horizontal="left"/>
    </xf>
    <xf numFmtId="0" fontId="8" fillId="7" borderId="1" pivotButton="0" quotePrefix="0" xfId="0"/>
    <xf numFmtId="0" fontId="8" fillId="6" borderId="1" applyAlignment="1" pivotButton="0" quotePrefix="0" xfId="0">
      <alignment horizontal="left"/>
    </xf>
    <xf numFmtId="0" fontId="8" fillId="0" borderId="1" pivotButton="0" quotePrefix="0" xfId="0"/>
    <xf numFmtId="165" fontId="8" fillId="0" borderId="1" applyAlignment="1" pivotButton="0" quotePrefix="0" xfId="0">
      <alignment horizontal="left"/>
    </xf>
    <xf numFmtId="0" fontId="8" fillId="6" borderId="1" pivotButton="0" quotePrefix="0" xfId="0"/>
    <xf numFmtId="164" fontId="8" fillId="7" borderId="1" applyAlignment="1" pivotButton="0" quotePrefix="0" xfId="0">
      <alignment horizontal="left"/>
    </xf>
    <xf numFmtId="0" fontId="8" fillId="4" borderId="1" pivotButton="0" quotePrefix="0" xfId="0"/>
    <xf numFmtId="0" fontId="8" fillId="4" borderId="1" pivotButton="0" quotePrefix="0" xfId="0"/>
    <xf numFmtId="0" fontId="13" fillId="7" borderId="1" applyAlignment="1" pivotButton="0" quotePrefix="0" xfId="0">
      <alignment horizontal="left"/>
    </xf>
    <xf numFmtId="0" fontId="8" fillId="7" borderId="1" applyAlignment="1" pivotButton="0" quotePrefix="0" xfId="0">
      <alignment horizontal="left"/>
    </xf>
    <xf numFmtId="165" fontId="13" fillId="4" borderId="1" applyAlignment="1" pivotButton="0" quotePrefix="0" xfId="0">
      <alignment horizontal="left"/>
    </xf>
    <xf numFmtId="0" fontId="8" fillId="4" borderId="1" applyAlignment="1" pivotButton="0" quotePrefix="0" xfId="0">
      <alignment horizontal="left"/>
    </xf>
    <xf numFmtId="0" fontId="8" fillId="6" borderId="5" applyAlignment="1" pivotButton="0" quotePrefix="0" xfId="0">
      <alignment horizontal="left"/>
    </xf>
    <xf numFmtId="0" fontId="8" fillId="7" borderId="5" applyAlignment="1" pivotButton="0" quotePrefix="0" xfId="0">
      <alignment horizontal="left"/>
    </xf>
    <xf numFmtId="0" fontId="8" fillId="4" borderId="5" applyAlignment="1" pivotButton="0" quotePrefix="0" xfId="0">
      <alignment horizontal="left"/>
    </xf>
    <xf numFmtId="0" fontId="8" fillId="15" borderId="1" pivotButton="0" quotePrefix="0" xfId="0"/>
    <xf numFmtId="0" fontId="13" fillId="15" borderId="1" applyAlignment="1" pivotButton="0" quotePrefix="0" xfId="0">
      <alignment horizontal="left"/>
    </xf>
    <xf numFmtId="0" fontId="8" fillId="15" borderId="1" pivotButton="0" quotePrefix="0" xfId="0"/>
    <xf numFmtId="0" fontId="8" fillId="15" borderId="5" applyAlignment="1" pivotButton="0" quotePrefix="0" xfId="0">
      <alignment horizontal="left"/>
    </xf>
    <xf numFmtId="0" fontId="0" fillId="15" borderId="7" pivotButton="0" quotePrefix="0" xfId="0"/>
    <xf numFmtId="0" fontId="8" fillId="6" borderId="5" applyAlignment="1" pivotButton="0" quotePrefix="0" xfId="0">
      <alignment horizontal="left" wrapText="1"/>
    </xf>
    <xf numFmtId="0" fontId="0" fillId="0" borderId="7" applyAlignment="1" pivotButton="0" quotePrefix="0" xfId="0">
      <alignment wrapText="1"/>
    </xf>
    <xf numFmtId="0" fontId="8" fillId="12" borderId="33" applyAlignment="1" pivotButton="0" quotePrefix="0" xfId="0">
      <alignment horizontal="left" vertical="bottom"/>
    </xf>
    <xf numFmtId="0" fontId="8" fillId="12" borderId="35" applyAlignment="1" pivotButton="0" quotePrefix="0" xfId="0">
      <alignment horizontal="left" vertical="bottom"/>
    </xf>
    <xf numFmtId="0" fontId="8" fillId="0" borderId="33" applyAlignment="1" pivotButton="0" quotePrefix="0" xfId="0">
      <alignment horizontal="left" vertical="top" wrapText="1"/>
    </xf>
    <xf numFmtId="0" fontId="8" fillId="0" borderId="37" applyAlignment="1" pivotButton="0" quotePrefix="0" xfId="0">
      <alignment horizontal="left" vertical="top" wrapText="1"/>
    </xf>
    <xf numFmtId="0" fontId="8" fillId="0" borderId="35" applyAlignment="1" pivotButton="0" quotePrefix="0" xfId="0">
      <alignment horizontal="left" vertical="top" wrapText="1"/>
    </xf>
    <xf numFmtId="0" fontId="8" fillId="0" borderId="33" applyAlignment="1" pivotButton="0" quotePrefix="0" xfId="0">
      <alignment horizontal="center" vertical="top" wrapText="1"/>
    </xf>
    <xf numFmtId="0" fontId="8" fillId="12" borderId="13" applyAlignment="1" pivotButton="0" quotePrefix="0" xfId="0">
      <alignment horizontal="center" vertical="top" wrapText="1"/>
    </xf>
    <xf numFmtId="0" fontId="8" fillId="12" borderId="13" applyAlignment="1" pivotButton="0" quotePrefix="0" xfId="0">
      <alignment vertical="top" wrapText="1"/>
    </xf>
    <xf numFmtId="165" fontId="8" fillId="14" borderId="13" applyAlignment="1" pivotButton="0" quotePrefix="0" xfId="0">
      <alignment horizontal="left" wrapText="1"/>
    </xf>
    <xf numFmtId="0" fontId="8" fillId="12" borderId="5" applyAlignment="1" pivotButton="0" quotePrefix="0" xfId="0">
      <alignment horizontal="left"/>
    </xf>
    <xf numFmtId="0" fontId="0" fillId="12" borderId="7" pivotButton="0" quotePrefix="0" xfId="0"/>
    <xf numFmtId="165" fontId="8" fillId="14" borderId="1" applyAlignment="1" pivotButton="0" quotePrefix="0" xfId="0">
      <alignment horizontal="left"/>
    </xf>
    <xf numFmtId="0" fontId="8" fillId="14" borderId="5" applyAlignment="1" pivotButton="0" quotePrefix="0" xfId="0">
      <alignment horizontal="left" wrapText="1"/>
    </xf>
    <xf numFmtId="0" fontId="0" fillId="14" borderId="7" applyAlignment="1" pivotButton="0" quotePrefix="0" xfId="0">
      <alignment wrapText="1"/>
    </xf>
    <xf numFmtId="0" fontId="8" fillId="11" borderId="1" pivotButton="0" quotePrefix="0" xfId="0"/>
    <xf numFmtId="165" fontId="8" fillId="11" borderId="1" applyAlignment="1" pivotButton="0" quotePrefix="0" xfId="0">
      <alignment horizontal="left"/>
    </xf>
    <xf numFmtId="0" fontId="8" fillId="11" borderId="1" pivotButton="0" quotePrefix="0" xfId="0"/>
    <xf numFmtId="0" fontId="8" fillId="11" borderId="5" applyAlignment="1" pivotButton="0" quotePrefix="0" xfId="0">
      <alignment horizontal="left" wrapText="1"/>
    </xf>
    <xf numFmtId="0" fontId="0" fillId="11" borderId="7" applyAlignment="1" pivotButton="0" quotePrefix="0" xfId="0">
      <alignment wrapText="1"/>
    </xf>
    <xf numFmtId="0" fontId="8" fillId="11" borderId="13" applyAlignment="1" pivotButton="0" quotePrefix="0" xfId="0">
      <alignment wrapText="1"/>
    </xf>
    <xf numFmtId="165" fontId="8" fillId="11" borderId="13" applyAlignment="1" pivotButton="0" quotePrefix="0" xfId="0">
      <alignment horizontal="left" wrapText="1"/>
    </xf>
    <xf numFmtId="0" fontId="8" fillId="11" borderId="13" applyAlignment="1" pivotButton="0" quotePrefix="0" xfId="0">
      <alignment vertical="bottom"/>
    </xf>
    <xf numFmtId="0" fontId="8" fillId="11" borderId="33" applyAlignment="1" pivotButton="0" quotePrefix="0" xfId="0">
      <alignment horizontal="left" vertical="bottom"/>
    </xf>
    <xf numFmtId="0" fontId="8" fillId="11" borderId="35" applyAlignment="1" pivotButton="0" quotePrefix="0" xfId="0">
      <alignment horizontal="left" vertical="bottom"/>
    </xf>
    <xf numFmtId="165" fontId="13" fillId="11" borderId="13" applyAlignment="1" pivotButton="0" quotePrefix="0" xfId="0">
      <alignment horizontal="left" wrapText="1"/>
    </xf>
    <xf numFmtId="0" fontId="8" fillId="11" borderId="33" applyAlignment="1" pivotButton="0" quotePrefix="0" xfId="0">
      <alignment horizontal="left" vertical="bottom"/>
    </xf>
    <xf numFmtId="0" fontId="8" fillId="11" borderId="35" applyAlignment="1" pivotButton="0" quotePrefix="0" xfId="0">
      <alignment horizontal="left" vertical="bottom"/>
    </xf>
    <xf numFmtId="0" fontId="8" fillId="12" borderId="13" applyAlignment="1" pivotButton="0" quotePrefix="0" xfId="0">
      <alignment horizontal="left" vertical="bottom"/>
    </xf>
    <xf numFmtId="0" fontId="8" fillId="6" borderId="13" applyAlignment="1" pivotButton="0" quotePrefix="0" xfId="0">
      <alignment horizontal="left" vertical="bottom"/>
    </xf>
    <xf numFmtId="0" fontId="8" fillId="11" borderId="13" applyAlignment="1" pivotButton="0" quotePrefix="0" xfId="0">
      <alignment horizontal="left" vertical="bottom"/>
    </xf>
    <xf numFmtId="0" fontId="8" fillId="12" borderId="13" applyAlignment="1" pivotButton="0" quotePrefix="0" xfId="0">
      <alignment horizontal="left" vertical="bottom" wrapText="1"/>
    </xf>
    <xf numFmtId="0" fontId="8" fillId="11" borderId="13" applyAlignment="1" pivotButton="0" quotePrefix="0" xfId="0">
      <alignment horizontal="left" vertical="bottom"/>
    </xf>
    <xf numFmtId="0" fontId="8" fillId="12" borderId="13" applyAlignment="1" pivotButton="0" quotePrefix="0" xfId="0">
      <alignment horizontal="left" vertical="bottom"/>
    </xf>
    <xf numFmtId="0" fontId="3" fillId="11" borderId="13" applyAlignment="1" pivotButton="0" quotePrefix="0" xfId="0">
      <alignment vertical="bottom"/>
    </xf>
    <xf numFmtId="0" fontId="3" fillId="11" borderId="13" applyAlignment="1" pivotButton="0" quotePrefix="0" xfId="0">
      <alignment horizontal="center" vertical="bottom"/>
    </xf>
    <xf numFmtId="0" fontId="8" fillId="15" borderId="5" applyAlignment="1" pivotButton="0" quotePrefix="0" xfId="0">
      <alignment horizontal="left" wrapText="1"/>
    </xf>
    <xf numFmtId="0" fontId="0" fillId="15" borderId="7" applyAlignment="1" pivotButton="0" quotePrefix="0" xfId="0">
      <alignment wrapText="1"/>
    </xf>
    <xf numFmtId="165" fontId="16" fillId="4" borderId="1" applyAlignment="1" pivotButton="0" quotePrefix="0" xfId="0">
      <alignment horizontal="left"/>
    </xf>
    <xf numFmtId="0" fontId="16" fillId="0" borderId="13" applyAlignment="1" pivotButton="0" quotePrefix="0" xfId="0">
      <alignment horizontal="left"/>
    </xf>
    <xf numFmtId="0" fontId="17" fillId="0" borderId="13" applyAlignment="1" pivotButton="0" quotePrefix="0" xfId="0">
      <alignment horizontal="left" vertical="top" wrapText="1"/>
    </xf>
    <xf numFmtId="0" fontId="13" fillId="11" borderId="13" applyAlignment="1" pivotButton="0" quotePrefix="0" xfId="0">
      <alignment horizontal="left" vertical="bottom"/>
    </xf>
    <xf numFmtId="0" fontId="18" fillId="0" borderId="13" applyAlignment="1" pivotButton="0" quotePrefix="0" xfId="0">
      <alignment horizontal="left" vertical="top" wrapText="1"/>
    </xf>
    <xf numFmtId="0" fontId="16" fillId="11" borderId="13" applyAlignment="1" pivotButton="0" quotePrefix="0" xfId="0">
      <alignment horizontal="left" vertical="bottom"/>
    </xf>
    <xf numFmtId="0" fontId="16" fillId="11" borderId="13" applyAlignment="1" pivotButton="0" quotePrefix="0" xfId="0">
      <alignment horizontal="left" vertical="bottom" wrapText="1"/>
    </xf>
    <xf numFmtId="0" fontId="3" fillId="5" borderId="3" applyAlignment="1" pivotButton="0" quotePrefix="0" xfId="0">
      <alignment horizontal="center"/>
    </xf>
    <xf numFmtId="0" fontId="3" fillId="5" borderId="4" applyAlignment="1" pivotButton="0" quotePrefix="0" xfId="0">
      <alignment horizontal="center"/>
    </xf>
    <xf numFmtId="164" fontId="8" fillId="6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0" fontId="8" fillId="6" borderId="1" applyAlignment="1" pivotButton="0" quotePrefix="0" xfId="0">
      <alignment horizontal="center"/>
    </xf>
    <xf numFmtId="0" fontId="3" fillId="5" borderId="9" applyAlignment="1" pivotButton="0" quotePrefix="0" xfId="0">
      <alignment horizontal="center"/>
    </xf>
    <xf numFmtId="0" fontId="8" fillId="6" borderId="5" applyAlignment="1" pivotButton="0" quotePrefix="0" xfId="0">
      <alignment horizontal="center"/>
    </xf>
    <xf numFmtId="0" fontId="2" fillId="4" borderId="3" applyAlignment="1" pivotButton="0" quotePrefix="0" xfId="0">
      <alignment horizontal="center"/>
    </xf>
    <xf numFmtId="0" fontId="2" fillId="4" borderId="8" applyAlignment="1" pivotButton="0" quotePrefix="0" xfId="0">
      <alignment horizontal="center"/>
    </xf>
    <xf numFmtId="0" fontId="8" fillId="6" borderId="5" pivotButton="0" quotePrefix="0" xfId="0"/>
    <xf numFmtId="0" fontId="8" fillId="6" borderId="7" pivotButton="0" quotePrefix="0" xfId="0"/>
    <xf numFmtId="0" fontId="8" fillId="6" borderId="5" pivotButton="0" quotePrefix="0" xfId="0"/>
    <xf numFmtId="0" fontId="8" fillId="6" borderId="7" pivotButton="0" quotePrefix="0" xfId="0"/>
    <xf numFmtId="0" fontId="3" fillId="5" borderId="21" applyAlignment="1" pivotButton="0" quotePrefix="0" xfId="0">
      <alignment horizontal="center"/>
    </xf>
    <xf numFmtId="0" fontId="8" fillId="6" borderId="38" pivotButton="0" quotePrefix="0" xfId="0"/>
    <xf numFmtId="0" fontId="8" fillId="6" borderId="33" pivotButton="0" quotePrefix="0" xfId="0"/>
    <xf numFmtId="0" fontId="8" fillId="6" borderId="35" pivotButton="0" quotePrefix="0" xfId="0"/>
    <xf numFmtId="0" fontId="8" fillId="6" borderId="13" pivotButton="0" quotePrefix="0" xfId="0"/>
    <xf numFmtId="0" fontId="3" fillId="5" borderId="21" pivotButton="0" quotePrefix="0" xfId="0"/>
    <xf numFmtId="0" fontId="3" fillId="5" borderId="22" pivotButton="0" quotePrefix="0" xfId="0"/>
    <xf numFmtId="0" fontId="0" fillId="13" borderId="0" pivotButton="0" quotePrefix="0" xfId="0"/>
    <xf numFmtId="0" fontId="3" fillId="5" borderId="30" pivotButton="0" quotePrefix="0" xfId="0"/>
    <xf numFmtId="0" fontId="0" fillId="13" borderId="13" pivotButton="0" quotePrefix="0" xfId="0"/>
    <xf numFmtId="0" fontId="0" fillId="0" borderId="13" pivotButton="0" quotePrefix="0" xfId="0"/>
    <xf numFmtId="0" fontId="3" fillId="13" borderId="13" pivotButton="0" quotePrefix="0" xfId="0"/>
    <xf numFmtId="0" fontId="3" fillId="13" borderId="13" applyAlignment="1" pivotButton="0" quotePrefix="0" xfId="0">
      <alignment wrapText="1"/>
    </xf>
    <xf numFmtId="0" fontId="0" fillId="0" borderId="13" pivotButton="0" quotePrefix="0" xfId="0"/>
    <xf numFmtId="0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/>
    </xf>
    <xf numFmtId="0" fontId="19" fillId="6" borderId="1" pivotButton="0" quotePrefix="0" xfId="0"/>
    <xf numFmtId="167" fontId="19" fillId="6" borderId="1" pivotButton="0" quotePrefix="0" xfId="0"/>
    <xf numFmtId="0" fontId="20" fillId="6" borderId="1" applyAlignment="1" pivotButton="0" quotePrefix="0" xfId="0">
      <alignment horizontal="left"/>
    </xf>
    <xf numFmtId="0" fontId="10" fillId="6" borderId="1" pivotButton="0" quotePrefix="0" xfId="0"/>
    <xf numFmtId="0" fontId="0" fillId="6" borderId="1" pivotButton="0" quotePrefix="0" xfId="0"/>
    <xf numFmtId="0" fontId="21" fillId="6" borderId="1" applyAlignment="1" pivotButton="0" quotePrefix="0" xfId="0">
      <alignment horizontal="left"/>
    </xf>
    <xf numFmtId="167" fontId="19" fillId="16" borderId="1" pivotButton="0" quotePrefix="0" xfId="0"/>
    <xf numFmtId="167" fontId="19" fillId="0" borderId="1" pivotButton="0" quotePrefix="0" xfId="0"/>
    <xf numFmtId="0" fontId="22" fillId="6" borderId="1" applyAlignment="1" pivotButton="0" quotePrefix="0" xfId="0">
      <alignment horizontal="left"/>
    </xf>
    <xf numFmtId="0" fontId="19" fillId="0" borderId="1" pivotButton="0" quotePrefix="0" xfId="0"/>
    <xf numFmtId="0" fontId="23" fillId="6" borderId="1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0" fontId="25" fillId="6" borderId="1" applyAlignment="1" pivotButton="0" quotePrefix="0" xfId="0">
      <alignment horizontal="left"/>
    </xf>
    <xf numFmtId="0" fontId="3" fillId="11" borderId="3" applyAlignment="1" pivotButton="0" quotePrefix="0" xfId="0">
      <alignment horizontal="center"/>
    </xf>
    <xf numFmtId="0" fontId="3" fillId="11" borderId="4" applyAlignment="1" pivotButton="0" quotePrefix="0" xfId="0">
      <alignment horizontal="center"/>
    </xf>
    <xf numFmtId="0" fontId="3" fillId="11" borderId="21" pivotButton="0" quotePrefix="0" xfId="0"/>
    <xf numFmtId="0" fontId="3" fillId="11" borderId="30" pivotButton="0" quotePrefix="0" xfId="0"/>
    <xf numFmtId="0" fontId="3" fillId="11" borderId="13" pivotButton="0" quotePrefix="0" xfId="0"/>
    <xf numFmtId="0" fontId="3" fillId="11" borderId="13" applyAlignment="1" pivotButton="0" quotePrefix="0" xfId="0">
      <alignment wrapText="1"/>
    </xf>
    <xf numFmtId="0" fontId="12" fillId="13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left" vertical="center"/>
    </xf>
    <xf numFmtId="167" fontId="19" fillId="11" borderId="1" pivotButton="0" quotePrefix="0" xfId="0"/>
    <xf numFmtId="0" fontId="3" fillId="11" borderId="18" applyAlignment="1" pivotButton="0" quotePrefix="0" xfId="0">
      <alignment horizontal="center"/>
    </xf>
    <xf numFmtId="0" fontId="12" fillId="13" borderId="39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0" fontId="12" fillId="13" borderId="27" applyAlignment="1" pivotButton="0" quotePrefix="0" xfId="0">
      <alignment horizontal="center" vertical="center"/>
    </xf>
    <xf numFmtId="0" fontId="10" fillId="6" borderId="5" pivotButton="0" quotePrefix="0" xfId="0"/>
    <xf numFmtId="0" fontId="0" fillId="6" borderId="27" pivotButton="0" quotePrefix="0" xfId="0"/>
    <xf numFmtId="0" fontId="12" fillId="14" borderId="27" applyAlignment="1" pivotButton="0" quotePrefix="0" xfId="0">
      <alignment horizontal="center" vertical="center"/>
    </xf>
    <xf numFmtId="0" fontId="0" fillId="14" borderId="27" pivotButton="0" quotePrefix="0" xfId="0"/>
    <xf numFmtId="0" fontId="12" fillId="11" borderId="27" applyAlignment="1" pivotButton="0" quotePrefix="0" xfId="0">
      <alignment horizontal="center" vertical="center"/>
    </xf>
    <xf numFmtId="0" fontId="0" fillId="11" borderId="27" pivotButton="0" quotePrefix="0" xfId="0"/>
    <xf numFmtId="0" fontId="3" fillId="5" borderId="18" applyAlignment="1" pivotButton="0" quotePrefix="0" xfId="0">
      <alignment horizontal="center"/>
    </xf>
    <xf numFmtId="0" fontId="3" fillId="5" borderId="13" pivotButton="0" quotePrefix="0" xfId="0"/>
    <xf numFmtId="0" fontId="3" fillId="13" borderId="33" pivotButton="0" quotePrefix="0" xfId="0"/>
    <xf numFmtId="0" fontId="3" fillId="13" borderId="27" pivotButton="0" quotePrefix="0" xfId="0"/>
    <xf numFmtId="0" fontId="3" fillId="13" borderId="27" applyAlignment="1" pivotButton="0" quotePrefix="0" xfId="0">
      <alignment wrapText="1"/>
    </xf>
    <xf numFmtId="0" fontId="3" fillId="11" borderId="33" pivotButton="0" quotePrefix="0" xfId="0"/>
    <xf numFmtId="0" fontId="3" fillId="11" borderId="27" pivotButton="0" quotePrefix="0" xfId="0"/>
    <xf numFmtId="0" fontId="3" fillId="11" borderId="27" applyAlignment="1" pivotButton="0" quotePrefix="0" xfId="0">
      <alignment wrapText="1"/>
    </xf>
    <xf numFmtId="0" fontId="10" fillId="6" borderId="27" pivotButton="0" quotePrefix="0" xfId="0"/>
    <xf numFmtId="0" fontId="10" fillId="11" borderId="27" pivotButton="0" quotePrefix="0" xfId="0"/>
    <xf numFmtId="0" fontId="12" fillId="13" borderId="38" applyAlignment="1" pivotButton="0" quotePrefix="0" xfId="0">
      <alignment horizontal="center" vertical="center"/>
    </xf>
    <xf numFmtId="0" fontId="12" fillId="13" borderId="13" applyAlignment="1" pivotButton="0" quotePrefix="0" xfId="0">
      <alignment horizontal="center" vertical="center"/>
    </xf>
    <xf numFmtId="0" fontId="10" fillId="6" borderId="38" pivotButton="0" quotePrefix="0" xfId="0"/>
    <xf numFmtId="0" fontId="10" fillId="6" borderId="13" pivotButton="0" quotePrefix="0" xfId="0"/>
    <xf numFmtId="0" fontId="10" fillId="6" borderId="40" pivotButton="0" quotePrefix="0" xfId="0"/>
    <xf numFmtId="0" fontId="19" fillId="0" borderId="40" pivotButton="0" quotePrefix="0" xfId="0"/>
    <xf numFmtId="0" fontId="19" fillId="6" borderId="40" pivotButton="0" quotePrefix="0" xfId="0"/>
    <xf numFmtId="0" fontId="22" fillId="6" borderId="40" applyAlignment="1" pivotButton="0" quotePrefix="0" xfId="0">
      <alignment horizontal="left"/>
    </xf>
    <xf numFmtId="0" fontId="10" fillId="6" borderId="41" pivotButton="0" quotePrefix="0" xfId="0"/>
    <xf numFmtId="164" fontId="0" fillId="11" borderId="13" applyAlignment="1" pivotButton="0" quotePrefix="0" xfId="0">
      <alignment horizontal="center" vertical="bottom"/>
    </xf>
    <xf numFmtId="0" fontId="10" fillId="11" borderId="13" applyAlignment="1" pivotButton="0" quotePrefix="0" xfId="0">
      <alignment wrapText="1"/>
    </xf>
    <xf numFmtId="0" fontId="10" fillId="11" borderId="13" applyAlignment="1" pivotButton="0" quotePrefix="0" xfId="0">
      <alignment horizontal="center" wrapText="1"/>
    </xf>
    <xf numFmtId="165" fontId="0" fillId="11" borderId="13" applyAlignment="1" pivotButton="0" quotePrefix="0" xfId="0">
      <alignment horizontal="center" vertical="bottom"/>
    </xf>
    <xf numFmtId="0" fontId="0" fillId="11" borderId="13" applyAlignment="1" pivotButton="0" quotePrefix="0" xfId="0">
      <alignment vertical="bottom"/>
    </xf>
    <xf numFmtId="0" fontId="0" fillId="11" borderId="13" applyAlignment="1" pivotButton="0" quotePrefix="0" xfId="0">
      <alignment horizontal="center" vertical="bottom"/>
    </xf>
    <xf numFmtId="0" fontId="0" fillId="11" borderId="13" applyAlignment="1" pivotButton="0" quotePrefix="0" xfId="0">
      <alignment vertical="bottom"/>
    </xf>
    <xf numFmtId="0" fontId="0" fillId="6" borderId="18" applyAlignment="1" pivotButton="0" quotePrefix="0" xfId="0">
      <alignment vertical="bottom"/>
    </xf>
    <xf numFmtId="1" fontId="8" fillId="7" borderId="1" applyAlignment="1" pivotButton="0" quotePrefix="0" xfId="0">
      <alignment horizontal="center"/>
    </xf>
    <xf numFmtId="0" fontId="8" fillId="7" borderId="1" applyAlignment="1" pivotButton="0" quotePrefix="0" xfId="0">
      <alignment vertical="top"/>
    </xf>
    <xf numFmtId="0" fontId="8" fillId="7" borderId="1" applyAlignment="1" pivotButton="0" quotePrefix="0" xfId="0">
      <alignment horizontal="left"/>
    </xf>
    <xf numFmtId="1" fontId="8" fillId="6" borderId="1" applyAlignment="1" pivotButton="0" quotePrefix="0" xfId="0">
      <alignment horizontal="center"/>
    </xf>
    <xf numFmtId="1" fontId="8" fillId="4" borderId="1" applyAlignment="1" pivotButton="0" quotePrefix="0" xfId="0">
      <alignment horizontal="center"/>
    </xf>
    <xf numFmtId="0" fontId="8" fillId="6" borderId="1" pivotButton="0" quotePrefix="0" xfId="0"/>
    <xf numFmtId="165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164" fontId="13" fillId="7" borderId="1" applyAlignment="1" pivotButton="0" quotePrefix="0" xfId="0">
      <alignment horizontal="left"/>
    </xf>
    <xf numFmtId="165" fontId="13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8" fillId="7" borderId="5" applyAlignment="1" pivotButton="0" quotePrefix="0" xfId="0">
      <alignment horizontal="left"/>
    </xf>
    <xf numFmtId="0" fontId="8" fillId="6" borderId="5" applyAlignment="1" pivotButton="0" quotePrefix="0" xfId="0">
      <alignment horizontal="left"/>
    </xf>
    <xf numFmtId="0" fontId="8" fillId="6" borderId="5" applyAlignment="1" pivotButton="0" quotePrefix="0" xfId="0">
      <alignment horizontal="left"/>
    </xf>
    <xf numFmtId="0" fontId="0" fillId="5" borderId="4" pivotButton="0" quotePrefix="0" xfId="0"/>
    <xf numFmtId="0" fontId="3" fillId="5" borderId="10" applyAlignment="1" pivotButton="0" quotePrefix="0" xfId="0">
      <alignment horizontal="center"/>
    </xf>
    <xf numFmtId="164" fontId="8" fillId="6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left" wrapText="1"/>
    </xf>
    <xf numFmtId="0" fontId="8" fillId="6" borderId="1" applyAlignment="1" pivotButton="0" quotePrefix="0" xfId="0">
      <alignment wrapText="1"/>
    </xf>
    <xf numFmtId="0" fontId="8" fillId="6" borderId="5" applyAlignment="1" pivotButton="0" quotePrefix="0" xfId="0">
      <alignment horizontal="center" wrapText="1"/>
    </xf>
    <xf numFmtId="1" fontId="8" fillId="7" borderId="1" applyAlignment="1" pivotButton="0" quotePrefix="0" xfId="0">
      <alignment horizontal="center" wrapText="1"/>
    </xf>
    <xf numFmtId="0" fontId="8" fillId="7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8" fillId="7" borderId="5" applyAlignment="1" pivotButton="0" quotePrefix="0" xfId="0">
      <alignment horizontal="left" wrapText="1"/>
    </xf>
    <xf numFmtId="1" fontId="8" fillId="6" borderId="1" applyAlignment="1" pivotButton="0" quotePrefix="0" xfId="0">
      <alignment horizontal="center" wrapText="1"/>
    </xf>
    <xf numFmtId="165" fontId="8" fillId="0" borderId="1" applyAlignment="1" pivotButton="0" quotePrefix="0" xfId="0">
      <alignment horizontal="left" wrapText="1"/>
    </xf>
    <xf numFmtId="164" fontId="8" fillId="7" borderId="1" applyAlignment="1" pivotButton="0" quotePrefix="0" xfId="0">
      <alignment horizontal="left" wrapText="1"/>
    </xf>
    <xf numFmtId="1" fontId="8" fillId="4" borderId="1" applyAlignment="1" pivotButton="0" quotePrefix="0" xfId="0">
      <alignment horizontal="center" wrapText="1"/>
    </xf>
    <xf numFmtId="165" fontId="8" fillId="6" borderId="1" applyAlignment="1" pivotButton="0" quotePrefix="0" xfId="0">
      <alignment horizontal="left" wrapText="1"/>
    </xf>
    <xf numFmtId="164" fontId="13" fillId="7" borderId="1" applyAlignment="1" pivotButton="0" quotePrefix="0" xfId="0">
      <alignment horizontal="left" wrapText="1"/>
    </xf>
    <xf numFmtId="165" fontId="13" fillId="6" borderId="1" applyAlignment="1" pivotButton="0" quotePrefix="0" xfId="0">
      <alignment horizontal="left" wrapText="1"/>
    </xf>
    <xf numFmtId="0" fontId="0" fillId="6" borderId="9" applyAlignment="1" pivotButton="0" quotePrefix="0" xfId="0">
      <alignment horizontal="center" vertical="bottom" wrapText="1"/>
    </xf>
    <xf numFmtId="0" fontId="0" fillId="6" borderId="10" applyAlignment="1" pivotButton="0" quotePrefix="0" xfId="0">
      <alignment vertical="bottom" wrapText="1"/>
    </xf>
    <xf numFmtId="0" fontId="0" fillId="11" borderId="4" applyAlignment="1" pivotButton="0" quotePrefix="0" xfId="0">
      <alignment vertical="bottom"/>
    </xf>
    <xf numFmtId="0" fontId="0" fillId="11" borderId="9" applyAlignment="1" pivotButton="0" quotePrefix="0" xfId="0">
      <alignment horizontal="center" vertical="bottom"/>
    </xf>
    <xf numFmtId="0" fontId="0" fillId="11" borderId="10" applyAlignment="1" pivotButton="0" quotePrefix="0" xfId="0">
      <alignment vertical="bottom"/>
    </xf>
    <xf numFmtId="0" fontId="3" fillId="11" borderId="4" applyAlignment="1" pivotButton="0" quotePrefix="0" xfId="0">
      <alignment horizontal="center" wrapText="1"/>
    </xf>
    <xf numFmtId="0" fontId="8" fillId="7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167" fontId="26" fillId="6" borderId="1" pivotButton="0" quotePrefix="0" xfId="0"/>
    <xf numFmtId="0" fontId="8" fillId="0" borderId="1" applyAlignment="1" pivotButton="0" quotePrefix="0" xfId="0">
      <alignment horizontal="center" wrapText="1"/>
    </xf>
    <xf numFmtId="0" fontId="8" fillId="7" borderId="1" applyAlignment="1" pivotButton="0" quotePrefix="0" xfId="0">
      <alignment horizontal="center" vertical="top" wrapText="1"/>
    </xf>
    <xf numFmtId="0" fontId="8" fillId="7" borderId="1" applyAlignment="1" pivotButton="0" quotePrefix="0" xfId="0">
      <alignment horizontal="center" wrapText="1"/>
    </xf>
    <xf numFmtId="0" fontId="8" fillId="6" borderId="1" applyAlignment="1" pivotButton="0" quotePrefix="0" xfId="0">
      <alignment horizontal="center" wrapText="1"/>
    </xf>
    <xf numFmtId="0" fontId="13" fillId="0" borderId="1" applyAlignment="1" pivotButton="0" quotePrefix="0" xfId="0">
      <alignment horizontal="center" wrapText="1"/>
    </xf>
    <xf numFmtId="0" fontId="13" fillId="7" borderId="1" applyAlignment="1" pivotButton="0" quotePrefix="0" xfId="0">
      <alignment horizontal="center" vertical="top" wrapText="1"/>
    </xf>
    <xf numFmtId="0" fontId="13" fillId="7" borderId="1" applyAlignment="1" pivotButton="0" quotePrefix="0" xfId="0">
      <alignment horizontal="center" wrapText="1"/>
    </xf>
    <xf numFmtId="0" fontId="13" fillId="6" borderId="1" applyAlignment="1" pivotButton="0" quotePrefix="0" xfId="0">
      <alignment horizontal="center" wrapText="1"/>
    </xf>
    <xf numFmtId="0" fontId="13" fillId="0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vertical="center" wrapText="1"/>
    </xf>
    <xf numFmtId="165" fontId="8" fillId="0" borderId="1" applyAlignment="1" pivotButton="0" quotePrefix="0" xfId="0">
      <alignment horizontal="left" vertical="center" wrapText="1"/>
    </xf>
    <xf numFmtId="164" fontId="8" fillId="7" borderId="1" applyAlignment="1" pivotButton="0" quotePrefix="0" xfId="0">
      <alignment horizontal="left" vertical="center" wrapText="1"/>
    </xf>
    <xf numFmtId="165" fontId="8" fillId="6" borderId="1" applyAlignment="1" pivotButton="0" quotePrefix="0" xfId="0">
      <alignment horizontal="left" vertical="center" wrapText="1"/>
    </xf>
    <xf numFmtId="164" fontId="13" fillId="7" borderId="1" applyAlignment="1" pivotButton="0" quotePrefix="0" xfId="0">
      <alignment horizontal="left" vertical="center" wrapText="1"/>
    </xf>
    <xf numFmtId="165" fontId="13" fillId="6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5" fontId="13" fillId="6" borderId="1" applyAlignment="1" pivotButton="0" quotePrefix="0" xfId="0">
      <alignment horizontal="center" vertical="center" wrapText="1"/>
    </xf>
    <xf numFmtId="165" fontId="13" fillId="0" borderId="1" applyAlignment="1" pivotButton="0" quotePrefix="0" xfId="0">
      <alignment horizontal="center" vertical="center" wrapText="1"/>
    </xf>
    <xf numFmtId="167" fontId="27" fillId="6" borderId="1" pivotButton="0" quotePrefix="0" xfId="0"/>
    <xf numFmtId="0" fontId="12" fillId="13" borderId="33" applyAlignment="1" pivotButton="0" quotePrefix="0" xfId="0">
      <alignment horizontal="center" vertical="center"/>
    </xf>
    <xf numFmtId="0" fontId="12" fillId="13" borderId="35" applyAlignment="1" pivotButton="0" quotePrefix="0" xfId="0">
      <alignment horizontal="center" vertical="center"/>
    </xf>
    <xf numFmtId="0" fontId="10" fillId="6" borderId="35" pivotButton="0" quotePrefix="0" xfId="0"/>
    <xf numFmtId="0" fontId="10" fillId="6" borderId="38" applyAlignment="1" pivotButton="0" quotePrefix="0" xfId="0">
      <alignment horizontal="center"/>
    </xf>
    <xf numFmtId="0" fontId="10" fillId="6" borderId="5" applyAlignment="1" pivotButton="0" quotePrefix="0" xfId="0">
      <alignment horizontal="center"/>
    </xf>
    <xf numFmtId="1" fontId="8" fillId="7" borderId="1" applyAlignment="1" pivotButton="0" quotePrefix="0" xfId="0">
      <alignment horizontal="center" vertical="center" wrapText="1"/>
    </xf>
    <xf numFmtId="1" fontId="8" fillId="6" borderId="1" applyAlignment="1" pivotButton="0" quotePrefix="0" xfId="0">
      <alignment horizontal="center" vertical="center" wrapText="1"/>
    </xf>
    <xf numFmtId="1" fontId="8" fillId="4" borderId="1" applyAlignment="1" pivotButton="0" quotePrefix="0" xfId="0">
      <alignment horizontal="center" vertical="center" wrapText="1"/>
    </xf>
    <xf numFmtId="0" fontId="0" fillId="12" borderId="4" applyAlignment="1" pivotButton="0" quotePrefix="0" xfId="0">
      <alignment vertical="bottom" wrapText="1"/>
    </xf>
    <xf numFmtId="0" fontId="0" fillId="12" borderId="9" applyAlignment="1" pivotButton="0" quotePrefix="0" xfId="0">
      <alignment horizontal="center" vertical="bottom" wrapText="1"/>
    </xf>
    <xf numFmtId="0" fontId="0" fillId="12" borderId="10" applyAlignment="1" pivotButton="0" quotePrefix="0" xfId="0">
      <alignment vertical="bottom" wrapText="1"/>
    </xf>
    <xf numFmtId="0" fontId="0" fillId="3" borderId="20" applyAlignment="1" pivotButton="0" quotePrefix="0" xfId="0">
      <alignment vertical="bottom"/>
    </xf>
    <xf numFmtId="0" fontId="2" fillId="4" borderId="13" applyAlignment="1" pivotButton="0" quotePrefix="0" xfId="0">
      <alignment horizontal="center" vertical="bottom"/>
    </xf>
    <xf numFmtId="0" fontId="3" fillId="5" borderId="13" applyAlignment="1" pivotButton="0" quotePrefix="0" xfId="0">
      <alignment horizontal="center"/>
    </xf>
    <xf numFmtId="0" fontId="3" fillId="11" borderId="13" applyAlignment="1" pivotButton="0" quotePrefix="0" xfId="0">
      <alignment horizontal="center"/>
    </xf>
    <xf numFmtId="0" fontId="3" fillId="11" borderId="13" applyAlignment="1" pivotButton="0" quotePrefix="0" xfId="0">
      <alignment horizontal="center" wrapText="1"/>
    </xf>
    <xf numFmtId="0" fontId="12" fillId="13" borderId="13" applyAlignment="1" pivotButton="0" quotePrefix="0" xfId="0">
      <alignment horizontal="left" vertical="center"/>
    </xf>
    <xf numFmtId="0" fontId="19" fillId="6" borderId="13" pivotButton="0" quotePrefix="0" xfId="0"/>
    <xf numFmtId="167" fontId="26" fillId="6" borderId="13" pivotButton="0" quotePrefix="0" xfId="0"/>
    <xf numFmtId="0" fontId="23" fillId="6" borderId="13" applyAlignment="1" pivotButton="0" quotePrefix="0" xfId="0">
      <alignment horizontal="left"/>
    </xf>
    <xf numFmtId="0" fontId="10" fillId="6" borderId="13" applyAlignment="1" pivotButton="0" quotePrefix="0" xfId="0">
      <alignment horizontal="center"/>
    </xf>
    <xf numFmtId="167" fontId="19" fillId="6" borderId="13" pivotButton="0" quotePrefix="0" xfId="0"/>
    <xf numFmtId="0" fontId="24" fillId="6" borderId="13" applyAlignment="1" pivotButton="0" quotePrefix="0" xfId="0">
      <alignment horizontal="left"/>
    </xf>
    <xf numFmtId="167" fontId="19" fillId="11" borderId="13" pivotButton="0" quotePrefix="0" xfId="0"/>
    <xf numFmtId="167" fontId="19" fillId="0" borderId="13" pivotButton="0" quotePrefix="0" xfId="0"/>
    <xf numFmtId="0" fontId="25" fillId="6" borderId="13" applyAlignment="1" pivotButton="0" quotePrefix="0" xfId="0">
      <alignment horizontal="left"/>
    </xf>
    <xf numFmtId="0" fontId="19" fillId="0" borderId="13" pivotButton="0" quotePrefix="0" xfId="0"/>
    <xf numFmtId="0" fontId="22" fillId="6" borderId="13" applyAlignment="1" pivotButton="0" quotePrefix="0" xfId="0">
      <alignment horizontal="left"/>
    </xf>
    <xf numFmtId="0" fontId="2" fillId="4" borderId="13" applyAlignment="1" pivotButton="0" quotePrefix="0" xfId="0">
      <alignment horizontal="center"/>
    </xf>
    <xf numFmtId="164" fontId="8" fillId="6" borderId="13" applyAlignment="1" pivotButton="0" quotePrefix="0" xfId="0">
      <alignment horizontal="center" wrapText="1"/>
    </xf>
    <xf numFmtId="0" fontId="8" fillId="0" borderId="13" applyAlignment="1" pivotButton="0" quotePrefix="0" xfId="0">
      <alignment horizontal="left" wrapText="1"/>
    </xf>
    <xf numFmtId="0" fontId="13" fillId="0" borderId="13" applyAlignment="1" pivotButton="0" quotePrefix="0" xfId="0">
      <alignment horizontal="center" vertical="center" wrapText="1"/>
    </xf>
    <xf numFmtId="0" fontId="13" fillId="6" borderId="13" applyAlignment="1" pivotButton="0" quotePrefix="0" xfId="0">
      <alignment horizontal="center" vertical="center" wrapText="1"/>
    </xf>
    <xf numFmtId="0" fontId="8" fillId="6" borderId="13" applyAlignment="1" pivotButton="0" quotePrefix="0" xfId="0">
      <alignment horizontal="center" wrapText="1"/>
    </xf>
    <xf numFmtId="1" fontId="8" fillId="7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vertical="top" wrapText="1"/>
    </xf>
    <xf numFmtId="0" fontId="13" fillId="7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horizontal="center" wrapText="1"/>
    </xf>
    <xf numFmtId="1" fontId="8" fillId="6" borderId="13" applyAlignment="1" pivotButton="0" quotePrefix="0" xfId="0">
      <alignment horizontal="center" vertical="center" wrapText="1"/>
    </xf>
    <xf numFmtId="165" fontId="13" fillId="0" borderId="13" applyAlignment="1" pivotButton="0" quotePrefix="0" xfId="0">
      <alignment horizontal="center" vertical="center" wrapText="1"/>
    </xf>
    <xf numFmtId="0" fontId="8" fillId="6" borderId="13" applyAlignment="1" pivotButton="0" quotePrefix="0" xfId="0">
      <alignment horizontal="left" wrapText="1"/>
    </xf>
    <xf numFmtId="0" fontId="8" fillId="7" borderId="13" applyAlignment="1" pivotButton="0" quotePrefix="0" xfId="0">
      <alignment wrapText="1"/>
    </xf>
    <xf numFmtId="164" fontId="13" fillId="7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horizontal="left" wrapText="1"/>
    </xf>
    <xf numFmtId="1" fontId="8" fillId="4" borderId="13" applyAlignment="1" pivotButton="0" quotePrefix="0" xfId="0">
      <alignment horizontal="center" vertical="center" wrapText="1"/>
    </xf>
    <xf numFmtId="0" fontId="8" fillId="6" borderId="13" applyAlignment="1" pivotButton="0" quotePrefix="0" xfId="0">
      <alignment wrapText="1"/>
    </xf>
    <xf numFmtId="165" fontId="13" fillId="6" borderId="13" applyAlignment="1" pivotButton="0" quotePrefix="0" xfId="0">
      <alignment horizontal="center" vertical="center" wrapText="1"/>
    </xf>
    <xf numFmtId="0" fontId="0" fillId="12" borderId="13" applyAlignment="1" pivotButton="0" quotePrefix="0" xfId="0">
      <alignment vertical="bottom" wrapText="1"/>
    </xf>
    <xf numFmtId="0" fontId="0" fillId="12" borderId="13" applyAlignment="1" pivotButton="0" quotePrefix="0" xfId="0">
      <alignment horizontal="center" vertical="bottom" wrapText="1"/>
    </xf>
    <xf numFmtId="0" fontId="8" fillId="11" borderId="13" applyAlignment="1" pivotButton="0" quotePrefix="0" xfId="0">
      <alignment horizontal="center" vertical="bottom"/>
    </xf>
    <xf numFmtId="0" fontId="8" fillId="11" borderId="33" applyAlignment="1" pivotButton="0" quotePrefix="0" xfId="0">
      <alignment horizontal="center" vertical="bottom"/>
    </xf>
    <xf numFmtId="1" fontId="8" fillId="11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vertical="center" wrapText="1"/>
    </xf>
    <xf numFmtId="0" fontId="8" fillId="0" borderId="13" applyAlignment="1" pivotButton="0" quotePrefix="0" xfId="0">
      <alignment horizontal="left" vertical="center" wrapText="1"/>
    </xf>
    <xf numFmtId="0" fontId="10" fillId="6" borderId="13" applyAlignment="1" pivotButton="0" quotePrefix="0" xfId="0">
      <alignment horizontal="center" wrapText="1"/>
    </xf>
    <xf numFmtId="0" fontId="10" fillId="6" borderId="13" applyAlignment="1" pivotButton="0" quotePrefix="0" xfId="0">
      <alignment wrapText="1"/>
    </xf>
    <xf numFmtId="0" fontId="13" fillId="12" borderId="13" applyAlignment="1" pivotButton="0" quotePrefix="0" xfId="0">
      <alignment wrapText="1"/>
    </xf>
    <xf numFmtId="0" fontId="13" fillId="7" borderId="13" applyAlignment="1" pivotButton="0" quotePrefix="0" xfId="0">
      <alignment vertical="bottom"/>
    </xf>
    <xf numFmtId="0" fontId="13" fillId="12" borderId="13" applyAlignment="1" pivotButton="0" quotePrefix="0" xfId="0">
      <alignment horizontal="left" vertical="bottom"/>
    </xf>
    <xf numFmtId="167" fontId="27" fillId="6" borderId="13" pivotButton="0" quotePrefix="0" xfId="0"/>
    <xf numFmtId="0" fontId="16" fillId="0" borderId="13" applyAlignment="1" pivotButton="0" quotePrefix="0" xfId="0">
      <alignment horizontal="center" wrapText="1"/>
    </xf>
    <xf numFmtId="0" fontId="16" fillId="0" borderId="13" applyAlignment="1" pivotButton="0" quotePrefix="0" xfId="0">
      <alignment horizontal="center"/>
    </xf>
    <xf numFmtId="0" fontId="8" fillId="6" borderId="13" applyAlignment="1" pivotButton="0" quotePrefix="0" xfId="0">
      <alignment horizontal="center" vertical="bottom"/>
    </xf>
    <xf numFmtId="0" fontId="8" fillId="7" borderId="13" applyAlignment="1" pivotButton="0" quotePrefix="0" xfId="0">
      <alignment horizontal="center" vertical="bottom"/>
    </xf>
    <xf numFmtId="0" fontId="8" fillId="12" borderId="13" applyAlignment="1" pivotButton="0" quotePrefix="0" xfId="0">
      <alignment horizontal="center" vertical="bottom"/>
    </xf>
    <xf numFmtId="0" fontId="8" fillId="0" borderId="13" applyAlignment="1" pivotButton="0" quotePrefix="0" xfId="0">
      <alignment horizontal="center" wrapText="1"/>
    </xf>
    <xf numFmtId="165" fontId="16" fillId="0" borderId="13" applyAlignment="1" pivotButton="0" quotePrefix="0" xfId="0">
      <alignment horizontal="center" wrapText="1"/>
    </xf>
    <xf numFmtId="0" fontId="13" fillId="12" borderId="13" applyAlignment="1" pivotButton="0" quotePrefix="0" xfId="0">
      <alignment horizontal="center" wrapText="1"/>
    </xf>
    <xf numFmtId="164" fontId="13" fillId="12" borderId="13" applyAlignment="1" pivotButton="0" quotePrefix="0" xfId="0">
      <alignment horizontal="center" wrapText="1"/>
    </xf>
    <xf numFmtId="0" fontId="13" fillId="7" borderId="13" applyAlignment="1" pivotButton="0" quotePrefix="0" xfId="0">
      <alignment horizontal="center" vertical="bottom"/>
    </xf>
    <xf numFmtId="0" fontId="13" fillId="12" borderId="13" applyAlignment="1" pivotButton="0" quotePrefix="0" xfId="0">
      <alignment horizontal="center" vertical="bottom"/>
    </xf>
    <xf numFmtId="0" fontId="8" fillId="11" borderId="13" applyAlignment="1" pivotButton="0" quotePrefix="0" xfId="0">
      <alignment horizontal="center" wrapText="1"/>
    </xf>
    <xf numFmtId="165" fontId="8" fillId="11" borderId="13" applyAlignment="1" pivotButton="0" quotePrefix="0" xfId="0">
      <alignment horizontal="center" wrapText="1"/>
    </xf>
    <xf numFmtId="0" fontId="16" fillId="11" borderId="13" applyAlignment="1" pivotButton="0" quotePrefix="0" xfId="0">
      <alignment horizontal="center" vertical="bottom" wrapText="1"/>
    </xf>
    <xf numFmtId="0" fontId="8" fillId="12" borderId="13" applyAlignment="1" pivotButton="0" quotePrefix="0" xfId="0">
      <alignment horizontal="center" wrapText="1"/>
    </xf>
    <xf numFmtId="0" fontId="8" fillId="12" borderId="13" applyAlignment="1" pivotButton="0" quotePrefix="0" xfId="0">
      <alignment horizontal="center" vertical="bottom" wrapText="1"/>
    </xf>
    <xf numFmtId="0" fontId="16" fillId="0" borderId="13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center" vertical="center"/>
    </xf>
    <xf numFmtId="0" fontId="8" fillId="6" borderId="13" applyAlignment="1" pivotButton="0" quotePrefix="0" xfId="0">
      <alignment horizontal="center" vertical="center"/>
    </xf>
    <xf numFmtId="0" fontId="8" fillId="6" borderId="13" applyAlignment="1" pivotButton="0" quotePrefix="0" xfId="0">
      <alignment horizontal="center" vertical="center"/>
    </xf>
    <xf numFmtId="0" fontId="8" fillId="12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horizontal="center" vertical="center"/>
    </xf>
    <xf numFmtId="0" fontId="8" fillId="12" borderId="13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 wrapText="1"/>
    </xf>
    <xf numFmtId="165" fontId="16" fillId="0" borderId="13" applyAlignment="1" pivotButton="0" quotePrefix="0" xfId="0">
      <alignment horizontal="center" vertical="center" wrapText="1"/>
    </xf>
    <xf numFmtId="0" fontId="13" fillId="12" borderId="13" applyAlignment="1" pivotButton="0" quotePrefix="0" xfId="0">
      <alignment horizontal="center" vertical="center" wrapText="1"/>
    </xf>
    <xf numFmtId="164" fontId="13" fillId="12" borderId="13" applyAlignment="1" pivotButton="0" quotePrefix="0" xfId="0">
      <alignment horizontal="center" vertical="center" wrapText="1"/>
    </xf>
    <xf numFmtId="0" fontId="13" fillId="7" borderId="13" applyAlignment="1" pivotButton="0" quotePrefix="0" xfId="0">
      <alignment horizontal="center" vertical="center"/>
    </xf>
    <xf numFmtId="0" fontId="13" fillId="12" borderId="13" applyAlignment="1" pivotButton="0" quotePrefix="0" xfId="0">
      <alignment horizontal="center" vertical="center"/>
    </xf>
    <xf numFmtId="0" fontId="8" fillId="11" borderId="13" applyAlignment="1" pivotButton="0" quotePrefix="0" xfId="0">
      <alignment horizontal="center" vertical="center" wrapText="1"/>
    </xf>
    <xf numFmtId="165" fontId="8" fillId="11" borderId="13" applyAlignment="1" pivotButton="0" quotePrefix="0" xfId="0">
      <alignment horizontal="center" vertical="center" wrapText="1"/>
    </xf>
    <xf numFmtId="0" fontId="8" fillId="11" borderId="13" applyAlignment="1" pivotButton="0" quotePrefix="0" xfId="0">
      <alignment horizontal="center" vertical="center"/>
    </xf>
    <xf numFmtId="0" fontId="16" fillId="11" borderId="13" applyAlignment="1" pivotButton="0" quotePrefix="0" xfId="0">
      <alignment horizontal="center" vertical="center" wrapText="1"/>
    </xf>
    <xf numFmtId="0" fontId="8" fillId="12" borderId="13" applyAlignment="1" pivotButton="0" quotePrefix="0" xfId="0">
      <alignment horizontal="center" vertical="center"/>
    </xf>
    <xf numFmtId="0" fontId="12" fillId="13" borderId="13" applyAlignment="1" pivotButton="0" quotePrefix="0" xfId="0">
      <alignment vertical="center"/>
    </xf>
    <xf numFmtId="0" fontId="2" fillId="4" borderId="13" pivotButton="0" quotePrefix="0" xfId="0"/>
    <xf numFmtId="164" fontId="8" fillId="11" borderId="13" applyAlignment="1" pivotButton="0" quotePrefix="0" xfId="0">
      <alignment horizontal="center" vertical="bottom"/>
    </xf>
    <xf numFmtId="0" fontId="13" fillId="11" borderId="13" applyAlignment="1" pivotButton="0" quotePrefix="0" xfId="0">
      <alignment horizontal="left" wrapText="1"/>
    </xf>
    <xf numFmtId="0" fontId="8" fillId="11" borderId="13" applyAlignment="1" pivotButton="0" quotePrefix="0" xfId="0">
      <alignment vertical="bottom"/>
    </xf>
    <xf numFmtId="0" fontId="8" fillId="11" borderId="33" applyAlignment="1" pivotButton="0" quotePrefix="0" xfId="0">
      <alignment vertical="bottom"/>
    </xf>
    <xf numFmtId="0" fontId="8" fillId="11" borderId="35" applyAlignment="1" pivotButton="0" quotePrefix="0" xfId="0">
      <alignment vertical="bottom"/>
    </xf>
    <xf numFmtId="0" fontId="8" fillId="11" borderId="13" applyAlignment="1" pivotButton="0" quotePrefix="0" xfId="0">
      <alignment horizontal="center" vertical="bottom"/>
    </xf>
    <xf numFmtId="0" fontId="8" fillId="11" borderId="33" applyAlignment="1" pivotButton="0" quotePrefix="0" xfId="0">
      <alignment horizontal="center" vertical="bottom"/>
    </xf>
    <xf numFmtId="0" fontId="8" fillId="11" borderId="13" applyAlignment="1" pivotButton="0" quotePrefix="0" xfId="0">
      <alignment vertical="center" wrapText="1"/>
    </xf>
    <xf numFmtId="0" fontId="13" fillId="11" borderId="13" applyAlignment="1" pivotButton="0" quotePrefix="0" xfId="0">
      <alignment horizontal="left" vertical="center" wrapText="1"/>
    </xf>
    <xf numFmtId="0" fontId="13" fillId="11" borderId="13" applyAlignment="1" pivotButton="0" quotePrefix="0" xfId="0">
      <alignment horizontal="center" vertical="center" wrapText="1"/>
    </xf>
    <xf numFmtId="0" fontId="28" fillId="11" borderId="13" applyAlignment="1" pivotButton="0" quotePrefix="0" xfId="0">
      <alignment wrapText="1"/>
    </xf>
    <xf numFmtId="0" fontId="8" fillId="6" borderId="13" applyAlignment="1" pivotButton="0" quotePrefix="0" xfId="0">
      <alignment horizontal="center" vertical="bottom" wrapText="1"/>
    </xf>
    <xf numFmtId="0" fontId="8" fillId="6" borderId="13" applyAlignment="1" pivotButton="0" quotePrefix="0" xfId="0">
      <alignment vertical="bottom" wrapText="1"/>
    </xf>
    <xf numFmtId="0" fontId="0" fillId="0" borderId="23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0" fontId="0" fillId="0" borderId="26" applyAlignment="1" pivotButton="0" quotePrefix="0" xfId="0">
      <alignment horizontal="center"/>
    </xf>
    <xf numFmtId="0" fontId="0" fillId="0" borderId="28" pivotButton="0" quotePrefix="0" xfId="0"/>
    <xf numFmtId="0" fontId="0" fillId="0" borderId="29" applyAlignment="1" pivotButton="0" quotePrefix="0" xfId="0">
      <alignment horizontal="center"/>
    </xf>
    <xf numFmtId="0" fontId="0" fillId="0" borderId="30" pivotButton="0" quotePrefix="0" xfId="0"/>
    <xf numFmtId="0" fontId="3" fillId="11" borderId="33" applyAlignment="1" pivotButton="0" quotePrefix="0" xfId="0">
      <alignment vertical="bottom"/>
    </xf>
    <xf numFmtId="0" fontId="3" fillId="11" borderId="13" applyAlignment="1" pivotButton="0" quotePrefix="0" xfId="0">
      <alignment vertical="bottom" wrapText="1"/>
    </xf>
    <xf numFmtId="0" fontId="3" fillId="11" borderId="13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center"/>
    </xf>
    <xf numFmtId="0" fontId="29" fillId="17" borderId="59" applyAlignment="1" pivotButton="0" quotePrefix="0" xfId="0">
      <alignment horizontal="center" vertical="center" wrapText="1"/>
    </xf>
    <xf numFmtId="0" fontId="50" fillId="18" borderId="0" applyAlignment="1" pivotButton="0" quotePrefix="0" xfId="0">
      <alignment horizontal="center" vertical="center" wrapText="1"/>
    </xf>
    <xf numFmtId="0" fontId="31" fillId="19" borderId="0" applyAlignment="1" pivotButton="0" quotePrefix="0" xfId="0">
      <alignment horizontal="left" vertical="center" wrapText="1"/>
    </xf>
    <xf numFmtId="0" fontId="37" fillId="27" borderId="0" applyAlignment="1" pivotButton="0" quotePrefix="0" xfId="0">
      <alignment horizontal="center" vertical="center" wrapText="1"/>
    </xf>
    <xf numFmtId="0" fontId="32" fillId="20" borderId="60" applyAlignment="1" pivotButton="0" quotePrefix="0" xfId="0">
      <alignment horizontal="center" vertical="center" wrapText="1"/>
    </xf>
    <xf numFmtId="0" fontId="0" fillId="0" borderId="63" pivotButton="0" quotePrefix="0" xfId="0"/>
    <xf numFmtId="0" fontId="38" fillId="27" borderId="60" applyAlignment="1" pivotButton="0" quotePrefix="0" xfId="0">
      <alignment horizontal="center" vertical="center" wrapText="1"/>
    </xf>
    <xf numFmtId="1" fontId="51" fillId="18" borderId="60" applyAlignment="1" pivotButton="0" quotePrefix="0" xfId="0">
      <alignment horizontal="center" vertical="center" wrapText="1"/>
    </xf>
    <xf numFmtId="1" fontId="51" fillId="21" borderId="60" applyAlignment="1" pivotButton="0" quotePrefix="0" xfId="0">
      <alignment horizontal="center" vertical="center" wrapText="1"/>
    </xf>
    <xf numFmtId="1" fontId="51" fillId="22" borderId="60" applyAlignment="1" pivotButton="0" quotePrefix="0" xfId="0">
      <alignment horizontal="center" vertical="center" wrapText="1"/>
    </xf>
    <xf numFmtId="168" fontId="51" fillId="23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0" fillId="21" borderId="60" pivotButton="0" quotePrefix="0" xfId="0"/>
    <xf numFmtId="0" fontId="0" fillId="23" borderId="60" pivotButton="0" quotePrefix="0" xfId="0"/>
    <xf numFmtId="0" fontId="37" fillId="25" borderId="0" applyAlignment="1" pivotButton="0" quotePrefix="0" xfId="0">
      <alignment horizontal="left" vertical="center" wrapText="1"/>
    </xf>
    <xf numFmtId="0" fontId="38" fillId="25" borderId="60" applyAlignment="1" pivotButton="0" quotePrefix="0" xfId="0">
      <alignment horizontal="center" vertical="center" wrapText="1"/>
    </xf>
    <xf numFmtId="0" fontId="0" fillId="0" borderId="60" applyAlignment="1" pivotButton="0" quotePrefix="0" xfId="0">
      <alignment horizontal="center" vertical="center" wrapText="1"/>
    </xf>
    <xf numFmtId="0" fontId="0" fillId="23" borderId="60" applyAlignment="1" pivotButton="0" quotePrefix="0" xfId="0">
      <alignment horizontal="center" vertical="center" wrapText="1"/>
    </xf>
    <xf numFmtId="168" fontId="0" fillId="0" borderId="60" applyAlignment="1" pivotButton="0" quotePrefix="0" xfId="0">
      <alignment horizontal="center" vertical="center" wrapText="1"/>
    </xf>
    <xf numFmtId="0" fontId="45" fillId="17" borderId="0" applyAlignment="1" pivotButton="0" quotePrefix="0" xfId="0">
      <alignment horizontal="left" vertical="center" wrapText="1"/>
    </xf>
    <xf numFmtId="0" fontId="45" fillId="27" borderId="0" applyAlignment="1" pivotButton="0" quotePrefix="0" xfId="0">
      <alignment horizontal="left" vertical="center" wrapText="1"/>
    </xf>
    <xf numFmtId="0" fontId="28" fillId="0" borderId="59" pivotButton="0" quotePrefix="0" xfId="0"/>
    <xf numFmtId="0" fontId="30" fillId="18" borderId="59" applyAlignment="1" pivotButton="0" quotePrefix="0" xfId="0">
      <alignment horizontal="center" vertical="center" wrapText="1"/>
    </xf>
    <xf numFmtId="0" fontId="31" fillId="19" borderId="59" applyAlignment="1" pivotButton="0" quotePrefix="0" xfId="0">
      <alignment horizontal="left" vertical="center" wrapText="1"/>
    </xf>
    <xf numFmtId="0" fontId="37" fillId="27" borderId="59" applyAlignment="1" pivotButton="0" quotePrefix="0" xfId="0">
      <alignment horizontal="center" vertical="center" wrapText="1"/>
    </xf>
    <xf numFmtId="169" fontId="33" fillId="18" borderId="60" applyAlignment="1" pivotButton="0" quotePrefix="0" xfId="0">
      <alignment horizontal="center" vertical="center" wrapText="1"/>
    </xf>
    <xf numFmtId="0" fontId="0" fillId="18" borderId="60" pivotButton="0" quotePrefix="0" xfId="0"/>
    <xf numFmtId="169" fontId="34" fillId="21" borderId="60" applyAlignment="1" pivotButton="0" quotePrefix="0" xfId="0">
      <alignment horizontal="center" vertical="center" wrapText="1"/>
    </xf>
    <xf numFmtId="169" fontId="35" fillId="22" borderId="60" applyAlignment="1" pivotButton="0" quotePrefix="0" xfId="0">
      <alignment horizontal="center" vertical="center" wrapText="1"/>
    </xf>
    <xf numFmtId="0" fontId="0" fillId="22" borderId="60" pivotButton="0" quotePrefix="0" xfId="0"/>
    <xf numFmtId="168" fontId="33" fillId="23" borderId="60" applyAlignment="1" pivotButton="0" quotePrefix="0" xfId="0">
      <alignment horizontal="center" vertical="center" wrapText="1"/>
    </xf>
    <xf numFmtId="0" fontId="39" fillId="0" borderId="60" applyAlignment="1" pivotButton="0" quotePrefix="0" xfId="0">
      <alignment horizontal="center" vertical="center" wrapText="1"/>
    </xf>
    <xf numFmtId="1" fontId="43" fillId="21" borderId="60" applyAlignment="1" pivotButton="0" quotePrefix="0" xfId="0">
      <alignment horizontal="center" vertical="center" wrapText="1"/>
    </xf>
    <xf numFmtId="0" fontId="43" fillId="22" borderId="60" applyAlignment="1" pivotButton="0" quotePrefix="0" xfId="0">
      <alignment horizontal="left" vertical="center" wrapText="1"/>
    </xf>
    <xf numFmtId="0" fontId="36" fillId="24" borderId="59" applyAlignment="1" pivotButton="0" quotePrefix="0" xfId="0">
      <alignment horizontal="left" vertical="center" wrapText="1"/>
    </xf>
    <xf numFmtId="0" fontId="43" fillId="0" borderId="60" applyAlignment="1" pivotButton="0" quotePrefix="0" xfId="0">
      <alignment horizontal="center" vertical="center" wrapText="1"/>
    </xf>
    <xf numFmtId="1" fontId="43" fillId="23" borderId="60" applyAlignment="1" pivotButton="0" quotePrefix="0" xfId="0">
      <alignment horizontal="center" vertical="center" wrapText="1"/>
    </xf>
    <xf numFmtId="0" fontId="37" fillId="25" borderId="59" applyAlignment="1" pivotButton="0" quotePrefix="0" xfId="0">
      <alignment horizontal="left" vertical="center" wrapText="1"/>
    </xf>
    <xf numFmtId="0" fontId="39" fillId="21" borderId="60" applyAlignment="1" pivotButton="0" quotePrefix="0" xfId="0">
      <alignment horizontal="left" vertical="center" wrapText="1"/>
    </xf>
    <xf numFmtId="1" fontId="40" fillId="26" borderId="60" applyAlignment="1" pivotButton="0" quotePrefix="0" xfId="0">
      <alignment horizontal="center" vertical="center" wrapText="1"/>
    </xf>
    <xf numFmtId="0" fontId="0" fillId="26" borderId="60" pivotButton="0" quotePrefix="0" xfId="0"/>
    <xf numFmtId="1" fontId="41" fillId="23" borderId="60" applyAlignment="1" pivotButton="0" quotePrefix="0" xfId="0">
      <alignment horizontal="center" vertical="center" wrapText="1"/>
    </xf>
    <xf numFmtId="168" fontId="42" fillId="0" borderId="60" applyAlignment="1" pivotButton="0" quotePrefix="0" xfId="0">
      <alignment horizontal="center" vertical="center" wrapText="1"/>
    </xf>
    <xf numFmtId="1" fontId="40" fillId="24" borderId="60" applyAlignment="1" pivotButton="0" quotePrefix="0" xfId="0">
      <alignment horizontal="center" vertical="center" wrapText="1"/>
    </xf>
    <xf numFmtId="0" fontId="0" fillId="24" borderId="60" pivotButton="0" quotePrefix="0" xfId="0"/>
    <xf numFmtId="0" fontId="44" fillId="24" borderId="59" applyAlignment="1" pivotButton="0" quotePrefix="0" xfId="0">
      <alignment horizontal="left" vertical="center" wrapText="1"/>
    </xf>
    <xf numFmtId="0" fontId="45" fillId="17" borderId="59" applyAlignment="1" pivotButton="0" quotePrefix="0" xfId="0">
      <alignment horizontal="left" vertical="center" wrapText="1"/>
    </xf>
    <xf numFmtId="0" fontId="38" fillId="19" borderId="60" applyAlignment="1" pivotButton="0" quotePrefix="0" xfId="0">
      <alignment horizontal="center" vertical="center" wrapText="1"/>
    </xf>
    <xf numFmtId="0" fontId="28" fillId="18" borderId="60" applyAlignment="1" pivotButton="0" quotePrefix="0" xfId="0">
      <alignment horizontal="left" vertical="center" wrapText="1"/>
    </xf>
    <xf numFmtId="170" fontId="28" fillId="18" borderId="60" applyAlignment="1" pivotButton="0" quotePrefix="0" xfId="0">
      <alignment horizontal="center" vertical="center" wrapText="1"/>
    </xf>
    <xf numFmtId="0" fontId="43" fillId="0" borderId="60" applyAlignment="1" pivotButton="0" quotePrefix="0" xfId="0">
      <alignment horizontal="left" vertical="center" wrapText="1"/>
    </xf>
    <xf numFmtId="0" fontId="46" fillId="21" borderId="60" applyAlignment="1" pivotButton="0" quotePrefix="0" xfId="0">
      <alignment horizontal="center" vertical="center" wrapText="1"/>
    </xf>
    <xf numFmtId="0" fontId="47" fillId="22" borderId="60" applyAlignment="1" pivotButton="0" quotePrefix="0" xfId="0">
      <alignment horizontal="center" vertical="center" wrapText="1"/>
    </xf>
    <xf numFmtId="0" fontId="45" fillId="27" borderId="59" applyAlignment="1" pivotButton="0" quotePrefix="0" xfId="0">
      <alignment horizontal="left" vertical="center" wrapText="1"/>
    </xf>
    <xf numFmtId="0" fontId="47" fillId="28" borderId="60" applyAlignment="1" pivotButton="0" quotePrefix="0" xfId="0">
      <alignment horizontal="center" vertical="center" wrapText="1"/>
    </xf>
    <xf numFmtId="0" fontId="43" fillId="28" borderId="60" applyAlignment="1" pivotButton="0" quotePrefix="0" xfId="0">
      <alignment horizontal="left" vertical="center" wrapText="1"/>
    </xf>
    <xf numFmtId="0" fontId="48" fillId="20" borderId="60" applyAlignment="1" pivotButton="0" quotePrefix="0" xfId="0">
      <alignment horizontal="center" vertical="center" wrapText="1"/>
    </xf>
    <xf numFmtId="0" fontId="49" fillId="30" borderId="60" applyAlignment="1" pivotButton="0" quotePrefix="0" xfId="0">
      <alignment horizontal="center" vertical="center" wrapText="1"/>
    </xf>
    <xf numFmtId="0" fontId="39" fillId="29" borderId="60" applyAlignment="1" pivotButton="0" quotePrefix="0" xfId="0">
      <alignment horizontal="left" vertical="center" wrapText="1"/>
    </xf>
    <xf numFmtId="0" fontId="43" fillId="29" borderId="60" applyAlignment="1" pivotButton="0" quotePrefix="0" xfId="0">
      <alignment horizontal="left" vertical="center" wrapText="1"/>
    </xf>
    <xf numFmtId="0" fontId="43" fillId="31" borderId="60" applyAlignment="1" pivotButton="0" quotePrefix="0" xfId="0">
      <alignment horizontal="left" vertical="center" wrapText="1"/>
    </xf>
    <xf numFmtId="0" fontId="49" fillId="33" borderId="60" applyAlignment="1" pivotButton="0" quotePrefix="0" xfId="0">
      <alignment horizontal="center" vertical="center" wrapText="1"/>
    </xf>
    <xf numFmtId="0" fontId="39" fillId="32" borderId="60" applyAlignment="1" pivotButton="0" quotePrefix="0" xfId="0">
      <alignment horizontal="left" vertical="center" wrapText="1"/>
    </xf>
    <xf numFmtId="0" fontId="43" fillId="32" borderId="60" applyAlignment="1" pivotButton="0" quotePrefix="0" xfId="0">
      <alignment horizontal="left" vertical="center" wrapText="1"/>
    </xf>
    <xf numFmtId="0" fontId="49" fillId="34" borderId="60" applyAlignment="1" pivotButton="0" quotePrefix="0" xfId="0">
      <alignment horizontal="center" vertical="center" wrapText="1"/>
    </xf>
    <xf numFmtId="0" fontId="39" fillId="22" borderId="60" applyAlignment="1" pivotButton="0" quotePrefix="0" xfId="0">
      <alignment horizontal="left" vertical="center" wrapText="1"/>
    </xf>
    <xf numFmtId="0" fontId="0" fillId="0" borderId="65" pivotButton="0" quotePrefix="0" xfId="0"/>
    <xf numFmtId="0" fontId="0" fillId="0" borderId="66" pivotButton="0" quotePrefix="0" xfId="0"/>
    <xf numFmtId="0" fontId="49" fillId="36" borderId="60" applyAlignment="1" pivotButton="0" quotePrefix="0" xfId="0">
      <alignment horizontal="center" vertical="center" wrapText="1"/>
    </xf>
    <xf numFmtId="0" fontId="39" fillId="35" borderId="60" applyAlignment="1" pivotButton="0" quotePrefix="0" xfId="0">
      <alignment horizontal="left" vertical="center" wrapText="1"/>
    </xf>
    <xf numFmtId="0" fontId="43" fillId="35" borderId="60" applyAlignment="1" pivotButton="0" quotePrefix="0" xfId="0">
      <alignment horizontal="left" vertical="center" wrapText="1"/>
    </xf>
    <xf numFmtId="0" fontId="49" fillId="38" borderId="60" applyAlignment="1" pivotButton="0" quotePrefix="0" xfId="0">
      <alignment horizontal="center" vertical="center" wrapText="1"/>
    </xf>
    <xf numFmtId="0" fontId="39" fillId="37" borderId="60" applyAlignment="1" pivotButton="0" quotePrefix="0" xfId="0">
      <alignment horizontal="left" vertical="center" wrapText="1"/>
    </xf>
    <xf numFmtId="0" fontId="43" fillId="37" borderId="60" applyAlignment="1" pivotButton="0" quotePrefix="0" xfId="0">
      <alignment horizontal="left" vertical="center" wrapText="1"/>
    </xf>
    <xf numFmtId="0" fontId="49" fillId="40" borderId="60" applyAlignment="1" pivotButton="0" quotePrefix="0" xfId="0">
      <alignment horizontal="center" vertical="center" wrapText="1"/>
    </xf>
    <xf numFmtId="0" fontId="39" fillId="39" borderId="60" applyAlignment="1" pivotButton="0" quotePrefix="0" xfId="0">
      <alignment horizontal="left" vertical="center" wrapText="1"/>
    </xf>
    <xf numFmtId="0" fontId="43" fillId="39" borderId="60" applyAlignment="1" pivotButton="0" quotePrefix="0" xfId="0">
      <alignment horizontal="left" vertical="center" wrapText="1"/>
    </xf>
    <xf numFmtId="0" fontId="49" fillId="42" borderId="60" applyAlignment="1" pivotButton="0" quotePrefix="0" xfId="0">
      <alignment horizontal="center" vertical="center" wrapText="1"/>
    </xf>
    <xf numFmtId="0" fontId="39" fillId="41" borderId="60" applyAlignment="1" pivotButton="0" quotePrefix="0" xfId="0">
      <alignment horizontal="left" vertical="center" wrapText="1"/>
    </xf>
    <xf numFmtId="0" fontId="43" fillId="41" borderId="60" applyAlignment="1" pivotButton="0" quotePrefix="0" xfId="0">
      <alignment horizontal="left" vertical="center" wrapText="1"/>
    </xf>
    <xf numFmtId="0" fontId="49" fillId="25" borderId="60" applyAlignment="1" pivotButton="0" quotePrefix="0" xfId="0">
      <alignment horizontal="center" vertical="center" wrapText="1"/>
    </xf>
    <xf numFmtId="0" fontId="43" fillId="21" borderId="60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bottom"/>
    </xf>
    <xf numFmtId="0" fontId="0" fillId="0" borderId="44" pivotButton="0" quotePrefix="0" xfId="0"/>
    <xf numFmtId="0" fontId="0" fillId="0" borderId="45" pivotButton="0" quotePrefix="0" xfId="0"/>
    <xf numFmtId="0" fontId="0" fillId="0" borderId="48" pivotButton="0" quotePrefix="0" xfId="0"/>
    <xf numFmtId="0" fontId="0" fillId="0" borderId="49" pivotButton="0" quotePrefix="0" xfId="0"/>
    <xf numFmtId="1" fontId="8" fillId="7" borderId="13" applyAlignment="1" pivotButton="0" quotePrefix="0" xfId="0">
      <alignment horizontal="center" vertical="center" wrapText="1"/>
    </xf>
    <xf numFmtId="1" fontId="8" fillId="6" borderId="13" applyAlignment="1" pivotButton="0" quotePrefix="0" xfId="0">
      <alignment horizontal="center" vertical="center" wrapText="1"/>
    </xf>
    <xf numFmtId="1" fontId="8" fillId="11" borderId="13" applyAlignment="1" pivotButton="0" quotePrefix="0" xfId="0">
      <alignment horizontal="center" vertical="center" wrapText="1"/>
    </xf>
    <xf numFmtId="0" fontId="2" fillId="4" borderId="50" applyAlignment="1" pivotButton="0" quotePrefix="0" xfId="0">
      <alignment horizontal="center" vertical="bottom"/>
    </xf>
    <xf numFmtId="0" fontId="0" fillId="0" borderId="52" pivotButton="0" quotePrefix="0" xfId="0"/>
    <xf numFmtId="0" fontId="0" fillId="0" borderId="53" pivotButton="0" quotePrefix="0" xfId="0"/>
    <xf numFmtId="0" fontId="2" fillId="4" borderId="50" applyAlignment="1" pivotButton="0" quotePrefix="0" xfId="0">
      <alignment horizontal="center"/>
    </xf>
    <xf numFmtId="0" fontId="0" fillId="6" borderId="10" applyAlignment="1" pivotButton="0" quotePrefix="0" xfId="0">
      <alignment horizontal="center" vertical="bottom"/>
    </xf>
    <xf numFmtId="0" fontId="0" fillId="12" borderId="10" applyAlignment="1" pivotButton="0" quotePrefix="0" xfId="0">
      <alignment horizontal="center" vertical="bottom"/>
    </xf>
    <xf numFmtId="0" fontId="0" fillId="0" borderId="56" pivotButton="0" quotePrefix="0" xfId="0"/>
    <xf numFmtId="0" fontId="2" fillId="4" borderId="54" applyAlignment="1" pivotButton="0" quotePrefix="0" xfId="0">
      <alignment horizontal="center" vertical="bottom"/>
    </xf>
    <xf numFmtId="0" fontId="0" fillId="0" borderId="55" pivotButton="0" quotePrefix="0" xfId="0"/>
    <xf numFmtId="0" fontId="2" fillId="4" borderId="57" applyAlignment="1" pivotButton="0" quotePrefix="0" xfId="0">
      <alignment horizontal="center" vertical="bottom"/>
    </xf>
    <xf numFmtId="0" fontId="0" fillId="0" borderId="58" pivotButton="0" quotePrefix="0" xfId="0"/>
    <xf numFmtId="0" fontId="8" fillId="12" borderId="1" applyAlignment="1" pivotButton="0" quotePrefix="0" xfId="0">
      <alignment horizontal="left"/>
    </xf>
    <xf numFmtId="0" fontId="8" fillId="11" borderId="1" applyAlignment="1" pivotButton="0" quotePrefix="0" xfId="0">
      <alignment horizontal="left" wrapText="1"/>
    </xf>
    <xf numFmtId="0" fontId="8" fillId="15" borderId="1" applyAlignment="1" pivotButton="0" quotePrefix="0" xfId="0">
      <alignment horizontal="left" wrapText="1"/>
    </xf>
    <xf numFmtId="0" fontId="8" fillId="14" borderId="13" applyAlignment="1" pivotButton="0" quotePrefix="0" xfId="0">
      <alignment horizontal="left" vertical="bottom"/>
    </xf>
    <xf numFmtId="168" fontId="51" fillId="23" borderId="60" applyAlignment="1" pivotButton="0" quotePrefix="0" xfId="0">
      <alignment horizontal="center" vertical="center" wrapText="1"/>
    </xf>
    <xf numFmtId="168" fontId="0" fillId="0" borderId="60" applyAlignment="1" pivotButton="0" quotePrefix="0" xfId="0">
      <alignment horizontal="center" vertical="center" wrapText="1"/>
    </xf>
    <xf numFmtId="169" fontId="33" fillId="18" borderId="60" applyAlignment="1" pivotButton="0" quotePrefix="0" xfId="0">
      <alignment horizontal="center" vertical="center" wrapText="1"/>
    </xf>
    <xf numFmtId="169" fontId="34" fillId="21" borderId="60" applyAlignment="1" pivotButton="0" quotePrefix="0" xfId="0">
      <alignment horizontal="center" vertical="center" wrapText="1"/>
    </xf>
    <xf numFmtId="169" fontId="35" fillId="22" borderId="60" applyAlignment="1" pivotButton="0" quotePrefix="0" xfId="0">
      <alignment horizontal="center" vertical="center" wrapText="1"/>
    </xf>
    <xf numFmtId="168" fontId="33" fillId="23" borderId="60" applyAlignment="1" pivotButton="0" quotePrefix="0" xfId="0">
      <alignment horizontal="center" vertical="center" wrapText="1"/>
    </xf>
    <xf numFmtId="168" fontId="42" fillId="0" borderId="60" applyAlignment="1" pivotButton="0" quotePrefix="0" xfId="0">
      <alignment horizontal="center" vertical="center" wrapText="1"/>
    </xf>
  </cellXfs>
  <cellStyles count="1">
    <cellStyle name="Обычный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Arimo" panose="020B0604020202020204"/>
        <a:ea typeface=""/>
        <a:cs typeface=""/>
        <a:font script="Geor" typeface="Sylfaen"/>
      </a:majorFont>
      <a:minorFont>
        <a:latin typeface="Arimo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crm.forus.ru/crm/lead/details/265572/" TargetMode="External" Id="rId1" /><Relationship Type="http://schemas.openxmlformats.org/officeDocument/2006/relationships/hyperlink" Target="https://crm.forus.ru/crm/deal/details/318062/" TargetMode="External" Id="rId2" /><Relationship Type="http://schemas.openxmlformats.org/officeDocument/2006/relationships/hyperlink" Target="https://crm.forus.ru/crm/lead/details/265387/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8" customWidth="1" min="3" max="3"/>
    <col width="18" customWidth="1" min="4" max="4"/>
    <col width="16" customWidth="1" min="5" max="5"/>
    <col width="36" customWidth="1" min="6" max="6"/>
    <col width="18" customWidth="1" min="7" max="7"/>
    <col width="14" customWidth="1" min="8" max="8"/>
    <col width="14" customWidth="1" min="9" max="9"/>
    <col width="12" customWidth="1" min="10" max="10"/>
    <col width="28" customWidth="1" min="11" max="11"/>
  </cols>
  <sheetData>
    <row r="1" ht="32" customHeight="1">
      <c r="A1" s="697" t="inlineStr">
        <is>
          <t>ВСТРЕЧА ЦП — ЦКС — ЦСВ — СМАК  ·  Протокол ДД.ММ.ГГГГ</t>
        </is>
      </c>
    </row>
    <row r="2">
      <c r="A2" s="698" t="inlineStr">
        <is>
          <t>Скопируйте лист и переименуйте в дату встречи. Обновите факты и таблицу периодов.</t>
        </is>
      </c>
    </row>
    <row r="4">
      <c r="A4" s="699" t="inlineStr">
        <is>
          <t>ПЛАН ПО ЭПД</t>
        </is>
      </c>
      <c r="I4" s="700" t="inlineStr">
        <is>
          <t>Соотношение к прошлому периоду</t>
        </is>
      </c>
    </row>
    <row r="5">
      <c r="A5" s="701" t="inlineStr">
        <is>
          <t>План</t>
        </is>
      </c>
      <c r="B5" s="702" t="n"/>
      <c r="C5" s="701" t="inlineStr">
        <is>
          <t>Текущее значение</t>
        </is>
      </c>
      <c r="D5" s="702" t="n"/>
      <c r="E5" s="701" t="inlineStr">
        <is>
          <t>Итого до плана</t>
        </is>
      </c>
      <c r="F5" s="702" t="n"/>
      <c r="G5" s="701" t="inlineStr">
        <is>
          <t>% выполнения</t>
        </is>
      </c>
      <c r="I5" s="703" t="inlineStr">
        <is>
          <t>Дата</t>
        </is>
      </c>
      <c r="J5" s="703" t="inlineStr">
        <is>
          <t>Клиенты</t>
        </is>
      </c>
      <c r="K5" s="703" t="inlineStr">
        <is>
          <t>Изменение</t>
        </is>
      </c>
    </row>
    <row r="6">
      <c r="A6" s="704" t="n">
        <v>500</v>
      </c>
      <c r="C6" s="705">
        <f>E11+E12+E13</f>
        <v/>
      </c>
      <c r="E6" s="706">
        <f>A6-C6</f>
        <v/>
      </c>
      <c r="G6" s="802">
        <f>IF(A6=0,"—",C6/A6)</f>
        <v/>
      </c>
      <c r="I6" s="708" t="inlineStr">
        <is>
          <t>← дата</t>
        </is>
      </c>
      <c r="J6" s="709">
        <f>C6</f>
        <v/>
      </c>
      <c r="K6" s="708" t="inlineStr">
        <is>
          <t>—</t>
        </is>
      </c>
    </row>
    <row r="7">
      <c r="I7" s="708" t="n"/>
      <c r="J7" s="710" t="n"/>
      <c r="K7" s="708">
        <f>IF(OR(J6="",J6=0,J7=""),"—",IF(J7&gt;=J6,"увеличилось на "&amp;TEXT((J7-J6)/J6,"0.0%"),"уменьшилось на "&amp;TEXT((J6-J7)/J6,"0.0%")))</f>
        <v/>
      </c>
    </row>
    <row r="8">
      <c r="I8" s="708" t="n"/>
      <c r="J8" s="710" t="n"/>
      <c r="K8" s="708">
        <f>IF(OR(J7="",J7=0,J8=""),"—",IF(J8&gt;=J7,"увеличилось на "&amp;TEXT((J8-J7)/J7,"0.0%"),"уменьшилось на "&amp;TEXT((J7-J8)/J7,"0.0%")))</f>
        <v/>
      </c>
    </row>
    <row r="9">
      <c r="A9" s="711" t="inlineStr">
        <is>
          <t>План на МПП в месяц — по отделам</t>
        </is>
      </c>
      <c r="I9" s="708" t="n"/>
      <c r="J9" s="710" t="n"/>
      <c r="K9" s="708">
        <f>IF(OR(J8="",J8=0,J9=""),"—",IF(J9&gt;=J8,"увеличилось на "&amp;TEXT((J9-J8)/J8,"0.0%"),"уменьшилось на "&amp;TEXT((J8-J9)/J8,"0.0%")))</f>
        <v/>
      </c>
    </row>
    <row r="10">
      <c r="A10" s="712" t="inlineStr">
        <is>
          <t>Отдел / группа</t>
        </is>
      </c>
      <c r="B10" s="712" t="n"/>
      <c r="C10" s="712" t="inlineStr">
        <is>
          <t>План на МПП в мес</t>
        </is>
      </c>
      <c r="D10" s="712" t="n"/>
      <c r="E10" s="712" t="inlineStr">
        <is>
          <t>Факт</t>
        </is>
      </c>
      <c r="F10" s="712" t="inlineStr">
        <is>
          <t>% выполнения плана</t>
        </is>
      </c>
      <c r="G10" s="712" t="n"/>
      <c r="I10" s="708" t="n"/>
      <c r="J10" s="710" t="n"/>
      <c r="K10" s="708">
        <f>IF(OR(J9="",J9=0,J10=""),"—",IF(J10&gt;=J9,"увеличилось на "&amp;TEXT((J10-J9)/J9,"0.0%"),"уменьшилось на "&amp;TEXT((J9-J10)/J9,"0.0%")))</f>
        <v/>
      </c>
    </row>
    <row r="11">
      <c r="A11" s="713" t="inlineStr">
        <is>
          <t>Группа «Новые деньги»</t>
        </is>
      </c>
      <c r="B11" s="713" t="n"/>
      <c r="C11" s="713" t="n">
        <v>75</v>
      </c>
      <c r="D11" s="713" t="n"/>
      <c r="E11" s="714" t="n"/>
      <c r="F11" s="803">
        <f>IF(OR(C11="",C11=0),"—",E11/C11)</f>
        <v/>
      </c>
      <c r="G11" s="713" t="n"/>
      <c r="I11" s="708" t="n"/>
      <c r="J11" s="710" t="n"/>
      <c r="K11" s="708">
        <f>IF(OR(J10="",J10=0,J11=""),"—",IF(J11&gt;=J10,"увеличилось на "&amp;TEXT((J11-J10)/J10,"0.0%"),"уменьшилось на "&amp;TEXT((J10-J11)/J10,"0.0%")))</f>
        <v/>
      </c>
    </row>
    <row r="12">
      <c r="A12" s="713" t="inlineStr">
        <is>
          <t>Группа продуктового запуска</t>
        </is>
      </c>
      <c r="B12" s="713" t="n"/>
      <c r="C12" s="713" t="n">
        <v>25</v>
      </c>
      <c r="D12" s="713" t="n"/>
      <c r="E12" s="714" t="n"/>
      <c r="F12" s="803">
        <f>IF(OR(C12="",C12=0),"—",E12/C12)</f>
        <v/>
      </c>
      <c r="G12" s="713" t="n"/>
    </row>
    <row r="13">
      <c r="A13" s="713" t="inlineStr">
        <is>
          <t>ЦКС</t>
        </is>
      </c>
      <c r="B13" s="713" t="n"/>
      <c r="C13" s="713" t="n"/>
      <c r="D13" s="713" t="n"/>
      <c r="E13" s="714" t="n"/>
      <c r="F13" s="803">
        <f>IF(OR(C13="",C13=0),"—",E13/C13)</f>
        <v/>
      </c>
      <c r="G13" s="713" t="n"/>
    </row>
    <row r="16">
      <c r="A16" s="716" t="inlineStr">
        <is>
          <t>1. Мониторинг предыдущих решений</t>
        </is>
      </c>
    </row>
    <row r="18">
      <c r="A18" s="717" t="inlineStr">
        <is>
          <t>2. Решения текущей встречи · поставленные задачи</t>
        </is>
      </c>
    </row>
    <row r="20">
      <c r="A20" s="716" t="inlineStr">
        <is>
          <t>3. Обсуждаемые темы и выводы · блоки и тезисы</t>
        </is>
      </c>
    </row>
  </sheetData>
  <mergeCells count="26">
    <mergeCell ref="F11:G11"/>
    <mergeCell ref="C6:D6"/>
    <mergeCell ref="F10:G10"/>
    <mergeCell ref="A11:B11"/>
    <mergeCell ref="C5:D5"/>
    <mergeCell ref="A4:G4"/>
    <mergeCell ref="E5:F5"/>
    <mergeCell ref="A20:G20"/>
    <mergeCell ref="A6:B6"/>
    <mergeCell ref="F12:G12"/>
    <mergeCell ref="C10:D10"/>
    <mergeCell ref="A9:G9"/>
    <mergeCell ref="I4:K4"/>
    <mergeCell ref="A12:B12"/>
    <mergeCell ref="C12:D12"/>
    <mergeCell ref="E6:F6"/>
    <mergeCell ref="A1:G1"/>
    <mergeCell ref="C11:D11"/>
    <mergeCell ref="A5:B5"/>
    <mergeCell ref="A16:G16"/>
    <mergeCell ref="F13:G13"/>
    <mergeCell ref="A18:G18"/>
    <mergeCell ref="A10:B10"/>
    <mergeCell ref="A13:B13"/>
    <mergeCell ref="A2:G2"/>
    <mergeCell ref="C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E7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13" defaultColWidth="13.4" defaultRowHeight="14.25" customHeight="1"/>
  <cols>
    <col width="6" customWidth="1" min="1" max="1"/>
    <col width="42" customWidth="1" min="2" max="2"/>
    <col width="28" customWidth="1" min="3" max="3"/>
    <col width="18" customWidth="1" min="4" max="4"/>
    <col width="16" customWidth="1" min="5" max="5"/>
    <col width="36" customWidth="1" min="6" max="6"/>
    <col width="18" customWidth="1" min="7" max="7"/>
    <col width="14" customWidth="1" min="8" max="8"/>
    <col width="14" customWidth="1" min="9" max="9"/>
    <col width="22" customWidth="1" min="10" max="10"/>
    <col width="28" customWidth="1" min="11" max="11"/>
    <col width="3" customWidth="1" min="12" max="12"/>
    <col width="14" customWidth="1" min="13" max="13"/>
    <col width="12" customWidth="1" min="14" max="14"/>
    <col width="28" customWidth="1" min="15" max="15"/>
  </cols>
  <sheetData>
    <row r="1" ht="32" customHeight="1">
      <c r="A1" s="697" t="inlineStr">
        <is>
          <t>ВСТРЕЧА ЦП — ЦКС — ЦСВ — СМАК  ·  Протокол 27.08.2026</t>
        </is>
      </c>
      <c r="H1" s="718" t="n"/>
      <c r="I1" s="718" t="n"/>
      <c r="J1" s="718" t="n"/>
      <c r="K1" s="718" t="n"/>
      <c r="L1" s="718" t="n"/>
      <c r="M1" s="718" t="n"/>
      <c r="N1" s="718" t="n"/>
      <c r="O1" s="718" t="n"/>
      <c r="P1" s="718" t="n"/>
      <c r="Q1" s="718" t="n"/>
      <c r="R1" s="718" t="n"/>
      <c r="S1" s="718" t="n"/>
      <c r="T1" s="718" t="n"/>
      <c r="U1" s="718" t="n"/>
      <c r="V1" s="718" t="n"/>
      <c r="W1" s="718" t="n"/>
      <c r="X1" s="718" t="n"/>
      <c r="Y1" s="718" t="n"/>
      <c r="Z1" s="718" t="n"/>
      <c r="AA1" s="718" t="n"/>
      <c r="AB1" s="718" t="n"/>
      <c r="AC1" s="718" t="n"/>
      <c r="AD1" s="718" t="n"/>
      <c r="AE1" s="718" t="n"/>
    </row>
    <row r="2" ht="20" customHeight="1">
      <c r="A2" s="719" t="inlineStr">
        <is>
          <t>Проект ЭПД  ·  еженедельный статус</t>
        </is>
      </c>
      <c r="H2" s="718" t="n"/>
      <c r="I2" s="718" t="n"/>
      <c r="J2" s="718" t="n"/>
      <c r="K2" s="718" t="n"/>
      <c r="L2" s="718" t="n"/>
      <c r="M2" s="718" t="n"/>
      <c r="N2" s="718" t="n"/>
      <c r="O2" s="718" t="n"/>
      <c r="P2" s="718" t="n"/>
      <c r="Q2" s="718" t="n"/>
      <c r="R2" s="718" t="n"/>
      <c r="S2" s="718" t="n"/>
      <c r="T2" s="718" t="n"/>
      <c r="U2" s="718" t="n"/>
      <c r="V2" s="718" t="n"/>
      <c r="W2" s="718" t="n"/>
      <c r="X2" s="718" t="n"/>
      <c r="Y2" s="718" t="n"/>
      <c r="Z2" s="718" t="n"/>
      <c r="AA2" s="718" t="n"/>
      <c r="AB2" s="718" t="n"/>
      <c r="AC2" s="718" t="n"/>
      <c r="AD2" s="718" t="n"/>
      <c r="AE2" s="718" t="n"/>
    </row>
    <row r="3">
      <c r="A3" s="718" t="n"/>
      <c r="B3" s="718" t="n"/>
      <c r="C3" s="718" t="n"/>
      <c r="D3" s="718" t="n"/>
      <c r="E3" s="718" t="n"/>
      <c r="F3" s="718" t="n"/>
      <c r="G3" s="718" t="n"/>
      <c r="H3" s="718" t="n"/>
      <c r="I3" s="718" t="n"/>
      <c r="J3" s="718" t="n"/>
      <c r="K3" s="718" t="n"/>
      <c r="L3" s="718" t="n"/>
      <c r="M3" s="718" t="n"/>
      <c r="N3" s="718" t="n"/>
      <c r="O3" s="718" t="n"/>
      <c r="P3" s="718" t="n"/>
      <c r="Q3" s="718" t="n"/>
      <c r="R3" s="718" t="n"/>
      <c r="S3" s="718" t="n"/>
      <c r="T3" s="718" t="n"/>
      <c r="U3" s="718" t="n"/>
      <c r="V3" s="718" t="n"/>
      <c r="W3" s="718" t="n"/>
      <c r="X3" s="718" t="n"/>
      <c r="Y3" s="718" t="n"/>
      <c r="Z3" s="718" t="n"/>
      <c r="AA3" s="718" t="n"/>
      <c r="AB3" s="718" t="n"/>
      <c r="AC3" s="718" t="n"/>
      <c r="AD3" s="718" t="n"/>
      <c r="AE3" s="718" t="n"/>
    </row>
    <row r="4" ht="24" customHeight="1">
      <c r="A4" s="720" t="inlineStr">
        <is>
          <t>ПЛАН ПО ЭПД</t>
        </is>
      </c>
      <c r="H4" s="718" t="n"/>
      <c r="I4" s="721" t="inlineStr">
        <is>
          <t>Соотношение к прошлому периоду</t>
        </is>
      </c>
      <c r="L4" s="718" t="n"/>
      <c r="M4" s="718" t="n"/>
      <c r="N4" s="718" t="n"/>
      <c r="O4" s="718" t="n"/>
      <c r="P4" s="718" t="n"/>
      <c r="Q4" s="718" t="n"/>
      <c r="R4" s="718" t="n"/>
      <c r="S4" s="718" t="n"/>
      <c r="T4" s="718" t="n"/>
      <c r="U4" s="718" t="n"/>
      <c r="V4" s="718" t="n"/>
      <c r="W4" s="718" t="n"/>
      <c r="X4" s="718" t="n"/>
      <c r="Y4" s="718" t="n"/>
      <c r="Z4" s="718" t="n"/>
      <c r="AA4" s="718" t="n"/>
      <c r="AB4" s="718" t="n"/>
      <c r="AC4" s="718" t="n"/>
      <c r="AD4" s="718" t="n"/>
      <c r="AE4" s="718" t="n"/>
    </row>
    <row r="5" ht="18" customHeight="1">
      <c r="A5" s="701" t="inlineStr">
        <is>
          <t>План</t>
        </is>
      </c>
      <c r="B5" s="702" t="n"/>
      <c r="C5" s="701" t="inlineStr">
        <is>
          <t>Текущее значение</t>
        </is>
      </c>
      <c r="D5" s="702" t="n"/>
      <c r="E5" s="701" t="inlineStr">
        <is>
          <t>Итого до плана</t>
        </is>
      </c>
      <c r="F5" s="702" t="n"/>
      <c r="G5" s="701" t="inlineStr">
        <is>
          <t>% выполнения</t>
        </is>
      </c>
      <c r="H5" s="718" t="n"/>
      <c r="I5" s="703" t="inlineStr">
        <is>
          <t>Дата</t>
        </is>
      </c>
      <c r="J5" s="703" t="inlineStr">
        <is>
          <t>Клиенты</t>
        </is>
      </c>
      <c r="K5" s="703" t="inlineStr">
        <is>
          <t>Изменение</t>
        </is>
      </c>
      <c r="L5" s="718" t="n"/>
      <c r="M5" s="718" t="n"/>
      <c r="N5" s="718" t="n"/>
      <c r="O5" s="718" t="n"/>
      <c r="P5" s="718" t="n"/>
      <c r="Q5" s="718" t="n"/>
      <c r="R5" s="718" t="n"/>
      <c r="S5" s="718" t="n"/>
      <c r="T5" s="718" t="n"/>
      <c r="U5" s="718" t="n"/>
      <c r="V5" s="718" t="n"/>
      <c r="W5" s="718" t="n"/>
      <c r="X5" s="718" t="n"/>
      <c r="Y5" s="718" t="n"/>
      <c r="Z5" s="718" t="n"/>
      <c r="AA5" s="718" t="n"/>
      <c r="AB5" s="718" t="n"/>
      <c r="AC5" s="718" t="n"/>
      <c r="AD5" s="718" t="n"/>
      <c r="AE5" s="718" t="n"/>
    </row>
    <row r="6" ht="22" customHeight="1">
      <c r="A6" s="804" t="n">
        <v>500</v>
      </c>
      <c r="B6" s="723" t="n"/>
      <c r="C6" s="805">
        <f>E11+E12+E13</f>
        <v/>
      </c>
      <c r="D6" s="709" t="n"/>
      <c r="E6" s="806">
        <f>A6-C6</f>
        <v/>
      </c>
      <c r="F6" s="726" t="n"/>
      <c r="G6" s="807">
        <f>IF(A6=0,"—",C6/A6)</f>
        <v/>
      </c>
      <c r="H6" s="718" t="n"/>
      <c r="I6" s="728" t="inlineStr">
        <is>
          <t>27.08.2026</t>
        </is>
      </c>
      <c r="J6" s="729">
        <f>C6</f>
        <v/>
      </c>
      <c r="K6" s="730" t="inlineStr">
        <is>
          <t>—</t>
        </is>
      </c>
      <c r="L6" s="718" t="n"/>
      <c r="M6" s="718" t="n"/>
      <c r="N6" s="718" t="n"/>
      <c r="O6" s="718" t="n"/>
      <c r="P6" s="718" t="n"/>
      <c r="Q6" s="718" t="n"/>
      <c r="R6" s="718" t="n"/>
      <c r="S6" s="718" t="n"/>
      <c r="T6" s="718" t="n"/>
      <c r="U6" s="718" t="n"/>
      <c r="V6" s="718" t="n"/>
      <c r="W6" s="718" t="n"/>
      <c r="X6" s="718" t="n"/>
      <c r="Y6" s="718" t="n"/>
      <c r="Z6" s="718" t="n"/>
      <c r="AA6" s="718" t="n"/>
      <c r="AB6" s="718" t="n"/>
      <c r="AC6" s="718" t="n"/>
      <c r="AD6" s="718" t="n"/>
      <c r="AE6" s="718" t="n"/>
    </row>
    <row r="7" ht="22" customHeight="1">
      <c r="A7" s="731" t="inlineStr">
        <is>
          <t>«Текущее значение» = сумма ячеек «Факт» по отделам (ниже). Меняйте факты — обновятся итог, остаток и % выполнения.</t>
        </is>
      </c>
      <c r="H7" s="718" t="n"/>
      <c r="I7" s="732" t="inlineStr">
        <is>
          <t>03.09.2026</t>
        </is>
      </c>
      <c r="J7" s="733" t="n">
        <v>200</v>
      </c>
      <c r="K7" s="730">
        <f>IF(OR(J6="",J6=0,J7=""),"—",IF(J7&gt;=J6,"увеличилось на "&amp;TEXT((J7-J6)/J6,"0.0%"),"уменьшилось на "&amp;TEXT((J6-J7)/J6,"0.0%")))</f>
        <v/>
      </c>
      <c r="L7" s="718" t="n"/>
      <c r="M7" s="718" t="n"/>
      <c r="N7" s="718" t="n"/>
      <c r="O7" s="718" t="n"/>
      <c r="P7" s="718" t="n"/>
      <c r="Q7" s="718" t="n"/>
      <c r="R7" s="718" t="n"/>
      <c r="S7" s="718" t="n"/>
      <c r="T7" s="718" t="n"/>
      <c r="U7" s="718" t="n"/>
      <c r="V7" s="718" t="n"/>
      <c r="W7" s="718" t="n"/>
      <c r="X7" s="718" t="n"/>
      <c r="Y7" s="718" t="n"/>
      <c r="Z7" s="718" t="n"/>
      <c r="AA7" s="718" t="n"/>
      <c r="AB7" s="718" t="n"/>
      <c r="AC7" s="718" t="n"/>
      <c r="AD7" s="718" t="n"/>
      <c r="AE7" s="718" t="n"/>
    </row>
    <row r="8" ht="22" customHeight="1">
      <c r="A8" s="718" t="n"/>
      <c r="B8" s="718" t="n"/>
      <c r="C8" s="718" t="n"/>
      <c r="D8" s="718" t="n"/>
      <c r="E8" s="718" t="n"/>
      <c r="F8" s="718" t="n"/>
      <c r="G8" s="718" t="n"/>
      <c r="H8" s="718" t="n"/>
      <c r="I8" s="732" t="inlineStr">
        <is>
          <t>10.09.2026</t>
        </is>
      </c>
      <c r="J8" s="733" t="n">
        <v>250</v>
      </c>
      <c r="K8" s="730">
        <f>IF(OR(J7="",J7=0,J8=""),"—",IF(J8&gt;=J7,"увеличилось на "&amp;TEXT((J8-J7)/J7,"0.0%"),"уменьшилось на "&amp;TEXT((J7-J8)/J7,"0.0%")))</f>
        <v/>
      </c>
      <c r="L8" s="718" t="n"/>
      <c r="M8" s="718" t="n"/>
      <c r="N8" s="718" t="n"/>
      <c r="O8" s="718" t="n"/>
      <c r="P8" s="718" t="n"/>
      <c r="Q8" s="718" t="n"/>
      <c r="R8" s="718" t="n"/>
      <c r="S8" s="718" t="n"/>
      <c r="T8" s="718" t="n"/>
      <c r="U8" s="718" t="n"/>
      <c r="V8" s="718" t="n"/>
      <c r="W8" s="718" t="n"/>
      <c r="X8" s="718" t="n"/>
      <c r="Y8" s="718" t="n"/>
      <c r="Z8" s="718" t="n"/>
      <c r="AA8" s="718" t="n"/>
      <c r="AB8" s="718" t="n"/>
      <c r="AC8" s="718" t="n"/>
      <c r="AD8" s="718" t="n"/>
      <c r="AE8" s="718" t="n"/>
    </row>
    <row r="9" ht="22" customHeight="1">
      <c r="A9" s="734" t="inlineStr">
        <is>
          <t>План на МПП в месяц — по отделам</t>
        </is>
      </c>
      <c r="H9" s="718" t="n"/>
      <c r="I9" s="732" t="n"/>
      <c r="J9" s="733" t="n"/>
      <c r="K9" s="730">
        <f>IF(OR(J8="",J8=0,J9=""),"—",IF(J9&gt;=J8,"увеличилось на "&amp;TEXT((J9-J8)/J8,"0.0%"),"уменьшилось на "&amp;TEXT((J8-J9)/J8,"0.0%")))</f>
        <v/>
      </c>
      <c r="L9" s="718" t="n"/>
      <c r="M9" s="718" t="n"/>
      <c r="N9" s="718" t="n"/>
      <c r="O9" s="718" t="n"/>
      <c r="P9" s="718" t="n"/>
      <c r="Q9" s="718" t="n"/>
      <c r="R9" s="718" t="n"/>
      <c r="S9" s="718" t="n"/>
      <c r="T9" s="718" t="n"/>
      <c r="U9" s="718" t="n"/>
      <c r="V9" s="718" t="n"/>
      <c r="W9" s="718" t="n"/>
      <c r="X9" s="718" t="n"/>
      <c r="Y9" s="718" t="n"/>
      <c r="Z9" s="718" t="n"/>
      <c r="AA9" s="718" t="n"/>
      <c r="AB9" s="718" t="n"/>
      <c r="AC9" s="718" t="n"/>
      <c r="AD9" s="718" t="n"/>
      <c r="AE9" s="718" t="n"/>
    </row>
    <row r="10" ht="22" customHeight="1">
      <c r="A10" s="712" t="inlineStr">
        <is>
          <t>Отдел / группа</t>
        </is>
      </c>
      <c r="B10" s="712" t="n"/>
      <c r="C10" s="712" t="inlineStr">
        <is>
          <t>План на МПП в мес</t>
        </is>
      </c>
      <c r="D10" s="712" t="n"/>
      <c r="E10" s="712" t="inlineStr">
        <is>
          <t>Факт</t>
        </is>
      </c>
      <c r="F10" s="712" t="inlineStr">
        <is>
          <t>% выполнения плана</t>
        </is>
      </c>
      <c r="G10" s="712" t="n"/>
      <c r="H10" s="718" t="n"/>
      <c r="I10" s="732" t="n"/>
      <c r="J10" s="733" t="n"/>
      <c r="K10" s="730">
        <f>IF(OR(J9="",J9=0,J10=""),"—",IF(J10&gt;=J9,"увеличилось на "&amp;TEXT((J10-J9)/J9,"0.0%"),"уменьшилось на "&amp;TEXT((J9-J10)/J9,"0.0%")))</f>
        <v/>
      </c>
      <c r="L10" s="718" t="n"/>
      <c r="M10" s="718" t="n"/>
      <c r="N10" s="718" t="n"/>
      <c r="O10" s="718" t="n"/>
      <c r="P10" s="718" t="n"/>
      <c r="Q10" s="718" t="n"/>
      <c r="R10" s="718" t="n"/>
      <c r="S10" s="718" t="n"/>
      <c r="T10" s="718" t="n"/>
      <c r="U10" s="718" t="n"/>
      <c r="V10" s="718" t="n"/>
      <c r="W10" s="718" t="n"/>
      <c r="X10" s="718" t="n"/>
      <c r="Y10" s="718" t="n"/>
      <c r="Z10" s="718" t="n"/>
      <c r="AA10" s="718" t="n"/>
      <c r="AB10" s="718" t="n"/>
      <c r="AC10" s="718" t="n"/>
      <c r="AD10" s="718" t="n"/>
      <c r="AE10" s="718" t="n"/>
    </row>
    <row r="11" ht="22" customHeight="1">
      <c r="A11" s="735" t="inlineStr">
        <is>
          <t>Группа «Новые деньги»</t>
        </is>
      </c>
      <c r="B11" s="709" t="n"/>
      <c r="C11" s="736" t="n">
        <v>75</v>
      </c>
      <c r="D11" s="737" t="n"/>
      <c r="E11" s="738" t="n">
        <v>90</v>
      </c>
      <c r="F11" s="808">
        <f>IF(OR(C11="",C11=0),"—",E11/C11)</f>
        <v/>
      </c>
      <c r="G11" s="708" t="n"/>
      <c r="H11" s="718" t="n"/>
      <c r="I11" s="732" t="n"/>
      <c r="J11" s="733" t="n"/>
      <c r="K11" s="730">
        <f>IF(OR(J10="",J10=0,J11=""),"—",IF(J11&gt;=J10,"увеличилось на "&amp;TEXT((J11-J10)/J10,"0.0%"),"уменьшилось на "&amp;TEXT((J10-J11)/J10,"0.0%")))</f>
        <v/>
      </c>
      <c r="L11" s="718" t="n"/>
      <c r="M11" s="718" t="n"/>
      <c r="N11" s="718">
        <f>E11</f>
        <v/>
      </c>
      <c r="O11" s="718" t="n"/>
      <c r="P11" s="718" t="n"/>
      <c r="Q11" s="718" t="n"/>
      <c r="R11" s="718" t="n"/>
      <c r="S11" s="718" t="n"/>
      <c r="T11" s="718" t="n"/>
      <c r="U11" s="718" t="n"/>
      <c r="V11" s="718" t="n"/>
      <c r="W11" s="718" t="n"/>
      <c r="X11" s="718" t="n"/>
      <c r="Y11" s="718" t="n"/>
      <c r="Z11" s="718" t="n"/>
      <c r="AA11" s="718" t="n"/>
      <c r="AB11" s="718" t="n"/>
      <c r="AC11" s="718" t="n"/>
      <c r="AD11" s="718" t="n"/>
      <c r="AE11" s="718" t="n"/>
    </row>
    <row r="12" ht="22" customHeight="1">
      <c r="A12" s="735" t="inlineStr">
        <is>
          <t>Группа продуктового запуска</t>
        </is>
      </c>
      <c r="B12" s="709" t="n"/>
      <c r="C12" s="736" t="n">
        <v>25</v>
      </c>
      <c r="D12" s="737" t="n"/>
      <c r="E12" s="738" t="n">
        <v>40</v>
      </c>
      <c r="F12" s="808">
        <f>IF(OR(C12="",C12=0),"—",E12/C12)</f>
        <v/>
      </c>
      <c r="G12" s="708" t="n"/>
      <c r="H12" s="718" t="n"/>
      <c r="I12" s="732" t="n"/>
      <c r="J12" s="733" t="n"/>
      <c r="K12" s="730">
        <f>IF(OR(J11="",J11=0,J12=""),"—",IF(J12&gt;=J11,"увеличилось на "&amp;TEXT((J12-J11)/J11,"0.0%"),"уменьшилось на "&amp;TEXT((J11-J12)/J11,"0.0%")))</f>
        <v/>
      </c>
      <c r="L12" s="718" t="n"/>
      <c r="M12" s="718" t="n"/>
      <c r="N12" s="718">
        <f>E12</f>
        <v/>
      </c>
      <c r="O12" s="718" t="n"/>
      <c r="P12" s="718" t="n"/>
      <c r="Q12" s="718" t="n"/>
      <c r="R12" s="718" t="n"/>
      <c r="S12" s="718" t="n"/>
      <c r="T12" s="718" t="n"/>
      <c r="U12" s="718" t="n"/>
      <c r="V12" s="718" t="n"/>
      <c r="W12" s="718" t="n"/>
      <c r="X12" s="718" t="n"/>
      <c r="Y12" s="718" t="n"/>
      <c r="Z12" s="718" t="n"/>
      <c r="AA12" s="718" t="n"/>
      <c r="AB12" s="718" t="n"/>
      <c r="AC12" s="718" t="n"/>
      <c r="AD12" s="718" t="n"/>
      <c r="AE12" s="718" t="n"/>
    </row>
    <row r="13" ht="22" customHeight="1">
      <c r="A13" s="735" t="inlineStr">
        <is>
          <t>ЦКС</t>
        </is>
      </c>
      <c r="B13" s="709" t="n"/>
      <c r="C13" s="740" t="n"/>
      <c r="D13" s="741" t="n"/>
      <c r="E13" s="738" t="n">
        <v>20</v>
      </c>
      <c r="F13" s="808">
        <f>IF(OR(C13="",C13=0),"—",E13/C13)</f>
        <v/>
      </c>
      <c r="G13" s="708" t="n"/>
      <c r="H13" s="718" t="n"/>
      <c r="I13" s="732" t="n"/>
      <c r="J13" s="733" t="n"/>
      <c r="K13" s="730">
        <f>IF(OR(J12="",J12=0,J13=""),"—",IF(J13&gt;=J12,"увеличилось на "&amp;TEXT((J13-J12)/J12,"0.0%"),"уменьшилось на "&amp;TEXT((J12-J13)/J12,"0.0%")))</f>
        <v/>
      </c>
      <c r="L13" s="718" t="n"/>
      <c r="M13" s="718" t="n"/>
      <c r="N13" s="718">
        <f>E13</f>
        <v/>
      </c>
      <c r="O13" s="718" t="n"/>
      <c r="P13" s="718" t="n"/>
      <c r="Q13" s="718" t="n"/>
      <c r="R13" s="718" t="n"/>
      <c r="S13" s="718" t="n"/>
      <c r="T13" s="718" t="n"/>
      <c r="U13" s="718" t="n"/>
      <c r="V13" s="718" t="n"/>
      <c r="W13" s="718" t="n"/>
      <c r="X13" s="718" t="n"/>
      <c r="Y13" s="718" t="n"/>
      <c r="Z13" s="718" t="n"/>
      <c r="AA13" s="718" t="n"/>
      <c r="AB13" s="718" t="n"/>
      <c r="AC13" s="718" t="n"/>
      <c r="AD13" s="718" t="n"/>
      <c r="AE13" s="718" t="n"/>
    </row>
    <row r="14" ht="28" customHeight="1">
      <c r="A14" s="718" t="n"/>
      <c r="B14" s="718" t="n"/>
      <c r="C14" s="718" t="n"/>
      <c r="D14" s="718" t="n"/>
      <c r="E14" s="718" t="n"/>
      <c r="F14" s="718" t="n"/>
      <c r="G14" s="718" t="n"/>
      <c r="H14" s="718" t="n"/>
      <c r="I14" s="742" t="inlineStr">
        <is>
          <t>Жёлтые ячейки «Клиенты» — вводите вручную на новые даты. Строка 27.08 подтягивает текущее значение из плана.</t>
        </is>
      </c>
      <c r="L14" s="718" t="n"/>
      <c r="M14" s="718" t="n"/>
      <c r="N14" s="718" t="n"/>
      <c r="O14" s="718" t="n"/>
      <c r="P14" s="718" t="n"/>
      <c r="Q14" s="718" t="n"/>
      <c r="R14" s="718" t="n"/>
      <c r="S14" s="718" t="n"/>
      <c r="T14" s="718" t="n"/>
      <c r="U14" s="718" t="n"/>
      <c r="V14" s="718" t="n"/>
      <c r="W14" s="718" t="n"/>
      <c r="X14" s="718" t="n"/>
      <c r="Y14" s="718" t="n"/>
      <c r="Z14" s="718" t="n"/>
      <c r="AA14" s="718" t="n"/>
      <c r="AB14" s="718" t="n"/>
      <c r="AC14" s="718" t="n"/>
      <c r="AD14" s="718" t="n"/>
      <c r="AE14" s="718" t="n"/>
    </row>
    <row r="15">
      <c r="A15" s="718" t="n"/>
      <c r="B15" s="718" t="n"/>
      <c r="C15" s="718" t="n"/>
      <c r="D15" s="718" t="n"/>
      <c r="E15" s="718" t="n"/>
      <c r="F15" s="718" t="n"/>
      <c r="G15" s="718" t="n"/>
      <c r="H15" s="718" t="n"/>
      <c r="I15" s="718" t="n"/>
      <c r="J15" s="718" t="n"/>
      <c r="K15" s="718" t="n"/>
      <c r="L15" s="718" t="n"/>
      <c r="M15" s="718" t="n"/>
      <c r="N15" s="718" t="n"/>
      <c r="O15" s="718" t="n"/>
      <c r="P15" s="718" t="n"/>
      <c r="Q15" s="718" t="n"/>
      <c r="R15" s="718" t="n"/>
      <c r="S15" s="718" t="n"/>
      <c r="T15" s="718" t="n"/>
      <c r="U15" s="718" t="n"/>
      <c r="V15" s="718" t="n"/>
      <c r="W15" s="718" t="n"/>
      <c r="X15" s="718" t="n"/>
      <c r="Y15" s="718" t="n"/>
      <c r="Z15" s="718" t="n"/>
      <c r="AA15" s="718" t="n"/>
      <c r="AB15" s="718" t="n"/>
      <c r="AC15" s="718" t="n"/>
      <c r="AD15" s="718" t="n"/>
      <c r="AE15" s="718" t="n"/>
    </row>
    <row r="16">
      <c r="A16" s="743" t="inlineStr">
        <is>
          <t>Показатели рекламной кампании</t>
        </is>
      </c>
      <c r="H16" s="718" t="n"/>
      <c r="I16" s="718" t="n"/>
      <c r="J16" s="718" t="n"/>
      <c r="K16" s="718" t="n"/>
      <c r="L16" s="718" t="n"/>
      <c r="M16" s="718" t="n"/>
      <c r="N16" s="718" t="n"/>
      <c r="O16" s="718" t="n"/>
      <c r="P16" s="718" t="n"/>
      <c r="Q16" s="718" t="n"/>
      <c r="R16" s="718" t="n"/>
      <c r="S16" s="718" t="n"/>
      <c r="T16" s="718" t="n"/>
      <c r="U16" s="718" t="n"/>
      <c r="V16" s="718" t="n"/>
      <c r="W16" s="718" t="n"/>
      <c r="X16" s="718" t="n"/>
      <c r="Y16" s="718" t="n"/>
      <c r="Z16" s="718" t="n"/>
      <c r="AA16" s="718" t="n"/>
      <c r="AB16" s="718" t="n"/>
      <c r="AC16" s="718" t="n"/>
      <c r="AD16" s="718" t="n"/>
      <c r="AE16" s="718" t="n"/>
    </row>
    <row r="17">
      <c r="A17" s="744" t="inlineStr">
        <is>
          <t>№</t>
        </is>
      </c>
      <c r="B17" s="744" t="inlineStr">
        <is>
          <t>Название РК</t>
        </is>
      </c>
      <c r="C17" s="744" t="inlineStr">
        <is>
          <t>Лидер</t>
        </is>
      </c>
      <c r="D17" s="744" t="inlineStr">
        <is>
          <t>Кол-во ЛИДов</t>
        </is>
      </c>
      <c r="E17" s="744" t="inlineStr">
        <is>
          <t>Стоимость ЛИДа</t>
        </is>
      </c>
      <c r="F17" s="744" t="inlineStr">
        <is>
          <t>Сделок</t>
        </is>
      </c>
      <c r="G17" s="744" t="inlineStr">
        <is>
          <t>Оплат</t>
        </is>
      </c>
      <c r="H17" s="718" t="n"/>
      <c r="I17" s="718" t="n"/>
      <c r="J17" s="718" t="n"/>
      <c r="K17" s="718" t="n"/>
      <c r="L17" s="718" t="n"/>
      <c r="M17" s="718" t="n"/>
      <c r="N17" s="718" t="n"/>
      <c r="O17" s="718" t="n"/>
      <c r="P17" s="718" t="n"/>
      <c r="Q17" s="718" t="n"/>
      <c r="R17" s="718" t="n"/>
      <c r="S17" s="718" t="n"/>
      <c r="T17" s="718" t="n"/>
      <c r="U17" s="718" t="n"/>
      <c r="V17" s="718" t="n"/>
      <c r="W17" s="718" t="n"/>
      <c r="X17" s="718" t="n"/>
      <c r="Y17" s="718" t="n"/>
      <c r="Z17" s="718" t="n"/>
      <c r="AA17" s="718" t="n"/>
      <c r="AB17" s="718" t="n"/>
      <c r="AC17" s="718" t="n"/>
      <c r="AD17" s="718" t="n"/>
      <c r="AE17" s="718" t="n"/>
    </row>
    <row r="18" ht="48" customHeight="1">
      <c r="A18" s="745" t="n">
        <v>1</v>
      </c>
      <c r="B18" s="745" t="inlineStr">
        <is>
          <t>ЭПД</t>
        </is>
      </c>
      <c r="C18" s="745" t="inlineStr">
        <is>
          <t>Савинская</t>
        </is>
      </c>
      <c r="D18" s="745" t="inlineStr">
        <is>
          <t>ЭПД Квиз — 9 шт; CRM-форма «Внедрение и поддержка 1С:ЭПД» — 17 шт; Заявка с сайта — 6 шт</t>
        </is>
      </c>
      <c r="E18" s="746" t="n">
        <v>1400</v>
      </c>
      <c r="F18" s="745" t="inlineStr">
        <is>
          <t>Квиз — 3 сделки (2 контроль оплаты); CRM-форма — 5 сделок (1 контроль оплаты на 18 100); Заявка с сайта — 5 сделок (2 оплаты, 3 контроль)</t>
        </is>
      </c>
      <c r="G18" s="745" t="inlineStr">
        <is>
          <t>2 шт / 10 000 ₽</t>
        </is>
      </c>
      <c r="H18" s="718" t="n"/>
      <c r="I18" s="718" t="n"/>
      <c r="J18" s="718" t="n"/>
      <c r="K18" s="718" t="n"/>
      <c r="L18" s="718" t="n"/>
      <c r="M18" s="718" t="n"/>
      <c r="N18" s="718" t="n"/>
      <c r="O18" s="718" t="n"/>
      <c r="P18" s="718" t="n"/>
      <c r="Q18" s="718" t="n"/>
      <c r="R18" s="718" t="n"/>
      <c r="S18" s="718" t="n"/>
      <c r="T18" s="718" t="n"/>
      <c r="U18" s="718" t="n"/>
      <c r="V18" s="718" t="n"/>
      <c r="W18" s="718" t="n"/>
      <c r="X18" s="718" t="n"/>
      <c r="Y18" s="718" t="n"/>
      <c r="Z18" s="718" t="n"/>
      <c r="AA18" s="718" t="n"/>
      <c r="AB18" s="718" t="n"/>
      <c r="AC18" s="718" t="n"/>
      <c r="AD18" s="718" t="n"/>
      <c r="AE18" s="718" t="n"/>
    </row>
    <row r="19">
      <c r="A19" s="718" t="n"/>
      <c r="B19" s="718" t="n"/>
      <c r="C19" s="718" t="n"/>
      <c r="D19" s="718" t="n"/>
      <c r="E19" s="718" t="n"/>
      <c r="F19" s="718" t="n"/>
      <c r="G19" s="718" t="n"/>
      <c r="H19" s="718" t="n"/>
      <c r="I19" s="718" t="n"/>
      <c r="J19" s="718" t="n"/>
      <c r="K19" s="718" t="n"/>
      <c r="L19" s="718" t="n"/>
      <c r="M19" s="718" t="n"/>
      <c r="N19" s="718" t="n"/>
      <c r="O19" s="718" t="n"/>
      <c r="P19" s="718" t="n"/>
      <c r="Q19" s="718" t="n"/>
      <c r="R19" s="718" t="n"/>
      <c r="S19" s="718" t="n"/>
      <c r="T19" s="718" t="n"/>
      <c r="U19" s="718" t="n"/>
      <c r="V19" s="718" t="n"/>
      <c r="W19" s="718" t="n"/>
      <c r="X19" s="718" t="n"/>
      <c r="Y19" s="718" t="n"/>
      <c r="Z19" s="718" t="n"/>
      <c r="AA19" s="718" t="n"/>
      <c r="AB19" s="718" t="n"/>
      <c r="AC19" s="718" t="n"/>
      <c r="AD19" s="718" t="n"/>
      <c r="AE19" s="718" t="n"/>
    </row>
    <row r="20">
      <c r="A20" s="743" t="inlineStr">
        <is>
          <t>1. Мониторинг предыдущих решений</t>
        </is>
      </c>
      <c r="H20" s="718" t="n"/>
      <c r="I20" s="718" t="n"/>
      <c r="J20" s="718" t="n"/>
      <c r="K20" s="718" t="n"/>
      <c r="L20" s="718" t="n"/>
      <c r="M20" s="718" t="n"/>
      <c r="N20" s="718" t="n"/>
      <c r="O20" s="718" t="n"/>
      <c r="P20" s="718" t="n"/>
      <c r="Q20" s="718" t="n"/>
      <c r="R20" s="718" t="n"/>
      <c r="S20" s="718" t="n"/>
      <c r="T20" s="718" t="n"/>
      <c r="U20" s="718" t="n"/>
      <c r="V20" s="718" t="n"/>
      <c r="W20" s="718" t="n"/>
      <c r="X20" s="718" t="n"/>
      <c r="Y20" s="718" t="n"/>
      <c r="Z20" s="718" t="n"/>
      <c r="AA20" s="718" t="n"/>
      <c r="AB20" s="718" t="n"/>
      <c r="AC20" s="718" t="n"/>
      <c r="AD20" s="718" t="n"/>
      <c r="AE20" s="718" t="n"/>
    </row>
    <row r="21">
      <c r="A21" s="744" t="inlineStr">
        <is>
          <t>№</t>
        </is>
      </c>
      <c r="B21" s="744" t="inlineStr">
        <is>
          <t>Задача</t>
        </is>
      </c>
      <c r="C21" s="744" t="inlineStr">
        <is>
          <t>Лидер</t>
        </is>
      </c>
      <c r="D21" s="744" t="inlineStr">
        <is>
          <t>Срок</t>
        </is>
      </c>
      <c r="E21" s="744" t="inlineStr">
        <is>
          <t>Статус</t>
        </is>
      </c>
      <c r="F21" s="744" t="inlineStr">
        <is>
          <t>Комментарии / выводы</t>
        </is>
      </c>
      <c r="G21" s="702" t="n"/>
      <c r="H21" s="718" t="n"/>
      <c r="I21" s="718" t="n"/>
      <c r="J21" s="718" t="n"/>
      <c r="K21" s="718" t="n"/>
      <c r="L21" s="718" t="n"/>
      <c r="M21" s="718" t="n"/>
      <c r="N21" s="718" t="n"/>
      <c r="O21" s="718" t="n"/>
      <c r="P21" s="718" t="n"/>
      <c r="Q21" s="718" t="n"/>
      <c r="R21" s="718" t="n"/>
      <c r="S21" s="718" t="n"/>
      <c r="T21" s="718" t="n"/>
      <c r="U21" s="718" t="n"/>
      <c r="V21" s="718" t="n"/>
      <c r="W21" s="718" t="n"/>
      <c r="X21" s="718" t="n"/>
      <c r="Y21" s="718" t="n"/>
      <c r="Z21" s="718" t="n"/>
      <c r="AA21" s="718" t="n"/>
      <c r="AB21" s="718" t="n"/>
      <c r="AC21" s="718" t="n"/>
      <c r="AD21" s="718" t="n"/>
      <c r="AE21" s="718" t="n"/>
    </row>
    <row r="22" ht="32" customHeight="1">
      <c r="A22" s="732" t="n">
        <v>1</v>
      </c>
      <c r="B22" s="747" t="inlineStr">
        <is>
          <t>Включить поле «время взятия в работу» заявки с РК</t>
        </is>
      </c>
      <c r="C22" s="747" t="inlineStr">
        <is>
          <t>Савинская</t>
        </is>
      </c>
      <c r="D22" s="747" t="inlineStr">
        <is>
          <t>до 27.08</t>
        </is>
      </c>
      <c r="E22" s="748" t="inlineStr">
        <is>
          <t>выполнено</t>
        </is>
      </c>
      <c r="F22" s="747" t="inlineStr"/>
      <c r="G22" s="747" t="n"/>
      <c r="H22" s="718" t="n"/>
      <c r="I22" s="718" t="n"/>
      <c r="J22" s="718" t="n"/>
      <c r="K22" s="718" t="n"/>
      <c r="L22" s="718" t="n"/>
      <c r="M22" s="718" t="n"/>
      <c r="N22" s="718" t="n"/>
      <c r="O22" s="718" t="n"/>
      <c r="P22" s="718" t="n"/>
      <c r="Q22" s="718" t="n"/>
      <c r="R22" s="718" t="n"/>
      <c r="S22" s="718" t="n"/>
      <c r="T22" s="718" t="n"/>
      <c r="U22" s="718" t="n"/>
      <c r="V22" s="718" t="n"/>
      <c r="W22" s="718" t="n"/>
      <c r="X22" s="718" t="n"/>
      <c r="Y22" s="718" t="n"/>
      <c r="Z22" s="718" t="n"/>
      <c r="AA22" s="718" t="n"/>
      <c r="AB22" s="718" t="n"/>
      <c r="AC22" s="718" t="n"/>
      <c r="AD22" s="718" t="n"/>
      <c r="AE22" s="718" t="n"/>
    </row>
    <row r="23" ht="32" customHeight="1">
      <c r="A23" s="732" t="n">
        <v>2</v>
      </c>
      <c r="B23" s="747" t="inlineStr">
        <is>
          <t>Обсудить разделение стоимости РК между ЦП и ЦКС на очной встрече 27.08</t>
        </is>
      </c>
      <c r="C23" s="747" t="inlineStr">
        <is>
          <t>Антонов В., Дербенева К. (все)</t>
        </is>
      </c>
      <c r="D23" s="747" t="inlineStr">
        <is>
          <t>до 27.08</t>
        </is>
      </c>
      <c r="E23" s="749" t="inlineStr">
        <is>
          <t>в работе</t>
        </is>
      </c>
      <c r="F23" s="747" t="inlineStr"/>
      <c r="G23" s="747" t="n"/>
      <c r="H23" s="718" t="n"/>
      <c r="I23" s="718" t="n"/>
      <c r="J23" s="718" t="n"/>
      <c r="K23" s="718" t="n"/>
      <c r="L23" s="718" t="n"/>
      <c r="M23" s="718" t="n"/>
      <c r="N23" s="718" t="n"/>
      <c r="O23" s="718" t="n"/>
      <c r="P23" s="718" t="n"/>
      <c r="Q23" s="718" t="n"/>
      <c r="R23" s="718" t="n"/>
      <c r="S23" s="718" t="n"/>
      <c r="T23" s="718" t="n"/>
      <c r="U23" s="718" t="n"/>
      <c r="V23" s="718" t="n"/>
      <c r="W23" s="718" t="n"/>
      <c r="X23" s="718" t="n"/>
      <c r="Y23" s="718" t="n"/>
      <c r="Z23" s="718" t="n"/>
      <c r="AA23" s="718" t="n"/>
      <c r="AB23" s="718" t="n"/>
      <c r="AC23" s="718" t="n"/>
      <c r="AD23" s="718" t="n"/>
      <c r="AE23" s="718" t="n"/>
    </row>
    <row r="24" ht="32" customHeight="1">
      <c r="A24" s="732" t="n">
        <v>3</v>
      </c>
      <c r="B24" s="747" t="inlineStr">
        <is>
          <t>Текущая РК действует до середины сентября. Продлеваем? Согласование бюджета</t>
        </is>
      </c>
      <c r="C24" s="747" t="inlineStr">
        <is>
          <t>Все участники</t>
        </is>
      </c>
      <c r="D24" s="747" t="inlineStr">
        <is>
          <t>до 27.08</t>
        </is>
      </c>
      <c r="E24" s="749" t="inlineStr">
        <is>
          <t>в работе</t>
        </is>
      </c>
      <c r="F24" s="747" t="inlineStr"/>
      <c r="G24" s="747" t="n"/>
      <c r="H24" s="718" t="n"/>
      <c r="I24" s="718" t="n"/>
      <c r="J24" s="718" t="n"/>
      <c r="K24" s="718" t="n"/>
      <c r="L24" s="718" t="n"/>
      <c r="M24" s="718" t="n"/>
      <c r="N24" s="718" t="n"/>
      <c r="O24" s="718" t="n"/>
      <c r="P24" s="718" t="n"/>
      <c r="Q24" s="718" t="n"/>
      <c r="R24" s="718" t="n"/>
      <c r="S24" s="718" t="n"/>
      <c r="T24" s="718" t="n"/>
      <c r="U24" s="718" t="n"/>
      <c r="V24" s="718" t="n"/>
      <c r="W24" s="718" t="n"/>
      <c r="X24" s="718" t="n"/>
      <c r="Y24" s="718" t="n"/>
      <c r="Z24" s="718" t="n"/>
      <c r="AA24" s="718" t="n"/>
      <c r="AB24" s="718" t="n"/>
      <c r="AC24" s="718" t="n"/>
      <c r="AD24" s="718" t="n"/>
      <c r="AE24" s="718" t="n"/>
    </row>
    <row r="25" ht="32" customHeight="1">
      <c r="A25" s="732" t="n">
        <v>4</v>
      </c>
      <c r="B25" s="747" t="inlineStr">
        <is>
          <t>Собрать ОС от МПП по ЭПД — проблемы, возражения, потребности</t>
        </is>
      </c>
      <c r="C25" s="747" t="inlineStr">
        <is>
          <t>Савинская / Блохина / Степанова</t>
        </is>
      </c>
      <c r="D25" s="747" t="inlineStr">
        <is>
          <t>до 24.08</t>
        </is>
      </c>
      <c r="E25" s="748" t="inlineStr">
        <is>
          <t>выполнено</t>
        </is>
      </c>
      <c r="F25" s="747" t="inlineStr">
        <is>
          <t>Документ в беседе «ЭПД стратегия»</t>
        </is>
      </c>
      <c r="G25" s="747" t="n"/>
      <c r="H25" s="718" t="n"/>
      <c r="I25" s="718" t="n"/>
      <c r="J25" s="718" t="n"/>
      <c r="K25" s="718" t="n"/>
      <c r="L25" s="718" t="n"/>
      <c r="M25" s="718" t="n"/>
      <c r="N25" s="718" t="n"/>
      <c r="O25" s="718" t="n"/>
      <c r="P25" s="718" t="n"/>
      <c r="Q25" s="718" t="n"/>
      <c r="R25" s="718" t="n"/>
      <c r="S25" s="718" t="n"/>
      <c r="T25" s="718" t="n"/>
      <c r="U25" s="718" t="n"/>
      <c r="V25" s="718" t="n"/>
      <c r="W25" s="718" t="n"/>
      <c r="X25" s="718" t="n"/>
      <c r="Y25" s="718" t="n"/>
      <c r="Z25" s="718" t="n"/>
      <c r="AA25" s="718" t="n"/>
      <c r="AB25" s="718" t="n"/>
      <c r="AC25" s="718" t="n"/>
      <c r="AD25" s="718" t="n"/>
      <c r="AE25" s="718" t="n"/>
    </row>
    <row r="26" ht="32" customHeight="1">
      <c r="A26" s="732" t="n">
        <v>5</v>
      </c>
      <c r="B26" s="747" t="inlineStr">
        <is>
          <t>Собрать портрет клиента, который купил ЭПД</t>
        </is>
      </c>
      <c r="C26" s="747" t="inlineStr">
        <is>
          <t>Корнева / Степанова</t>
        </is>
      </c>
      <c r="D26" s="747" t="inlineStr">
        <is>
          <t>до 27.08</t>
        </is>
      </c>
      <c r="E26" s="749" t="inlineStr">
        <is>
          <t>в работе</t>
        </is>
      </c>
      <c r="F26" s="747" t="inlineStr">
        <is>
          <t>Параметры портрета — после встречи</t>
        </is>
      </c>
      <c r="G26" s="747" t="n"/>
      <c r="H26" s="718" t="n"/>
      <c r="I26" s="718" t="n"/>
      <c r="J26" s="718" t="n"/>
      <c r="K26" s="718" t="n"/>
      <c r="L26" s="718" t="n"/>
      <c r="M26" s="718" t="n"/>
      <c r="N26" s="718" t="n"/>
      <c r="O26" s="718" t="n"/>
      <c r="P26" s="718" t="n"/>
      <c r="Q26" s="718" t="n"/>
      <c r="R26" s="718" t="n"/>
      <c r="S26" s="718" t="n"/>
      <c r="T26" s="718" t="n"/>
      <c r="U26" s="718" t="n"/>
      <c r="V26" s="718" t="n"/>
      <c r="W26" s="718" t="n"/>
      <c r="X26" s="718" t="n"/>
      <c r="Y26" s="718" t="n"/>
      <c r="Z26" s="718" t="n"/>
      <c r="AA26" s="718" t="n"/>
      <c r="AB26" s="718" t="n"/>
      <c r="AC26" s="718" t="n"/>
      <c r="AD26" s="718" t="n"/>
      <c r="AE26" s="718" t="n"/>
    </row>
    <row r="27" ht="32" customHeight="1">
      <c r="A27" s="732" t="n">
        <v>6</v>
      </c>
      <c r="B27" s="747" t="inlineStr">
        <is>
          <t>Добавить Корневу и Степанову во встречу с Калугой</t>
        </is>
      </c>
      <c r="C27" s="747" t="inlineStr">
        <is>
          <t>Блохина</t>
        </is>
      </c>
      <c r="D27" s="747" t="inlineStr">
        <is>
          <t>до 24.08</t>
        </is>
      </c>
      <c r="E27" s="748" t="inlineStr">
        <is>
          <t>выполнено</t>
        </is>
      </c>
      <c r="F27" s="747" t="inlineStr"/>
      <c r="G27" s="747" t="n"/>
      <c r="H27" s="718" t="n"/>
      <c r="I27" s="718" t="n"/>
      <c r="J27" s="718" t="n"/>
      <c r="K27" s="718" t="n"/>
      <c r="L27" s="718" t="n"/>
      <c r="M27" s="718" t="n"/>
      <c r="N27" s="718" t="n"/>
      <c r="O27" s="718" t="n"/>
      <c r="P27" s="718" t="n"/>
      <c r="Q27" s="718" t="n"/>
      <c r="R27" s="718" t="n"/>
      <c r="S27" s="718" t="n"/>
      <c r="T27" s="718" t="n"/>
      <c r="U27" s="718" t="n"/>
      <c r="V27" s="718" t="n"/>
      <c r="W27" s="718" t="n"/>
      <c r="X27" s="718" t="n"/>
      <c r="Y27" s="718" t="n"/>
      <c r="Z27" s="718" t="n"/>
      <c r="AA27" s="718" t="n"/>
      <c r="AB27" s="718" t="n"/>
      <c r="AC27" s="718" t="n"/>
      <c r="AD27" s="718" t="n"/>
      <c r="AE27" s="718" t="n"/>
    </row>
    <row r="28" ht="32" customHeight="1">
      <c r="A28" s="732" t="n">
        <v>7</v>
      </c>
      <c r="B28" s="747" t="inlineStr">
        <is>
          <t>Построить финмодель направления ЭПД (доходы, затраты, конверсии, сценарии)</t>
        </is>
      </c>
      <c r="C28" s="747" t="inlineStr">
        <is>
          <t>Все участники</t>
        </is>
      </c>
      <c r="D28" s="747" t="inlineStr">
        <is>
          <t>после стратег-сессии</t>
        </is>
      </c>
      <c r="E28" s="749" t="inlineStr">
        <is>
          <t>в работе</t>
        </is>
      </c>
      <c r="F28" s="747" t="inlineStr"/>
      <c r="G28" s="747" t="n"/>
      <c r="H28" s="718" t="n"/>
      <c r="I28" s="718" t="n"/>
      <c r="J28" s="718" t="n"/>
      <c r="K28" s="718" t="n"/>
      <c r="L28" s="718" t="n"/>
      <c r="M28" s="718" t="n"/>
      <c r="N28" s="718" t="n"/>
      <c r="O28" s="718" t="n"/>
      <c r="P28" s="718" t="n"/>
      <c r="Q28" s="718" t="n"/>
      <c r="R28" s="718" t="n"/>
      <c r="S28" s="718" t="n"/>
      <c r="T28" s="718" t="n"/>
      <c r="U28" s="718" t="n"/>
      <c r="V28" s="718" t="n"/>
      <c r="W28" s="718" t="n"/>
      <c r="X28" s="718" t="n"/>
      <c r="Y28" s="718" t="n"/>
      <c r="Z28" s="718" t="n"/>
      <c r="AA28" s="718" t="n"/>
      <c r="AB28" s="718" t="n"/>
      <c r="AC28" s="718" t="n"/>
      <c r="AD28" s="718" t="n"/>
      <c r="AE28" s="718" t="n"/>
    </row>
    <row r="29">
      <c r="A29" s="718" t="n"/>
      <c r="B29" s="718" t="n"/>
      <c r="C29" s="718" t="n"/>
      <c r="D29" s="718" t="n"/>
      <c r="E29" s="718" t="n"/>
      <c r="F29" s="718" t="n"/>
      <c r="G29" s="718" t="n"/>
      <c r="H29" s="718" t="n"/>
      <c r="I29" s="718" t="n"/>
      <c r="J29" s="718" t="n"/>
      <c r="K29" s="718" t="n"/>
      <c r="L29" s="718" t="n"/>
      <c r="M29" s="718" t="n"/>
      <c r="N29" s="718" t="n"/>
      <c r="O29" s="718" t="n"/>
      <c r="P29" s="718" t="n"/>
      <c r="Q29" s="718" t="n"/>
      <c r="R29" s="718" t="n"/>
      <c r="S29" s="718" t="n"/>
      <c r="T29" s="718" t="n"/>
      <c r="U29" s="718" t="n"/>
      <c r="V29" s="718" t="n"/>
      <c r="W29" s="718" t="n"/>
      <c r="X29" s="718" t="n"/>
      <c r="Y29" s="718" t="n"/>
      <c r="Z29" s="718" t="n"/>
      <c r="AA29" s="718" t="n"/>
      <c r="AB29" s="718" t="n"/>
      <c r="AC29" s="718" t="n"/>
      <c r="AD29" s="718" t="n"/>
      <c r="AE29" s="718" t="n"/>
    </row>
    <row r="30" ht="16.95" customHeight="1">
      <c r="A30" s="750" t="inlineStr">
        <is>
          <t>2. Решения текущей встречи  ·  поставленные задачи</t>
        </is>
      </c>
      <c r="H30" s="718" t="n"/>
      <c r="I30" s="718" t="n"/>
      <c r="J30" s="718" t="n"/>
      <c r="K30" s="718" t="n"/>
      <c r="L30" s="718" t="n"/>
      <c r="M30" s="718" t="n"/>
      <c r="N30" s="718" t="n"/>
      <c r="O30" s="718" t="n"/>
      <c r="P30" s="718" t="n"/>
      <c r="Q30" s="718" t="n"/>
      <c r="R30" s="718" t="n"/>
      <c r="S30" s="718" t="n"/>
      <c r="T30" s="718" t="n"/>
      <c r="U30" s="718" t="n"/>
      <c r="V30" s="718" t="n"/>
      <c r="W30" s="718" t="n"/>
      <c r="X30" s="718" t="n"/>
      <c r="Y30" s="718" t="n"/>
      <c r="Z30" s="718" t="n"/>
      <c r="AA30" s="718" t="n"/>
      <c r="AB30" s="718" t="n"/>
      <c r="AC30" s="718" t="n"/>
      <c r="AD30" s="718" t="n"/>
      <c r="AE30" s="718" t="n"/>
    </row>
    <row r="31">
      <c r="A31" s="703" t="inlineStr">
        <is>
          <t>№</t>
        </is>
      </c>
      <c r="B31" s="703" t="inlineStr">
        <is>
          <t>Задача</t>
        </is>
      </c>
      <c r="C31" s="703" t="inlineStr">
        <is>
          <t>Лидер</t>
        </is>
      </c>
      <c r="D31" s="703" t="inlineStr">
        <is>
          <t>Срок</t>
        </is>
      </c>
      <c r="E31" s="703" t="inlineStr">
        <is>
          <t>Статус</t>
        </is>
      </c>
      <c r="F31" s="703" t="inlineStr">
        <is>
          <t>Комментарии / выводы</t>
        </is>
      </c>
      <c r="G31" s="702" t="n"/>
      <c r="H31" s="718" t="n"/>
      <c r="I31" s="718" t="n"/>
      <c r="J31" s="718" t="n"/>
      <c r="K31" s="718" t="n"/>
      <c r="L31" s="718" t="n"/>
      <c r="M31" s="718" t="n"/>
      <c r="N31" s="718" t="n"/>
      <c r="O31" s="718" t="n"/>
      <c r="P31" s="718" t="n"/>
      <c r="Q31" s="718" t="n"/>
      <c r="R31" s="718" t="n"/>
      <c r="S31" s="718" t="n"/>
      <c r="T31" s="718" t="n"/>
      <c r="U31" s="718" t="n"/>
      <c r="V31" s="718" t="n"/>
      <c r="W31" s="718" t="n"/>
      <c r="X31" s="718" t="n"/>
      <c r="Y31" s="718" t="n"/>
      <c r="Z31" s="718" t="n"/>
      <c r="AA31" s="718" t="n"/>
      <c r="AB31" s="718" t="n"/>
      <c r="AC31" s="718" t="n"/>
      <c r="AD31" s="718" t="n"/>
      <c r="AE31" s="718" t="n"/>
    </row>
    <row r="32" ht="42" customHeight="1">
      <c r="A32" s="751" t="n">
        <v>1</v>
      </c>
      <c r="B32" s="752" t="inlineStr">
        <is>
          <t>Разобраться с показателями охвата сервисом 1С-ЭПД из таблицы А. Дворяк (9 000 ед.): что считается охватом — подключение или предоплаченные пакеты?</t>
        </is>
      </c>
      <c r="C32" s="752" t="inlineStr">
        <is>
          <t>Корнева, Степанова</t>
        </is>
      </c>
      <c r="D32" s="752" t="inlineStr">
        <is>
          <t>до след. встречи</t>
        </is>
      </c>
      <c r="E32" s="749" t="inlineStr">
        <is>
          <t>в работе</t>
        </is>
      </c>
      <c r="F32" s="752" t="inlineStr">
        <is>
          <t>Цифры расходятся с Калугой; проблемы с закреплением</t>
        </is>
      </c>
      <c r="G32" s="752" t="n"/>
      <c r="H32" s="718" t="n"/>
      <c r="I32" s="718" t="n"/>
      <c r="J32" s="718" t="n"/>
      <c r="K32" s="718" t="n"/>
      <c r="L32" s="718" t="n"/>
      <c r="M32" s="718" t="n"/>
      <c r="N32" s="718" t="n"/>
      <c r="O32" s="718" t="n"/>
      <c r="P32" s="718" t="n"/>
      <c r="Q32" s="718" t="n"/>
      <c r="R32" s="718" t="n"/>
      <c r="S32" s="718" t="n"/>
      <c r="T32" s="718" t="n"/>
      <c r="U32" s="718" t="n"/>
      <c r="V32" s="718" t="n"/>
      <c r="W32" s="718" t="n"/>
      <c r="X32" s="718" t="n"/>
      <c r="Y32" s="718" t="n"/>
      <c r="Z32" s="718" t="n"/>
      <c r="AA32" s="718" t="n"/>
      <c r="AB32" s="718" t="n"/>
      <c r="AC32" s="718" t="n"/>
      <c r="AD32" s="718" t="n"/>
      <c r="AE32" s="718" t="n"/>
    </row>
    <row r="33" ht="42" customHeight="1">
      <c r="A33" s="751" t="n">
        <v>2</v>
      </c>
      <c r="B33" s="752" t="inlineStr">
        <is>
          <t>Уточнить у Суворовой статус Элиттрейд; предложить акцию 3 мес. Доки для захода к контрагентам</t>
        </is>
      </c>
      <c r="C33" s="752" t="inlineStr">
        <is>
          <t>Блохина (Лиза)</t>
        </is>
      </c>
      <c r="D33" s="752" t="inlineStr">
        <is>
          <t>до след. встречи</t>
        </is>
      </c>
      <c r="E33" s="749" t="inlineStr">
        <is>
          <t>в работе</t>
        </is>
      </c>
      <c r="F33" s="752" t="inlineStr">
        <is>
          <t>Крупные производители «диктуют» правила → возможность почкования базы</t>
        </is>
      </c>
      <c r="G33" s="752" t="n"/>
      <c r="H33" s="718" t="n"/>
      <c r="I33" s="718" t="n"/>
      <c r="J33" s="718" t="n"/>
      <c r="K33" s="718" t="n"/>
      <c r="L33" s="718" t="n"/>
      <c r="M33" s="718" t="n"/>
      <c r="N33" s="718" t="n"/>
      <c r="O33" s="718" t="n"/>
      <c r="P33" s="718" t="n"/>
      <c r="Q33" s="718" t="n"/>
      <c r="R33" s="718" t="n"/>
      <c r="S33" s="718" t="n"/>
      <c r="T33" s="718" t="n"/>
      <c r="U33" s="718" t="n"/>
      <c r="V33" s="718" t="n"/>
      <c r="W33" s="718" t="n"/>
      <c r="X33" s="718" t="n"/>
      <c r="Y33" s="718" t="n"/>
      <c r="Z33" s="718" t="n"/>
      <c r="AA33" s="718" t="n"/>
      <c r="AB33" s="718" t="n"/>
      <c r="AC33" s="718" t="n"/>
      <c r="AD33" s="718" t="n"/>
      <c r="AE33" s="718" t="n"/>
    </row>
    <row r="34" ht="42" customHeight="1">
      <c r="A34" s="751" t="n">
        <v>3</v>
      </c>
      <c r="B34" s="752" t="inlineStr">
        <is>
          <t>Подключить Антона Гуркова к процессу изучения привязки клиента (Доки.Логистика / ЦКС)</t>
        </is>
      </c>
      <c r="C34" s="752" t="inlineStr">
        <is>
          <t>Гурков А.</t>
        </is>
      </c>
      <c r="D34" s="752" t="inlineStr">
        <is>
          <t>в работе</t>
        </is>
      </c>
      <c r="E34" s="753" t="inlineStr">
        <is>
          <t>взял на себя</t>
        </is>
      </c>
      <c r="F34" s="752" t="inlineStr">
        <is>
          <t>Задача Оксаны Ремез — прописать подробнее после пересмотра встречи</t>
        </is>
      </c>
      <c r="G34" s="752" t="n"/>
      <c r="H34" s="718" t="n"/>
      <c r="I34" s="718" t="n"/>
      <c r="J34" s="718" t="n"/>
      <c r="K34" s="718" t="n"/>
      <c r="L34" s="718" t="n"/>
      <c r="M34" s="718" t="n"/>
      <c r="N34" s="718" t="n"/>
      <c r="O34" s="718" t="n"/>
      <c r="P34" s="718" t="n"/>
      <c r="Q34" s="718" t="n"/>
      <c r="R34" s="718" t="n"/>
      <c r="S34" s="718" t="n"/>
      <c r="T34" s="718" t="n"/>
      <c r="U34" s="718" t="n"/>
      <c r="V34" s="718" t="n"/>
      <c r="W34" s="718" t="n"/>
      <c r="X34" s="718" t="n"/>
      <c r="Y34" s="718" t="n"/>
      <c r="Z34" s="718" t="n"/>
      <c r="AA34" s="718" t="n"/>
      <c r="AB34" s="718" t="n"/>
      <c r="AC34" s="718" t="n"/>
      <c r="AD34" s="718" t="n"/>
      <c r="AE34" s="718" t="n"/>
    </row>
    <row r="35" ht="42" customHeight="1">
      <c r="A35" s="751" t="n">
        <v>4</v>
      </c>
      <c r="B35" s="752" t="inlineStr">
        <is>
          <t>Выяснить у Калуги: можно ли отследить активность клиента в сервисе Доки</t>
        </is>
      </c>
      <c r="C35" s="752" t="inlineStr">
        <is>
          <t>Дивакова М.</t>
        </is>
      </c>
      <c r="D35" s="752" t="inlineStr">
        <is>
          <t>до след. встречи</t>
        </is>
      </c>
      <c r="E35" s="749" t="inlineStr">
        <is>
          <t>в работе</t>
        </is>
      </c>
      <c r="F35" s="752" t="inlineStr"/>
      <c r="G35" s="752" t="n"/>
      <c r="H35" s="718" t="n"/>
      <c r="I35" s="718" t="n"/>
      <c r="J35" s="718" t="n"/>
      <c r="K35" s="718" t="n"/>
      <c r="L35" s="718" t="n"/>
      <c r="M35" s="718" t="n"/>
      <c r="N35" s="718" t="n"/>
      <c r="O35" s="718" t="n"/>
      <c r="P35" s="718" t="n"/>
      <c r="Q35" s="718" t="n"/>
      <c r="R35" s="718" t="n"/>
      <c r="S35" s="718" t="n"/>
      <c r="T35" s="718" t="n"/>
      <c r="U35" s="718" t="n"/>
      <c r="V35" s="718" t="n"/>
      <c r="W35" s="718" t="n"/>
      <c r="X35" s="718" t="n"/>
      <c r="Y35" s="718" t="n"/>
      <c r="Z35" s="718" t="n"/>
      <c r="AA35" s="718" t="n"/>
      <c r="AB35" s="718" t="n"/>
      <c r="AC35" s="718" t="n"/>
      <c r="AD35" s="718" t="n"/>
      <c r="AE35" s="718" t="n"/>
    </row>
    <row r="36" ht="42" customHeight="1">
      <c r="A36" s="751" t="n">
        <v>5</v>
      </c>
      <c r="B36" s="752" t="inlineStr">
        <is>
          <t>Уточнить у Никитченко: считается ли Доки в охват сервисами ЭПД</t>
        </is>
      </c>
      <c r="C36" s="752" t="inlineStr">
        <is>
          <t>Дворяк (Саша)</t>
        </is>
      </c>
      <c r="D36" s="752" t="inlineStr">
        <is>
          <t>до след. встречи</t>
        </is>
      </c>
      <c r="E36" s="749" t="inlineStr">
        <is>
          <t>в работе</t>
        </is>
      </c>
      <c r="F36" s="752" t="inlineStr">
        <is>
          <t>Саша спросит</t>
        </is>
      </c>
      <c r="G36" s="752" t="n"/>
      <c r="H36" s="718" t="n"/>
      <c r="I36" s="718" t="n"/>
      <c r="J36" s="718" t="n"/>
      <c r="K36" s="718" t="n"/>
      <c r="L36" s="718" t="n"/>
      <c r="M36" s="718" t="n"/>
      <c r="N36" s="718" t="n"/>
      <c r="O36" s="718" t="n"/>
      <c r="P36" s="718" t="n"/>
      <c r="Q36" s="718" t="n"/>
      <c r="R36" s="718" t="n"/>
      <c r="S36" s="718" t="n"/>
      <c r="T36" s="718" t="n"/>
      <c r="U36" s="718" t="n"/>
      <c r="V36" s="718" t="n"/>
      <c r="W36" s="718" t="n"/>
      <c r="X36" s="718" t="n"/>
      <c r="Y36" s="718" t="n"/>
      <c r="Z36" s="718" t="n"/>
      <c r="AA36" s="718" t="n"/>
      <c r="AB36" s="718" t="n"/>
      <c r="AC36" s="718" t="n"/>
      <c r="AD36" s="718" t="n"/>
      <c r="AE36" s="718" t="n"/>
    </row>
    <row r="37" ht="42" customHeight="1">
      <c r="A37" s="751" t="n">
        <v>6</v>
      </c>
      <c r="B37" s="752" t="inlineStr">
        <is>
          <t>Подготовить со СМАК материалы для прогрева клиента на период демо-доступа</t>
        </is>
      </c>
      <c r="C37" s="752" t="inlineStr">
        <is>
          <t>СМАК + ответственный</t>
        </is>
      </c>
      <c r="D37" s="752" t="inlineStr">
        <is>
          <t>к 01.10</t>
        </is>
      </c>
      <c r="E37" s="749" t="inlineStr">
        <is>
          <t>в работе</t>
        </is>
      </c>
      <c r="F37" s="752" t="inlineStr">
        <is>
          <t>С 01.10 демо = 14 дней; до 01.10 — 3 месяца бесплатно</t>
        </is>
      </c>
      <c r="G37" s="752" t="n"/>
      <c r="H37" s="718" t="n"/>
      <c r="I37" s="718" t="n"/>
      <c r="J37" s="718" t="n"/>
      <c r="K37" s="718" t="n"/>
      <c r="L37" s="718" t="n"/>
      <c r="M37" s="718" t="n"/>
      <c r="N37" s="718" t="n"/>
      <c r="O37" s="718" t="n"/>
      <c r="P37" s="718" t="n"/>
      <c r="Q37" s="718" t="n"/>
      <c r="R37" s="718" t="n"/>
      <c r="S37" s="718" t="n"/>
      <c r="T37" s="718" t="n"/>
      <c r="U37" s="718" t="n"/>
      <c r="V37" s="718" t="n"/>
      <c r="W37" s="718" t="n"/>
      <c r="X37" s="718" t="n"/>
      <c r="Y37" s="718" t="n"/>
      <c r="Z37" s="718" t="n"/>
      <c r="AA37" s="718" t="n"/>
      <c r="AB37" s="718" t="n"/>
      <c r="AC37" s="718" t="n"/>
      <c r="AD37" s="718" t="n"/>
      <c r="AE37" s="718" t="n"/>
    </row>
    <row r="38" ht="42" customHeight="1">
      <c r="A38" s="751" t="n">
        <v>7</v>
      </c>
      <c r="B38" s="752" t="inlineStr">
        <is>
          <t>Подготовить калькулятор пополнения титулов / помощи менеджеру ЦКС при продлении</t>
        </is>
      </c>
      <c r="C38" s="752" t="inlineStr">
        <is>
          <t>Вика + Маша</t>
        </is>
      </c>
      <c r="D38" s="752" t="inlineStr">
        <is>
          <t>до след. встречи</t>
        </is>
      </c>
      <c r="E38" s="749" t="inlineStr">
        <is>
          <t>в работе</t>
        </is>
      </c>
      <c r="F38" s="752" t="inlineStr">
        <is>
          <t>Обсуждали накануне лектория с 1С</t>
        </is>
      </c>
      <c r="G38" s="752" t="n"/>
      <c r="H38" s="718" t="n"/>
      <c r="I38" s="718" t="n"/>
      <c r="J38" s="718" t="n"/>
      <c r="K38" s="718" t="n"/>
      <c r="L38" s="718" t="n"/>
      <c r="M38" s="718" t="n"/>
      <c r="N38" s="718" t="n"/>
      <c r="O38" s="718" t="n"/>
      <c r="P38" s="718" t="n"/>
      <c r="Q38" s="718" t="n"/>
      <c r="R38" s="718" t="n"/>
      <c r="S38" s="718" t="n"/>
      <c r="T38" s="718" t="n"/>
      <c r="U38" s="718" t="n"/>
      <c r="V38" s="718" t="n"/>
      <c r="W38" s="718" t="n"/>
      <c r="X38" s="718" t="n"/>
      <c r="Y38" s="718" t="n"/>
      <c r="Z38" s="718" t="n"/>
      <c r="AA38" s="718" t="n"/>
      <c r="AB38" s="718" t="n"/>
      <c r="AC38" s="718" t="n"/>
      <c r="AD38" s="718" t="n"/>
      <c r="AE38" s="718" t="n"/>
    </row>
    <row r="39" ht="42" customHeight="1">
      <c r="A39" s="751" t="n">
        <v>8</v>
      </c>
      <c r="B39" s="752" t="inlineStr">
        <is>
          <t>Подготовить текст рассылки: «проверьте своего контрагента и впишите в тандем» — показать сроки и текст</t>
        </is>
      </c>
      <c r="C39" s="752" t="inlineStr">
        <is>
          <t>Блохина (Лиза)</t>
        </is>
      </c>
      <c r="D39" s="752" t="inlineStr">
        <is>
          <t>до след. встречи</t>
        </is>
      </c>
      <c r="E39" s="749" t="inlineStr">
        <is>
          <t>в работе</t>
        </is>
      </c>
      <c r="F39" s="752" t="inlineStr"/>
      <c r="G39" s="752" t="n"/>
      <c r="H39" s="718" t="n"/>
      <c r="I39" s="718" t="n"/>
      <c r="J39" s="718" t="n"/>
      <c r="K39" s="718" t="n"/>
      <c r="L39" s="718" t="n"/>
      <c r="M39" s="718" t="n"/>
      <c r="N39" s="718" t="n"/>
      <c r="O39" s="718" t="n"/>
      <c r="P39" s="718" t="n"/>
      <c r="Q39" s="718" t="n"/>
      <c r="R39" s="718" t="n"/>
      <c r="S39" s="718" t="n"/>
      <c r="T39" s="718" t="n"/>
      <c r="U39" s="718" t="n"/>
      <c r="V39" s="718" t="n"/>
      <c r="W39" s="718" t="n"/>
      <c r="X39" s="718" t="n"/>
      <c r="Y39" s="718" t="n"/>
      <c r="Z39" s="718" t="n"/>
      <c r="AA39" s="718" t="n"/>
      <c r="AB39" s="718" t="n"/>
      <c r="AC39" s="718" t="n"/>
      <c r="AD39" s="718" t="n"/>
      <c r="AE39" s="718" t="n"/>
    </row>
    <row r="40" ht="42" customHeight="1">
      <c r="A40" s="751" t="n">
        <v>9</v>
      </c>
      <c r="B40" s="752" t="inlineStr">
        <is>
          <t>Обзвонить крупных клиентов (от 2 000 титулов / генераторы трафика) и предложить ЭПД ТАНДЕМ</t>
        </is>
      </c>
      <c r="C40" s="752" t="inlineStr">
        <is>
          <t>ЦП / ЦКС</t>
        </is>
      </c>
      <c r="D40" s="752" t="inlineStr">
        <is>
          <t>сентябрь</t>
        </is>
      </c>
      <c r="E40" s="749" t="inlineStr">
        <is>
          <t>в работе</t>
        </is>
      </c>
      <c r="F40" s="752" t="inlineStr">
        <is>
          <t>Начать с крупных; корп. сегмент продавал ЭПД даже в малом объёме</t>
        </is>
      </c>
      <c r="G40" s="752" t="n"/>
      <c r="H40" s="718" t="n"/>
      <c r="I40" s="718" t="n"/>
      <c r="J40" s="718" t="n"/>
      <c r="K40" s="718" t="n"/>
      <c r="L40" s="718" t="n"/>
      <c r="M40" s="718" t="n"/>
      <c r="N40" s="718" t="n"/>
      <c r="O40" s="718" t="n"/>
      <c r="P40" s="718" t="n"/>
      <c r="Q40" s="718" t="n"/>
      <c r="R40" s="718" t="n"/>
      <c r="S40" s="718" t="n"/>
      <c r="T40" s="718" t="n"/>
      <c r="U40" s="718" t="n"/>
      <c r="V40" s="718" t="n"/>
      <c r="W40" s="718" t="n"/>
      <c r="X40" s="718" t="n"/>
      <c r="Y40" s="718" t="n"/>
      <c r="Z40" s="718" t="n"/>
      <c r="AA40" s="718" t="n"/>
      <c r="AB40" s="718" t="n"/>
      <c r="AC40" s="718" t="n"/>
      <c r="AD40" s="718" t="n"/>
      <c r="AE40" s="718" t="n"/>
    </row>
    <row r="41" ht="42" customHeight="1">
      <c r="A41" s="751" t="n">
        <v>10</v>
      </c>
      <c r="B41" s="752" t="inlineStr">
        <is>
          <t>Обзвон подключённых клиентов: оценка удовлетворённости + проекты ЦАС (Доки)</t>
        </is>
      </c>
      <c r="C41" s="752" t="inlineStr">
        <is>
          <t>Дворяк / Лазарчук</t>
        </is>
      </c>
      <c r="D41" s="752" t="inlineStr">
        <is>
          <t>сентябрь</t>
        </is>
      </c>
      <c r="E41" s="749" t="inlineStr">
        <is>
          <t>в работе</t>
        </is>
      </c>
      <c r="F41" s="752" t="inlineStr">
        <is>
          <t>Задача по клиентам ЦАС (Доки)</t>
        </is>
      </c>
      <c r="G41" s="752" t="n"/>
      <c r="H41" s="718" t="n"/>
      <c r="I41" s="718" t="n"/>
      <c r="J41" s="718" t="n"/>
      <c r="K41" s="718" t="n"/>
      <c r="L41" s="718" t="n"/>
      <c r="M41" s="718" t="n"/>
      <c r="N41" s="718" t="n"/>
      <c r="O41" s="718" t="n"/>
      <c r="P41" s="718" t="n"/>
      <c r="Q41" s="718" t="n"/>
      <c r="R41" s="718" t="n"/>
      <c r="S41" s="718" t="n"/>
      <c r="T41" s="718" t="n"/>
      <c r="U41" s="718" t="n"/>
      <c r="V41" s="718" t="n"/>
      <c r="W41" s="718" t="n"/>
      <c r="X41" s="718" t="n"/>
      <c r="Y41" s="718" t="n"/>
      <c r="Z41" s="718" t="n"/>
      <c r="AA41" s="718" t="n"/>
      <c r="AB41" s="718" t="n"/>
      <c r="AC41" s="718" t="n"/>
      <c r="AD41" s="718" t="n"/>
      <c r="AE41" s="718" t="n"/>
    </row>
    <row r="42" ht="42" customHeight="1">
      <c r="A42" s="751" t="n">
        <v>11</v>
      </c>
      <c r="B42" s="752" t="inlineStr">
        <is>
          <t>Взять неуспешные сделки ЭПД по корп. сегменту и предложить Доки в первую неделю сентября</t>
        </is>
      </c>
      <c r="C42" s="752" t="inlineStr">
        <is>
          <t>Юлиана</t>
        </is>
      </c>
      <c r="D42" s="752" t="inlineStr">
        <is>
          <t>1-я неделя сентября</t>
        </is>
      </c>
      <c r="E42" s="749" t="inlineStr">
        <is>
          <t>в работе</t>
        </is>
      </c>
      <c r="F42" s="752" t="inlineStr">
        <is>
          <t>Клиенты сбытового офиса уходят на СБИС — разобрать причины</t>
        </is>
      </c>
      <c r="G42" s="752" t="n"/>
      <c r="H42" s="718" t="n"/>
      <c r="I42" s="718" t="n"/>
      <c r="J42" s="718" t="n"/>
      <c r="K42" s="718" t="n"/>
      <c r="L42" s="718" t="n"/>
      <c r="M42" s="718" t="n"/>
      <c r="N42" s="718" t="n"/>
      <c r="O42" s="718" t="n"/>
      <c r="P42" s="718" t="n"/>
      <c r="Q42" s="718" t="n"/>
      <c r="R42" s="718" t="n"/>
      <c r="S42" s="718" t="n"/>
      <c r="T42" s="718" t="n"/>
      <c r="U42" s="718" t="n"/>
      <c r="V42" s="718" t="n"/>
      <c r="W42" s="718" t="n"/>
      <c r="X42" s="718" t="n"/>
      <c r="Y42" s="718" t="n"/>
      <c r="Z42" s="718" t="n"/>
      <c r="AA42" s="718" t="n"/>
      <c r="AB42" s="718" t="n"/>
      <c r="AC42" s="718" t="n"/>
      <c r="AD42" s="718" t="n"/>
      <c r="AE42" s="718" t="n"/>
    </row>
    <row r="43" ht="42" customHeight="1">
      <c r="A43" s="751" t="n">
        <v>12</v>
      </c>
      <c r="B43" s="752" t="inlineStr">
        <is>
          <t>Проверить в базе: подключён ли клиент к каналу ЭПД (МАКС / ТГ / ВК); оценить как альт. канал привлечения</t>
        </is>
      </c>
      <c r="C43" s="752" t="inlineStr">
        <is>
          <t>ЦП / ЦКС</t>
        </is>
      </c>
      <c r="D43" s="752" t="inlineStr">
        <is>
          <t>до след. встречи</t>
        </is>
      </c>
      <c r="E43" s="749" t="inlineStr">
        <is>
          <t>в работе</t>
        </is>
      </c>
      <c r="F43" s="752" t="inlineStr">
        <is>
          <t>Связать со стратегией и целями</t>
        </is>
      </c>
      <c r="G43" s="752" t="n"/>
      <c r="H43" s="718" t="n"/>
      <c r="I43" s="718" t="n"/>
      <c r="J43" s="718" t="n"/>
      <c r="K43" s="718" t="n"/>
      <c r="L43" s="718" t="n"/>
      <c r="M43" s="718" t="n"/>
      <c r="N43" s="718" t="n"/>
      <c r="O43" s="718" t="n"/>
      <c r="P43" s="718" t="n"/>
      <c r="Q43" s="718" t="n"/>
      <c r="R43" s="718" t="n"/>
      <c r="S43" s="718" t="n"/>
      <c r="T43" s="718" t="n"/>
      <c r="U43" s="718" t="n"/>
      <c r="V43" s="718" t="n"/>
      <c r="W43" s="718" t="n"/>
      <c r="X43" s="718" t="n"/>
      <c r="Y43" s="718" t="n"/>
      <c r="Z43" s="718" t="n"/>
      <c r="AA43" s="718" t="n"/>
      <c r="AB43" s="718" t="n"/>
      <c r="AC43" s="718" t="n"/>
      <c r="AD43" s="718" t="n"/>
      <c r="AE43" s="718" t="n"/>
    </row>
    <row r="44" ht="42" customHeight="1">
      <c r="A44" s="751" t="n">
        <v>13</v>
      </c>
      <c r="B44" s="752" t="inlineStr">
        <is>
          <t>Зафиксировать целевую структуру плана 500 клиентов до конца 2026: 50 крупных / 300 средних / 150 мелких</t>
        </is>
      </c>
      <c r="C44" s="752" t="inlineStr">
        <is>
          <t>Все участники</t>
        </is>
      </c>
      <c r="D44" s="752" t="inlineStr">
        <is>
          <t>принято</t>
        </is>
      </c>
      <c r="E44" s="748" t="inlineStr">
        <is>
          <t>принято</t>
        </is>
      </c>
      <c r="F44" s="752" t="inlineStr">
        <is>
          <t>Приоритет — количество клиентов, не сумма выручки на старте</t>
        </is>
      </c>
      <c r="G44" s="752" t="n"/>
      <c r="H44" s="718" t="n"/>
      <c r="I44" s="718" t="n"/>
      <c r="J44" s="718" t="n"/>
      <c r="K44" s="718" t="n"/>
      <c r="L44" s="718" t="n"/>
      <c r="M44" s="718" t="n"/>
      <c r="N44" s="718" t="n"/>
      <c r="O44" s="718" t="n"/>
      <c r="P44" s="718" t="n"/>
      <c r="Q44" s="718" t="n"/>
      <c r="R44" s="718" t="n"/>
      <c r="S44" s="718" t="n"/>
      <c r="T44" s="718" t="n"/>
      <c r="U44" s="718" t="n"/>
      <c r="V44" s="718" t="n"/>
      <c r="W44" s="718" t="n"/>
      <c r="X44" s="718" t="n"/>
      <c r="Y44" s="718" t="n"/>
      <c r="Z44" s="718" t="n"/>
      <c r="AA44" s="718" t="n"/>
      <c r="AB44" s="718" t="n"/>
      <c r="AC44" s="718" t="n"/>
      <c r="AD44" s="718" t="n"/>
      <c r="AE44" s="718" t="n"/>
    </row>
    <row r="45" ht="14.25" customHeight="1">
      <c r="A45" s="718" t="n"/>
      <c r="B45" s="718" t="n"/>
      <c r="C45" s="718" t="n"/>
      <c r="D45" s="718" t="n"/>
      <c r="E45" s="718" t="n"/>
      <c r="F45" s="718" t="n"/>
      <c r="G45" s="718" t="n"/>
      <c r="H45" s="718" t="n"/>
      <c r="I45" s="718" t="n"/>
      <c r="J45" s="718" t="n"/>
      <c r="K45" s="718" t="n"/>
      <c r="L45" s="718" t="n"/>
      <c r="M45" s="718" t="n"/>
      <c r="N45" s="718" t="n"/>
      <c r="O45" s="718" t="n"/>
      <c r="P45" s="718" t="n"/>
      <c r="Q45" s="718" t="n"/>
      <c r="R45" s="718" t="n"/>
      <c r="S45" s="718" t="n"/>
      <c r="T45" s="718" t="n"/>
      <c r="U45" s="718" t="n"/>
      <c r="V45" s="718" t="n"/>
      <c r="W45" s="718" t="n"/>
      <c r="X45" s="718" t="n"/>
      <c r="Y45" s="718" t="n"/>
      <c r="Z45" s="718" t="n"/>
      <c r="AA45" s="718" t="n"/>
      <c r="AB45" s="718" t="n"/>
      <c r="AC45" s="718" t="n"/>
      <c r="AD45" s="718" t="n"/>
      <c r="AE45" s="718" t="n"/>
    </row>
    <row r="46">
      <c r="A46" s="743" t="inlineStr">
        <is>
          <t>3. Обсуждаемые темы и выводы  ·  блоки и тезисы</t>
        </is>
      </c>
      <c r="H46" s="718" t="n"/>
      <c r="I46" s="718" t="n"/>
      <c r="J46" s="718" t="n"/>
      <c r="K46" s="718" t="n"/>
      <c r="L46" s="718" t="n"/>
      <c r="M46" s="718" t="n"/>
      <c r="N46" s="718" t="n"/>
      <c r="O46" s="718" t="n"/>
      <c r="P46" s="718" t="n"/>
      <c r="Q46" s="718" t="n"/>
      <c r="R46" s="718" t="n"/>
      <c r="S46" s="718" t="n"/>
      <c r="T46" s="718" t="n"/>
      <c r="U46" s="718" t="n"/>
      <c r="V46" s="718" t="n"/>
      <c r="W46" s="718" t="n"/>
      <c r="X46" s="718" t="n"/>
      <c r="Y46" s="718" t="n"/>
      <c r="Z46" s="718" t="n"/>
      <c r="AA46" s="718" t="n"/>
      <c r="AB46" s="718" t="n"/>
      <c r="AC46" s="718" t="n"/>
      <c r="AD46" s="718" t="n"/>
      <c r="AE46" s="718" t="n"/>
    </row>
    <row r="47" ht="13.5" customHeight="1">
      <c r="A47" s="744" t="inlineStr">
        <is>
          <t>Блок</t>
        </is>
      </c>
      <c r="B47" s="744" t="inlineStr">
        <is>
          <t>Тема / тезис</t>
        </is>
      </c>
      <c r="C47" s="744" t="n"/>
      <c r="D47" s="744" t="inlineStr">
        <is>
          <t>Выводы и решения</t>
        </is>
      </c>
      <c r="E47" s="744" t="n"/>
      <c r="F47" s="744" t="n"/>
      <c r="G47" s="744" t="n"/>
      <c r="H47" s="718" t="n"/>
      <c r="I47" s="718" t="n"/>
      <c r="J47" s="718" t="n"/>
      <c r="K47" s="718" t="n"/>
      <c r="L47" s="718" t="n"/>
      <c r="M47" s="718" t="n"/>
      <c r="N47" s="718" t="n"/>
      <c r="O47" s="718" t="n"/>
      <c r="P47" s="718" t="n"/>
      <c r="Q47" s="718" t="n"/>
      <c r="R47" s="718" t="n"/>
      <c r="S47" s="718" t="n"/>
      <c r="T47" s="718" t="n"/>
      <c r="U47" s="718" t="n"/>
      <c r="V47" s="718" t="n"/>
      <c r="W47" s="718" t="n"/>
      <c r="X47" s="718" t="n"/>
      <c r="Y47" s="718" t="n"/>
      <c r="Z47" s="718" t="n"/>
      <c r="AA47" s="718" t="n"/>
      <c r="AB47" s="718" t="n"/>
      <c r="AC47" s="718" t="n"/>
      <c r="AD47" s="718" t="n"/>
      <c r="AE47" s="718" t="n"/>
    </row>
    <row r="48" ht="48" customHeight="1">
      <c r="A48" s="754" t="inlineStr">
        <is>
          <t>Акция и ЦСВ</t>
        </is>
      </c>
      <c r="B48" s="755" t="inlineStr">
        <is>
          <t>Трудозатраты ЦСВ на акцию по ЭПД</t>
        </is>
      </c>
      <c r="C48" s="756" t="n"/>
      <c r="D48" s="757" t="inlineStr">
        <is>
          <t>Акцию продлили до 30.09. Уточнить адресата вопроса у Оксаны.</t>
        </is>
      </c>
      <c r="E48" s="756" t="n"/>
      <c r="F48" s="756" t="n"/>
      <c r="G48" s="756" t="n"/>
      <c r="H48" s="718" t="n"/>
      <c r="I48" s="718" t="n"/>
      <c r="J48" s="718" t="n"/>
      <c r="K48" s="718" t="n"/>
      <c r="L48" s="718" t="n"/>
      <c r="M48" s="718" t="n"/>
      <c r="N48" s="718" t="n"/>
      <c r="O48" s="718" t="n"/>
      <c r="P48" s="718" t="n"/>
      <c r="Q48" s="718" t="n"/>
      <c r="R48" s="718" t="n"/>
      <c r="S48" s="718" t="n"/>
      <c r="T48" s="718" t="n"/>
      <c r="U48" s="718" t="n"/>
      <c r="V48" s="718" t="n"/>
      <c r="W48" s="718" t="n"/>
      <c r="X48" s="718" t="n"/>
      <c r="Y48" s="718" t="n"/>
      <c r="Z48" s="718" t="n"/>
      <c r="AA48" s="718" t="n"/>
      <c r="AB48" s="718" t="n"/>
      <c r="AC48" s="718" t="n"/>
      <c r="AD48" s="718" t="n"/>
      <c r="AE48" s="718" t="n"/>
    </row>
    <row r="49" ht="48" customHeight="1">
      <c r="A49" s="758" t="inlineStr">
        <is>
          <t>Каналы
МАКС / ТГ / ВК</t>
        </is>
      </c>
      <c r="B49" s="759" t="inlineStr">
        <is>
          <t>Можем ли прорабатывать клиентов канала ЭПД силами ЦП и ЦКС? Альтернативный канал привлечения.</t>
        </is>
      </c>
      <c r="C49" s="760" t="n"/>
      <c r="D49" s="760" t="inlineStr">
        <is>
          <t>Нужна проверка базы: подключён клиент к каналу или нет. Идея — просить менеджеров подключать клиентов; вопрос мотивации клиента открыт.</t>
        </is>
      </c>
      <c r="E49" s="760" t="n"/>
      <c r="F49" s="760" t="n"/>
      <c r="G49" s="760" t="n"/>
      <c r="H49" s="718" t="n"/>
      <c r="I49" s="718" t="n"/>
      <c r="J49" s="718" t="n"/>
      <c r="K49" s="718" t="n"/>
      <c r="L49" s="718" t="n"/>
      <c r="M49" s="718" t="n"/>
      <c r="N49" s="718" t="n"/>
      <c r="O49" s="718" t="n"/>
      <c r="P49" s="718" t="n"/>
      <c r="Q49" s="718" t="n"/>
      <c r="R49" s="718" t="n"/>
      <c r="S49" s="718" t="n"/>
      <c r="T49" s="718" t="n"/>
      <c r="U49" s="718" t="n"/>
      <c r="V49" s="718" t="n"/>
      <c r="W49" s="718" t="n"/>
      <c r="X49" s="718" t="n"/>
      <c r="Y49" s="718" t="n"/>
      <c r="Z49" s="718" t="n"/>
      <c r="AA49" s="718" t="n"/>
      <c r="AB49" s="718" t="n"/>
      <c r="AC49" s="718" t="n"/>
      <c r="AD49" s="718" t="n"/>
      <c r="AE49" s="718" t="n"/>
    </row>
    <row r="50" ht="48" customHeight="1">
      <c r="A50" s="761" t="inlineStr">
        <is>
          <t>Стратегия
и сегментация</t>
        </is>
      </c>
      <c r="B50" s="762" t="inlineStr">
        <is>
          <t>Заход в Элиттрейд (таблица Дворяк) → контрагенты. Сегментировать охваченных на крупных / средних / мелких.</t>
        </is>
      </c>
      <c r="C50" s="730" t="n"/>
      <c r="D50" s="752" t="inlineStr">
        <is>
          <t>Производители (крупные) задают правила для перевозчиков → те для получателей. Лиза уточнит у Суворовой статус Элиттрейд + акция 3 мес. Доки.</t>
        </is>
      </c>
      <c r="E50" s="730" t="n"/>
      <c r="F50" s="730" t="n"/>
      <c r="G50" s="730" t="n"/>
      <c r="H50" s="718" t="n"/>
      <c r="I50" s="718" t="n"/>
      <c r="J50" s="718" t="n"/>
      <c r="K50" s="718" t="n"/>
      <c r="L50" s="718" t="n"/>
      <c r="M50" s="718" t="n"/>
      <c r="N50" s="718" t="n"/>
      <c r="O50" s="718" t="n"/>
      <c r="P50" s="718" t="n"/>
      <c r="Q50" s="718" t="n"/>
      <c r="R50" s="718" t="n"/>
      <c r="S50" s="718" t="n"/>
      <c r="T50" s="718" t="n"/>
      <c r="U50" s="718" t="n"/>
      <c r="V50" s="718" t="n"/>
      <c r="W50" s="718" t="n"/>
      <c r="X50" s="718" t="n"/>
      <c r="Y50" s="718" t="n"/>
      <c r="Z50" s="718" t="n"/>
      <c r="AA50" s="718" t="n"/>
      <c r="AB50" s="718" t="n"/>
      <c r="AC50" s="718" t="n"/>
      <c r="AD50" s="718" t="n"/>
      <c r="AE50" s="718" t="n"/>
    </row>
    <row r="51" ht="48" customHeight="1">
      <c r="A51" s="763" t="n"/>
      <c r="B51" s="762" t="inlineStr">
        <is>
          <t>Признак «крупный» = генератор трафика (привлечение контрагентов).</t>
        </is>
      </c>
      <c r="C51" s="730" t="n"/>
      <c r="D51" s="757" t="inlineStr">
        <is>
          <t>Согласовали целевое соотношение базы под план 500.</t>
        </is>
      </c>
      <c r="E51" s="730" t="n"/>
      <c r="F51" s="730" t="n"/>
      <c r="G51" s="730" t="n"/>
      <c r="H51" s="718" t="n"/>
      <c r="I51" s="718" t="n"/>
      <c r="J51" s="718" t="n"/>
      <c r="K51" s="718" t="n"/>
      <c r="L51" s="718" t="n"/>
      <c r="M51" s="718" t="n"/>
      <c r="N51" s="718" t="n"/>
      <c r="O51" s="718" t="n"/>
      <c r="P51" s="718" t="n"/>
      <c r="Q51" s="718" t="n"/>
      <c r="R51" s="718" t="n"/>
      <c r="S51" s="718" t="n"/>
      <c r="T51" s="718" t="n"/>
      <c r="U51" s="718" t="n"/>
      <c r="V51" s="718" t="n"/>
      <c r="W51" s="718" t="n"/>
      <c r="X51" s="718" t="n"/>
      <c r="Y51" s="718" t="n"/>
      <c r="Z51" s="718" t="n"/>
      <c r="AA51" s="718" t="n"/>
      <c r="AB51" s="718" t="n"/>
      <c r="AC51" s="718" t="n"/>
      <c r="AD51" s="718" t="n"/>
      <c r="AE51" s="718" t="n"/>
    </row>
    <row r="52" ht="48" customHeight="1">
      <c r="A52" s="764" t="n"/>
      <c r="B52" s="762" t="inlineStr">
        <is>
          <t>Приоритет — количество привлечённых клиентов, не сумма заработка. Выстроить цепочку «закрепления» и почкования с одного пакета.</t>
        </is>
      </c>
      <c r="C52" s="730" t="n"/>
      <c r="D52" s="752" t="inlineStr">
        <is>
          <t>ПЛАН: 500 клиентов до конца 2026 → 50 крупных + 300 средних + 150 мелких.</t>
        </is>
      </c>
      <c r="E52" s="730" t="n"/>
      <c r="F52" s="730" t="n"/>
      <c r="G52" s="730" t="n"/>
      <c r="H52" s="718" t="n"/>
      <c r="I52" s="718" t="n"/>
      <c r="J52" s="718" t="n"/>
      <c r="K52" s="718" t="n"/>
      <c r="L52" s="718" t="n"/>
      <c r="M52" s="718" t="n"/>
      <c r="N52" s="718" t="n"/>
      <c r="O52" s="718" t="n"/>
      <c r="P52" s="718" t="n"/>
      <c r="Q52" s="718" t="n"/>
      <c r="R52" s="718" t="n"/>
      <c r="S52" s="718" t="n"/>
      <c r="T52" s="718" t="n"/>
      <c r="U52" s="718" t="n"/>
      <c r="V52" s="718" t="n"/>
      <c r="W52" s="718" t="n"/>
      <c r="X52" s="718" t="n"/>
      <c r="Y52" s="718" t="n"/>
      <c r="Z52" s="718" t="n"/>
      <c r="AA52" s="718" t="n"/>
      <c r="AB52" s="718" t="n"/>
      <c r="AC52" s="718" t="n"/>
      <c r="AD52" s="718" t="n"/>
      <c r="AE52" s="718" t="n"/>
    </row>
    <row r="53" ht="48" customHeight="1">
      <c r="A53" s="765" t="inlineStr">
        <is>
          <t>Доки.
Логистика
и охват</t>
        </is>
      </c>
      <c r="B53" s="766" t="inlineStr">
        <is>
          <t>Задача по Доки.Логистика (Оксана Ремез) — детализировать после пересмотра встречи.</t>
        </is>
      </c>
      <c r="C53" s="767" t="n"/>
      <c r="D53" s="752" t="inlineStr">
        <is>
          <t>Подключить Антона Гуркова к изучению привязки клиента. Антон взял на себя.</t>
        </is>
      </c>
      <c r="E53" s="767" t="n"/>
      <c r="F53" s="767" t="n"/>
      <c r="G53" s="767" t="n"/>
      <c r="H53" s="718" t="n"/>
      <c r="I53" s="718" t="n"/>
      <c r="J53" s="718" t="n"/>
      <c r="K53" s="718" t="n"/>
      <c r="L53" s="718" t="n"/>
      <c r="M53" s="718" t="n"/>
      <c r="N53" s="718" t="n"/>
      <c r="O53" s="718" t="n"/>
      <c r="P53" s="718" t="n"/>
      <c r="Q53" s="718" t="n"/>
      <c r="R53" s="718" t="n"/>
      <c r="S53" s="718" t="n"/>
      <c r="T53" s="718" t="n"/>
      <c r="U53" s="718" t="n"/>
      <c r="V53" s="718" t="n"/>
      <c r="W53" s="718" t="n"/>
      <c r="X53" s="718" t="n"/>
      <c r="Y53" s="718" t="n"/>
      <c r="Z53" s="718" t="n"/>
      <c r="AA53" s="718" t="n"/>
      <c r="AB53" s="718" t="n"/>
      <c r="AC53" s="718" t="n"/>
      <c r="AD53" s="718" t="n"/>
      <c r="AE53" s="718" t="n"/>
    </row>
    <row r="54" ht="48" customHeight="1">
      <c r="A54" s="763" t="n"/>
      <c r="B54" s="766" t="inlineStr">
        <is>
          <t>Можем ли отследить активность клиента в Доки? (вопрос Калуге)</t>
        </is>
      </c>
      <c r="C54" s="767" t="n"/>
      <c r="D54" s="752" t="inlineStr">
        <is>
          <t>Маша Дивакова выяснит.</t>
        </is>
      </c>
      <c r="E54" s="767" t="n"/>
      <c r="F54" s="767" t="n"/>
      <c r="G54" s="767" t="n"/>
      <c r="H54" s="718" t="n"/>
      <c r="I54" s="718" t="n"/>
      <c r="J54" s="718" t="n"/>
      <c r="K54" s="718" t="n"/>
      <c r="L54" s="718" t="n"/>
      <c r="M54" s="718" t="n"/>
      <c r="N54" s="718" t="n"/>
      <c r="O54" s="718" t="n"/>
      <c r="P54" s="718" t="n"/>
      <c r="Q54" s="718" t="n"/>
      <c r="R54" s="718" t="n"/>
      <c r="S54" s="718" t="n"/>
      <c r="T54" s="718" t="n"/>
      <c r="U54" s="718" t="n"/>
      <c r="V54" s="718" t="n"/>
      <c r="W54" s="718" t="n"/>
      <c r="X54" s="718" t="n"/>
      <c r="Y54" s="718" t="n"/>
      <c r="Z54" s="718" t="n"/>
      <c r="AA54" s="718" t="n"/>
      <c r="AB54" s="718" t="n"/>
      <c r="AC54" s="718" t="n"/>
      <c r="AD54" s="718" t="n"/>
      <c r="AE54" s="718" t="n"/>
    </row>
    <row r="55" ht="48" customHeight="1">
      <c r="A55" s="763" t="n"/>
      <c r="B55" s="766" t="inlineStr">
        <is>
          <t>Считается ли Доки в охват сервисами ЭПД?</t>
        </is>
      </c>
      <c r="C55" s="767" t="n"/>
      <c r="D55" s="752" t="inlineStr">
        <is>
          <t>Вопрос Никитченко — Саша спросит. Цифры расходятся с Калугой; проблемы с закреплением.</t>
        </is>
      </c>
      <c r="E55" s="767" t="n"/>
      <c r="F55" s="767" t="n"/>
      <c r="G55" s="767" t="n"/>
      <c r="H55" s="718" t="n"/>
      <c r="I55" s="718" t="n"/>
      <c r="J55" s="718" t="n"/>
      <c r="K55" s="718" t="n"/>
      <c r="L55" s="718" t="n"/>
      <c r="M55" s="718" t="n"/>
      <c r="N55" s="718" t="n"/>
      <c r="O55" s="718" t="n"/>
      <c r="P55" s="718" t="n"/>
      <c r="Q55" s="718" t="n"/>
      <c r="R55" s="718" t="n"/>
      <c r="S55" s="718" t="n"/>
      <c r="T55" s="718" t="n"/>
      <c r="U55" s="718" t="n"/>
      <c r="V55" s="718" t="n"/>
      <c r="W55" s="718" t="n"/>
      <c r="X55" s="718" t="n"/>
      <c r="Y55" s="718" t="n"/>
      <c r="Z55" s="718" t="n"/>
      <c r="AA55" s="718" t="n"/>
      <c r="AB55" s="718" t="n"/>
      <c r="AC55" s="718" t="n"/>
      <c r="AD55" s="718" t="n"/>
      <c r="AE55" s="718" t="n"/>
    </row>
    <row r="56" ht="48" customHeight="1">
      <c r="A56" s="764" t="n"/>
      <c r="B56" s="766" t="inlineStr">
        <is>
          <t>Все проданные ЭПД: центр компетенции изучает — всё ли продано, подключились ли.</t>
        </is>
      </c>
      <c r="C56" s="767" t="n"/>
      <c r="D56" s="767" t="inlineStr">
        <is>
          <t>Трафик не видим → не квалифицируем активность. 1С обещают данные в сентябре.</t>
        </is>
      </c>
      <c r="E56" s="767" t="n"/>
      <c r="F56" s="767" t="n"/>
      <c r="G56" s="767" t="n"/>
      <c r="H56" s="718" t="n"/>
      <c r="I56" s="718" t="n"/>
      <c r="J56" s="718" t="n"/>
      <c r="K56" s="718" t="n"/>
      <c r="L56" s="718" t="n"/>
      <c r="M56" s="718" t="n"/>
      <c r="N56" s="718" t="n"/>
      <c r="O56" s="718" t="n"/>
      <c r="P56" s="718" t="n"/>
      <c r="Q56" s="718" t="n"/>
      <c r="R56" s="718" t="n"/>
      <c r="S56" s="718" t="n"/>
      <c r="T56" s="718" t="n"/>
      <c r="U56" s="718" t="n"/>
      <c r="V56" s="718" t="n"/>
      <c r="W56" s="718" t="n"/>
      <c r="X56" s="718" t="n"/>
      <c r="Y56" s="718" t="n"/>
      <c r="Z56" s="718" t="n"/>
      <c r="AA56" s="718" t="n"/>
      <c r="AB56" s="718" t="n"/>
      <c r="AC56" s="718" t="n"/>
      <c r="AD56" s="718" t="n"/>
      <c r="AE56" s="718" t="n"/>
    </row>
    <row r="57" ht="48" customHeight="1">
      <c r="A57" s="768" t="inlineStr">
        <is>
          <t>Демо
и прогрев</t>
        </is>
      </c>
      <c r="B57" s="769" t="inlineStr">
        <is>
          <t>Со СМАК подготовить материалы прогрева на период демо-доступа.</t>
        </is>
      </c>
      <c r="C57" s="770" t="n"/>
      <c r="D57" s="757" t="inlineStr">
        <is>
          <t>С 01.10 — 14 дней демо; до 01.10 — 3 месяца бесплатно.</t>
        </is>
      </c>
      <c r="E57" s="770" t="n"/>
      <c r="F57" s="770" t="n"/>
      <c r="G57" s="770" t="n"/>
      <c r="H57" s="718" t="n"/>
      <c r="I57" s="718" t="n"/>
      <c r="J57" s="718" t="n"/>
      <c r="K57" s="718" t="n"/>
      <c r="L57" s="718" t="n"/>
      <c r="M57" s="718" t="n"/>
      <c r="N57" s="718" t="n"/>
      <c r="O57" s="718" t="n"/>
      <c r="P57" s="718" t="n"/>
      <c r="Q57" s="718" t="n"/>
      <c r="R57" s="718" t="n"/>
      <c r="S57" s="718" t="n"/>
      <c r="T57" s="718" t="n"/>
      <c r="U57" s="718" t="n"/>
      <c r="V57" s="718" t="n"/>
      <c r="W57" s="718" t="n"/>
      <c r="X57" s="718" t="n"/>
      <c r="Y57" s="718" t="n"/>
      <c r="Z57" s="718" t="n"/>
      <c r="AA57" s="718" t="n"/>
      <c r="AB57" s="718" t="n"/>
      <c r="AC57" s="718" t="n"/>
      <c r="AD57" s="718" t="n"/>
      <c r="AE57" s="718" t="n"/>
    </row>
    <row r="58" ht="48" customHeight="1">
      <c r="A58" s="771" t="inlineStr">
        <is>
          <t>Сопровождение
МПП / ЦКС</t>
        </is>
      </c>
      <c r="B58" s="772" t="inlineStr">
        <is>
          <t>План МПП: платные / бесплатные клиенты; «выхаживать» может отдельный человек (идея — Гурков).</t>
        </is>
      </c>
      <c r="C58" s="773" t="n"/>
      <c r="D58" s="773" t="inlineStr">
        <is>
          <t>Если есть ИТС — ЦКС смотрит динамику расхода ЭПД/Доки. Трафика пока нет; можно писать в Калугу с перечнем ИНН. Риск: кто выхаживает — текущие МПП или новый человек?</t>
        </is>
      </c>
      <c r="E58" s="773" t="n"/>
      <c r="F58" s="773" t="n"/>
      <c r="G58" s="773" t="n"/>
      <c r="H58" s="718" t="n"/>
      <c r="I58" s="718" t="n"/>
      <c r="J58" s="718" t="n"/>
      <c r="K58" s="718" t="n"/>
      <c r="L58" s="718" t="n"/>
      <c r="M58" s="718" t="n"/>
      <c r="N58" s="718" t="n"/>
      <c r="O58" s="718" t="n"/>
      <c r="P58" s="718" t="n"/>
      <c r="Q58" s="718" t="n"/>
      <c r="R58" s="718" t="n"/>
      <c r="S58" s="718" t="n"/>
      <c r="T58" s="718" t="n"/>
      <c r="U58" s="718" t="n"/>
      <c r="V58" s="718" t="n"/>
      <c r="W58" s="718" t="n"/>
      <c r="X58" s="718" t="n"/>
      <c r="Y58" s="718" t="n"/>
      <c r="Z58" s="718" t="n"/>
      <c r="AA58" s="718" t="n"/>
      <c r="AB58" s="718" t="n"/>
      <c r="AC58" s="718" t="n"/>
      <c r="AD58" s="718" t="n"/>
      <c r="AE58" s="718" t="n"/>
    </row>
    <row r="59" ht="48" customHeight="1">
      <c r="A59" s="763" t="n"/>
      <c r="B59" s="772" t="inlineStr">
        <is>
          <t>Клиенту продают мин. пакет («пока не понятно»). Кто ведёт дальше? Когда собирать ОС перед продлением?</t>
        </is>
      </c>
      <c r="C59" s="773" t="n"/>
      <c r="D59" s="773" t="inlineStr">
        <is>
          <t>По логике — ЦКС. Нужен калькулятор — Вика с Машей обсуждали накануне лектория.</t>
        </is>
      </c>
      <c r="E59" s="773" t="n"/>
      <c r="F59" s="773" t="n"/>
      <c r="G59" s="773" t="n"/>
      <c r="H59" s="718" t="n"/>
      <c r="I59" s="718" t="n"/>
      <c r="J59" s="718" t="n"/>
      <c r="K59" s="718" t="n"/>
      <c r="L59" s="718" t="n"/>
      <c r="M59" s="718" t="n"/>
      <c r="N59" s="718" t="n"/>
      <c r="O59" s="718" t="n"/>
      <c r="P59" s="718" t="n"/>
      <c r="Q59" s="718" t="n"/>
      <c r="R59" s="718" t="n"/>
      <c r="S59" s="718" t="n"/>
      <c r="T59" s="718" t="n"/>
      <c r="U59" s="718" t="n"/>
      <c r="V59" s="718" t="n"/>
      <c r="W59" s="718" t="n"/>
      <c r="X59" s="718" t="n"/>
      <c r="Y59" s="718" t="n"/>
      <c r="Z59" s="718" t="n"/>
      <c r="AA59" s="718" t="n"/>
      <c r="AB59" s="718" t="n"/>
      <c r="AC59" s="718" t="n"/>
      <c r="AD59" s="718" t="n"/>
      <c r="AE59" s="718" t="n"/>
    </row>
    <row r="60" ht="48" customHeight="1">
      <c r="A60" s="764" t="n"/>
      <c r="B60" s="772" t="inlineStr">
        <is>
          <t>ЦКС категоризирует клиента по титулам / УАТ и вовремя пополняет баланс.</t>
        </is>
      </c>
      <c r="C60" s="773" t="n"/>
      <c r="D60" s="773" t="inlineStr">
        <is>
          <t>Ожидание зафиксировано как рабочий процесс.</t>
        </is>
      </c>
      <c r="E60" s="773" t="n"/>
      <c r="F60" s="773" t="n"/>
      <c r="G60" s="773" t="n"/>
      <c r="H60" s="718" t="n"/>
      <c r="I60" s="718" t="n"/>
      <c r="J60" s="718" t="n"/>
      <c r="K60" s="718" t="n"/>
      <c r="L60" s="718" t="n"/>
      <c r="M60" s="718" t="n"/>
      <c r="N60" s="718" t="n"/>
      <c r="O60" s="718" t="n"/>
      <c r="P60" s="718" t="n"/>
      <c r="Q60" s="718" t="n"/>
      <c r="R60" s="718" t="n"/>
      <c r="S60" s="718" t="n"/>
      <c r="T60" s="718" t="n"/>
      <c r="U60" s="718" t="n"/>
      <c r="V60" s="718" t="n"/>
      <c r="W60" s="718" t="n"/>
      <c r="X60" s="718" t="n"/>
      <c r="Y60" s="718" t="n"/>
      <c r="Z60" s="718" t="n"/>
      <c r="AA60" s="718" t="n"/>
      <c r="AB60" s="718" t="n"/>
      <c r="AC60" s="718" t="n"/>
      <c r="AD60" s="718" t="n"/>
      <c r="AE60" s="718" t="n"/>
    </row>
    <row r="61" ht="48" customHeight="1">
      <c r="A61" s="774" t="inlineStr">
        <is>
          <t>Тандем
и обзвоны</t>
        </is>
      </c>
      <c r="B61" s="775" t="inlineStr">
        <is>
          <t>Рассылка: «проверьте контрагента и впишите в тандем».</t>
        </is>
      </c>
      <c r="C61" s="776" t="n"/>
      <c r="D61" s="752" t="inlineStr">
        <is>
          <t>Лиза — когда и какой текст.</t>
        </is>
      </c>
      <c r="E61" s="776" t="n"/>
      <c r="F61" s="776" t="n"/>
      <c r="G61" s="776" t="n"/>
      <c r="H61" s="718" t="n"/>
      <c r="I61" s="718" t="n"/>
      <c r="J61" s="718" t="n"/>
      <c r="K61" s="718" t="n"/>
      <c r="L61" s="718" t="n"/>
      <c r="M61" s="718" t="n"/>
      <c r="N61" s="718" t="n"/>
      <c r="O61" s="718" t="n"/>
      <c r="P61" s="718" t="n"/>
      <c r="Q61" s="718" t="n"/>
      <c r="R61" s="718" t="n"/>
      <c r="S61" s="718" t="n"/>
      <c r="T61" s="718" t="n"/>
      <c r="U61" s="718" t="n"/>
      <c r="V61" s="718" t="n"/>
      <c r="W61" s="718" t="n"/>
      <c r="X61" s="718" t="n"/>
      <c r="Y61" s="718" t="n"/>
      <c r="Z61" s="718" t="n"/>
      <c r="AA61" s="718" t="n"/>
      <c r="AB61" s="718" t="n"/>
      <c r="AC61" s="718" t="n"/>
      <c r="AD61" s="718" t="n"/>
      <c r="AE61" s="718" t="n"/>
    </row>
    <row r="62" ht="48" customHeight="1">
      <c r="A62" s="763" t="n"/>
      <c r="B62" s="775" t="inlineStr">
        <is>
          <t>Начать с крупных: прозвонить и предложить подключить контрагента в ЭПД ТАНДЕМ.</t>
        </is>
      </c>
      <c r="C62" s="776" t="n"/>
      <c r="D62" s="757" t="inlineStr">
        <is>
          <t>Крупные = от 2 000 титулов. Корп. клиенты покупали ЭПД даже в малом объёме.</t>
        </is>
      </c>
      <c r="E62" s="776" t="n"/>
      <c r="F62" s="776" t="n"/>
      <c r="G62" s="776" t="n"/>
      <c r="H62" s="718" t="n"/>
      <c r="I62" s="718" t="n"/>
      <c r="J62" s="718" t="n"/>
      <c r="K62" s="718" t="n"/>
      <c r="L62" s="718" t="n"/>
      <c r="M62" s="718" t="n"/>
      <c r="N62" s="718" t="n"/>
      <c r="O62" s="718" t="n"/>
      <c r="P62" s="718" t="n"/>
      <c r="Q62" s="718" t="n"/>
      <c r="R62" s="718" t="n"/>
      <c r="S62" s="718" t="n"/>
      <c r="T62" s="718" t="n"/>
      <c r="U62" s="718" t="n"/>
      <c r="V62" s="718" t="n"/>
      <c r="W62" s="718" t="n"/>
      <c r="X62" s="718" t="n"/>
      <c r="Y62" s="718" t="n"/>
      <c r="Z62" s="718" t="n"/>
      <c r="AA62" s="718" t="n"/>
      <c r="AB62" s="718" t="n"/>
      <c r="AC62" s="718" t="n"/>
      <c r="AD62" s="718" t="n"/>
      <c r="AE62" s="718" t="n"/>
    </row>
    <row r="63" ht="48" customHeight="1">
      <c r="A63" s="764" t="n"/>
      <c r="B63" s="775" t="inlineStr">
        <is>
          <t>Обзвон подключённых: оценка удовлетворённости + проекты ЦАС (Доки).</t>
        </is>
      </c>
      <c r="C63" s="776" t="n"/>
      <c r="D63" s="752" t="inlineStr">
        <is>
          <t>Задача на Сашу Дворяк / Лазарчук — клиенты ЦАС.</t>
        </is>
      </c>
      <c r="E63" s="776" t="n"/>
      <c r="F63" s="776" t="n"/>
      <c r="G63" s="776" t="n"/>
      <c r="H63" s="718" t="n"/>
      <c r="I63" s="718" t="n"/>
      <c r="J63" s="718" t="n"/>
      <c r="K63" s="718" t="n"/>
      <c r="L63" s="718" t="n"/>
      <c r="M63" s="718" t="n"/>
      <c r="N63" s="718" t="n"/>
      <c r="O63" s="718" t="n"/>
      <c r="P63" s="718" t="n"/>
      <c r="Q63" s="718" t="n"/>
      <c r="R63" s="718" t="n"/>
      <c r="S63" s="718" t="n"/>
      <c r="T63" s="718" t="n"/>
      <c r="U63" s="718" t="n"/>
      <c r="V63" s="718" t="n"/>
      <c r="W63" s="718" t="n"/>
      <c r="X63" s="718" t="n"/>
      <c r="Y63" s="718" t="n"/>
      <c r="Z63" s="718" t="n"/>
      <c r="AA63" s="718" t="n"/>
      <c r="AB63" s="718" t="n"/>
      <c r="AC63" s="718" t="n"/>
      <c r="AD63" s="718" t="n"/>
      <c r="AE63" s="718" t="n"/>
    </row>
    <row r="64" ht="48" customHeight="1">
      <c r="A64" s="777" t="inlineStr">
        <is>
          <t>Корп.
сегмент</t>
        </is>
      </c>
      <c r="B64" s="735" t="inlineStr">
        <is>
          <t>Почему клиенты сбытового офиса не переходят в ЭПД / уходят на СБИС?</t>
        </is>
      </c>
      <c r="C64" s="778" t="n"/>
      <c r="D64" s="752" t="inlineStr">
        <is>
          <t>Взять неуспешные сделки корп. сегмента и предложить Доки в 1-ю неделю сентября (Юлиана).</t>
        </is>
      </c>
      <c r="E64" s="778" t="n"/>
      <c r="F64" s="778" t="n"/>
      <c r="G64" s="778" t="n"/>
      <c r="H64" s="718" t="n"/>
      <c r="I64" s="718" t="n"/>
      <c r="J64" s="718" t="n"/>
      <c r="K64" s="718" t="n"/>
      <c r="L64" s="718" t="n"/>
      <c r="M64" s="718" t="n"/>
      <c r="N64" s="718" t="n"/>
      <c r="O64" s="718" t="n"/>
      <c r="P64" s="718" t="n"/>
      <c r="Q64" s="718" t="n"/>
      <c r="R64" s="718" t="n"/>
      <c r="S64" s="718" t="n"/>
      <c r="T64" s="718" t="n"/>
      <c r="U64" s="718" t="n"/>
      <c r="V64" s="718" t="n"/>
      <c r="W64" s="718" t="n"/>
      <c r="X64" s="718" t="n"/>
      <c r="Y64" s="718" t="n"/>
      <c r="Z64" s="718" t="n"/>
      <c r="AA64" s="718" t="n"/>
      <c r="AB64" s="718" t="n"/>
      <c r="AC64" s="718" t="n"/>
      <c r="AD64" s="718" t="n"/>
      <c r="AE64" s="718" t="n"/>
    </row>
    <row r="65" ht="48" customHeight="1">
      <c r="A65" s="764" t="n"/>
      <c r="B65" s="735" t="inlineStr">
        <is>
          <t>Юля: предлагать всем бесплатно Доки (дубль) на 3 мес.; KPI менеджерам на сентябрь.</t>
        </is>
      </c>
      <c r="C65" s="778" t="n"/>
      <c r="D65" s="778" t="inlineStr">
        <is>
          <t>Зафиксировано как предложение.</t>
        </is>
      </c>
      <c r="E65" s="778" t="n"/>
      <c r="F65" s="778" t="n"/>
      <c r="G65" s="778" t="n"/>
      <c r="H65" s="718" t="n"/>
      <c r="I65" s="718" t="n"/>
      <c r="J65" s="718" t="n"/>
      <c r="K65" s="718" t="n"/>
      <c r="L65" s="718" t="n"/>
      <c r="M65" s="718" t="n"/>
      <c r="N65" s="718" t="n"/>
      <c r="O65" s="718" t="n"/>
      <c r="P65" s="718" t="n"/>
      <c r="Q65" s="718" t="n"/>
      <c r="R65" s="718" t="n"/>
      <c r="S65" s="718" t="n"/>
      <c r="T65" s="718" t="n"/>
      <c r="U65" s="718" t="n"/>
      <c r="V65" s="718" t="n"/>
      <c r="W65" s="718" t="n"/>
      <c r="X65" s="718" t="n"/>
      <c r="Y65" s="718" t="n"/>
      <c r="Z65" s="718" t="n"/>
      <c r="AA65" s="718" t="n"/>
      <c r="AB65" s="718" t="n"/>
      <c r="AC65" s="718" t="n"/>
      <c r="AD65" s="718" t="n"/>
      <c r="AE65" s="718" t="n"/>
    </row>
    <row r="66">
      <c r="A66" s="718" t="n"/>
      <c r="B66" s="718" t="n"/>
      <c r="C66" s="718" t="n"/>
      <c r="D66" s="718" t="n"/>
      <c r="E66" s="718" t="n"/>
      <c r="F66" s="718" t="n"/>
      <c r="G66" s="718" t="n"/>
      <c r="H66" s="718" t="n"/>
      <c r="I66" s="718" t="n"/>
      <c r="J66" s="718" t="n"/>
      <c r="K66" s="718" t="n"/>
      <c r="L66" s="718" t="n"/>
      <c r="M66" s="718" t="n"/>
      <c r="N66" s="718" t="n"/>
      <c r="O66" s="718" t="n"/>
      <c r="P66" s="718" t="n"/>
      <c r="Q66" s="718" t="n"/>
      <c r="R66" s="718" t="n"/>
      <c r="S66" s="718" t="n"/>
      <c r="T66" s="718" t="n"/>
      <c r="U66" s="718" t="n"/>
      <c r="V66" s="718" t="n"/>
      <c r="W66" s="718" t="n"/>
      <c r="X66" s="718" t="n"/>
      <c r="Y66" s="718" t="n"/>
      <c r="Z66" s="718" t="n"/>
      <c r="AA66" s="718" t="n"/>
      <c r="AB66" s="718" t="n"/>
      <c r="AC66" s="718" t="n"/>
      <c r="AD66" s="718" t="n"/>
      <c r="AE66" s="718" t="n"/>
    </row>
    <row r="67">
      <c r="A67" s="731" t="inlineStr">
        <is>
          <t>Легенда:  оранжевый блок «Решения» = поставленные задачи  ·  жёлтые ячейки = ввод факта  ·  зелёный статус = выполнено/принято  ·  блоки слева = темы обсуждения</t>
        </is>
      </c>
      <c r="H67" s="718" t="n"/>
      <c r="I67" s="718" t="n"/>
      <c r="J67" s="718" t="n"/>
      <c r="K67" s="718" t="n"/>
      <c r="L67" s="718" t="n"/>
      <c r="M67" s="718" t="n"/>
      <c r="N67" s="718" t="n"/>
      <c r="O67" s="718" t="n"/>
      <c r="P67" s="718" t="n"/>
      <c r="Q67" s="718" t="n"/>
      <c r="R67" s="718" t="n"/>
      <c r="S67" s="718" t="n"/>
      <c r="T67" s="718" t="n"/>
      <c r="U67" s="718" t="n"/>
      <c r="V67" s="718" t="n"/>
      <c r="W67" s="718" t="n"/>
      <c r="X67" s="718" t="n"/>
      <c r="Y67" s="718" t="n"/>
      <c r="Z67" s="718" t="n"/>
      <c r="AA67" s="718" t="n"/>
      <c r="AB67" s="718" t="n"/>
      <c r="AC67" s="718" t="n"/>
      <c r="AD67" s="718" t="n"/>
      <c r="AE67" s="718" t="n"/>
    </row>
    <row r="68">
      <c r="A68" s="718" t="n"/>
      <c r="B68" s="718" t="n"/>
      <c r="C68" s="718" t="n"/>
      <c r="D68" s="718" t="n"/>
      <c r="E68" s="718" t="n"/>
      <c r="F68" s="718" t="n"/>
      <c r="G68" s="718" t="n"/>
      <c r="H68" s="718" t="n"/>
      <c r="I68" s="718" t="n"/>
      <c r="J68" s="718" t="n"/>
      <c r="K68" s="718" t="n"/>
      <c r="L68" s="718" t="n"/>
      <c r="M68" s="718" t="n"/>
      <c r="N68" s="718" t="n"/>
      <c r="O68" s="718" t="n"/>
      <c r="P68" s="718" t="n"/>
      <c r="Q68" s="718" t="n"/>
      <c r="R68" s="718" t="n"/>
      <c r="S68" s="718" t="n"/>
      <c r="T68" s="718" t="n"/>
      <c r="U68" s="718" t="n"/>
      <c r="V68" s="718" t="n"/>
      <c r="W68" s="718" t="n"/>
      <c r="X68" s="718" t="n"/>
      <c r="Y68" s="718" t="n"/>
      <c r="Z68" s="718" t="n"/>
      <c r="AA68" s="718" t="n"/>
      <c r="AB68" s="718" t="n"/>
      <c r="AC68" s="718" t="n"/>
      <c r="AD68" s="718" t="n"/>
      <c r="AE68" s="718" t="n"/>
    </row>
    <row r="69">
      <c r="A69" s="718" t="n"/>
      <c r="B69" s="718" t="n"/>
      <c r="C69" s="718" t="n"/>
      <c r="D69" s="718" t="n"/>
      <c r="E69" s="718" t="n"/>
      <c r="F69" s="718" t="n"/>
      <c r="G69" s="718" t="n"/>
      <c r="H69" s="718" t="n"/>
      <c r="I69" s="718" t="n"/>
      <c r="J69" s="718" t="n"/>
      <c r="K69" s="718" t="n"/>
      <c r="L69" s="718" t="n"/>
      <c r="M69" s="718" t="n"/>
      <c r="N69" s="718" t="n"/>
      <c r="O69" s="718" t="n"/>
      <c r="P69" s="718" t="n"/>
      <c r="Q69" s="718" t="n"/>
      <c r="R69" s="718" t="n"/>
      <c r="S69" s="718" t="n"/>
      <c r="T69" s="718" t="n"/>
      <c r="U69" s="718" t="n"/>
      <c r="V69" s="718" t="n"/>
      <c r="W69" s="718" t="n"/>
      <c r="X69" s="718" t="n"/>
      <c r="Y69" s="718" t="n"/>
      <c r="Z69" s="718" t="n"/>
      <c r="AA69" s="718" t="n"/>
      <c r="AB69" s="718" t="n"/>
      <c r="AC69" s="718" t="n"/>
      <c r="AD69" s="718" t="n"/>
      <c r="AE69" s="718" t="n"/>
    </row>
    <row r="70">
      <c r="A70" s="718" t="n"/>
      <c r="B70" s="718" t="n"/>
      <c r="C70" s="718" t="n"/>
      <c r="D70" s="718" t="n"/>
      <c r="E70" s="718" t="n"/>
      <c r="F70" s="718" t="n"/>
      <c r="G70" s="718" t="n"/>
      <c r="H70" s="718" t="n"/>
      <c r="I70" s="718" t="n"/>
      <c r="J70" s="718" t="n"/>
      <c r="K70" s="718" t="n"/>
      <c r="L70" s="718" t="n"/>
      <c r="M70" s="718" t="n"/>
      <c r="N70" s="718" t="n"/>
      <c r="O70" s="718" t="n"/>
      <c r="P70" s="718" t="n"/>
      <c r="Q70" s="718" t="n"/>
      <c r="R70" s="718" t="n"/>
      <c r="S70" s="718" t="n"/>
      <c r="T70" s="718" t="n"/>
      <c r="U70" s="718" t="n"/>
      <c r="V70" s="718" t="n"/>
      <c r="W70" s="718" t="n"/>
      <c r="X70" s="718" t="n"/>
      <c r="Y70" s="718" t="n"/>
      <c r="Z70" s="718" t="n"/>
      <c r="AA70" s="718" t="n"/>
      <c r="AB70" s="718" t="n"/>
      <c r="AC70" s="718" t="n"/>
      <c r="AD70" s="718" t="n"/>
      <c r="AE70" s="718" t="n"/>
    </row>
    <row r="71">
      <c r="A71" s="718" t="n"/>
      <c r="B71" s="718" t="n"/>
      <c r="C71" s="718" t="n"/>
      <c r="D71" s="718" t="n"/>
      <c r="E71" s="718" t="n"/>
      <c r="F71" s="718" t="n"/>
      <c r="G71" s="718" t="n"/>
      <c r="H71" s="718" t="n"/>
      <c r="I71" s="718" t="n"/>
      <c r="J71" s="718" t="n"/>
      <c r="K71" s="718" t="n"/>
      <c r="L71" s="718" t="n"/>
      <c r="M71" s="718" t="n"/>
      <c r="N71" s="718" t="n"/>
      <c r="O71" s="718" t="n"/>
      <c r="P71" s="718" t="n"/>
      <c r="Q71" s="718" t="n"/>
      <c r="R71" s="718" t="n"/>
      <c r="S71" s="718" t="n"/>
      <c r="T71" s="718" t="n"/>
      <c r="U71" s="718" t="n"/>
      <c r="V71" s="718" t="n"/>
      <c r="W71" s="718" t="n"/>
      <c r="X71" s="718" t="n"/>
      <c r="Y71" s="718" t="n"/>
      <c r="Z71" s="718" t="n"/>
      <c r="AA71" s="718" t="n"/>
      <c r="AB71" s="718" t="n"/>
      <c r="AC71" s="718" t="n"/>
      <c r="AD71" s="718" t="n"/>
      <c r="AE71" s="718" t="n"/>
    </row>
    <row r="72">
      <c r="A72" s="718" t="n"/>
      <c r="B72" s="718" t="n"/>
      <c r="C72" s="718" t="n"/>
      <c r="D72" s="718" t="n"/>
      <c r="E72" s="718" t="n"/>
      <c r="F72" s="718" t="n"/>
      <c r="G72" s="718" t="n"/>
      <c r="H72" s="718" t="n"/>
      <c r="I72" s="718" t="n"/>
      <c r="J72" s="718" t="n"/>
      <c r="K72" s="718" t="n"/>
      <c r="L72" s="718" t="n"/>
      <c r="M72" s="718" t="n"/>
      <c r="N72" s="718" t="n"/>
      <c r="O72" s="718" t="n"/>
      <c r="P72" s="718" t="n"/>
      <c r="Q72" s="718" t="n"/>
      <c r="R72" s="718" t="n"/>
      <c r="S72" s="718" t="n"/>
      <c r="T72" s="718" t="n"/>
      <c r="U72" s="718" t="n"/>
      <c r="V72" s="718" t="n"/>
      <c r="W72" s="718" t="n"/>
      <c r="X72" s="718" t="n"/>
      <c r="Y72" s="718" t="n"/>
      <c r="Z72" s="718" t="n"/>
      <c r="AA72" s="718" t="n"/>
      <c r="AB72" s="718" t="n"/>
      <c r="AC72" s="718" t="n"/>
      <c r="AD72" s="718" t="n"/>
      <c r="AE72" s="718" t="n"/>
    </row>
    <row r="73">
      <c r="A73" s="718" t="n"/>
      <c r="B73" s="718" t="n"/>
      <c r="C73" s="718" t="n"/>
      <c r="D73" s="718" t="n"/>
      <c r="E73" s="718" t="n"/>
      <c r="F73" s="718" t="n"/>
      <c r="G73" s="718" t="n"/>
      <c r="H73" s="718" t="n"/>
      <c r="I73" s="718" t="n"/>
      <c r="J73" s="718" t="n"/>
      <c r="K73" s="718" t="n"/>
      <c r="L73" s="718" t="n"/>
      <c r="M73" s="718" t="n"/>
      <c r="N73" s="718" t="n"/>
      <c r="O73" s="718" t="n"/>
      <c r="P73" s="718" t="n"/>
      <c r="Q73" s="718" t="n"/>
      <c r="R73" s="718" t="n"/>
      <c r="S73" s="718" t="n"/>
      <c r="T73" s="718" t="n"/>
      <c r="U73" s="718" t="n"/>
      <c r="V73" s="718" t="n"/>
      <c r="W73" s="718" t="n"/>
      <c r="X73" s="718" t="n"/>
      <c r="Y73" s="718" t="n"/>
      <c r="Z73" s="718" t="n"/>
      <c r="AA73" s="718" t="n"/>
      <c r="AB73" s="718" t="n"/>
      <c r="AC73" s="718" t="n"/>
      <c r="AD73" s="718" t="n"/>
      <c r="AE73" s="718" t="n"/>
    </row>
    <row r="74">
      <c r="A74" s="718" t="n"/>
      <c r="B74" s="718" t="n"/>
      <c r="C74" s="718" t="n"/>
      <c r="D74" s="718" t="n"/>
      <c r="E74" s="718" t="n"/>
      <c r="F74" s="718" t="n"/>
      <c r="G74" s="718" t="n"/>
      <c r="H74" s="718" t="n"/>
      <c r="I74" s="718" t="n"/>
      <c r="J74" s="718" t="n"/>
      <c r="K74" s="718" t="n"/>
      <c r="L74" s="718" t="n"/>
      <c r="M74" s="718" t="n"/>
      <c r="N74" s="718" t="n"/>
      <c r="O74" s="718" t="n"/>
      <c r="P74" s="718" t="n"/>
      <c r="Q74" s="718" t="n"/>
      <c r="R74" s="718" t="n"/>
      <c r="S74" s="718" t="n"/>
      <c r="T74" s="718" t="n"/>
      <c r="U74" s="718" t="n"/>
      <c r="V74" s="718" t="n"/>
      <c r="W74" s="718" t="n"/>
      <c r="X74" s="718" t="n"/>
      <c r="Y74" s="718" t="n"/>
      <c r="Z74" s="718" t="n"/>
      <c r="AA74" s="718" t="n"/>
      <c r="AB74" s="718" t="n"/>
      <c r="AC74" s="718" t="n"/>
      <c r="AD74" s="718" t="n"/>
      <c r="AE74" s="718" t="n"/>
    </row>
    <row r="75">
      <c r="A75" s="718" t="n"/>
      <c r="B75" s="718" t="n"/>
      <c r="C75" s="718" t="n"/>
      <c r="D75" s="718" t="n"/>
      <c r="E75" s="718" t="n"/>
      <c r="F75" s="718" t="n"/>
      <c r="G75" s="718" t="n"/>
      <c r="H75" s="718" t="n"/>
      <c r="I75" s="718" t="n"/>
      <c r="J75" s="718" t="n"/>
      <c r="K75" s="718" t="n"/>
      <c r="L75" s="718" t="n"/>
      <c r="M75" s="718" t="n"/>
      <c r="N75" s="718" t="n"/>
      <c r="O75" s="718" t="n"/>
      <c r="P75" s="718" t="n"/>
      <c r="Q75" s="718" t="n"/>
      <c r="R75" s="718" t="n"/>
      <c r="S75" s="718" t="n"/>
      <c r="T75" s="718" t="n"/>
      <c r="U75" s="718" t="n"/>
      <c r="V75" s="718" t="n"/>
      <c r="W75" s="718" t="n"/>
      <c r="X75" s="718" t="n"/>
      <c r="Y75" s="718" t="n"/>
      <c r="Z75" s="718" t="n"/>
      <c r="AA75" s="718" t="n"/>
      <c r="AB75" s="718" t="n"/>
      <c r="AC75" s="718" t="n"/>
      <c r="AD75" s="718" t="n"/>
      <c r="AE75" s="718" t="n"/>
    </row>
    <row r="76">
      <c r="A76" s="718" t="n"/>
      <c r="B76" s="718" t="n"/>
      <c r="C76" s="718" t="n"/>
      <c r="D76" s="718" t="n"/>
      <c r="E76" s="718" t="n"/>
      <c r="F76" s="718" t="n"/>
      <c r="G76" s="718" t="n"/>
      <c r="H76" s="718" t="n"/>
      <c r="I76" s="718" t="n"/>
      <c r="J76" s="718" t="n"/>
      <c r="K76" s="718" t="n"/>
      <c r="L76" s="718" t="n"/>
      <c r="M76" s="718" t="n"/>
      <c r="N76" s="718" t="n"/>
      <c r="O76" s="718" t="n"/>
      <c r="P76" s="718" t="n"/>
      <c r="Q76" s="718" t="n"/>
      <c r="R76" s="718" t="n"/>
      <c r="S76" s="718" t="n"/>
      <c r="T76" s="718" t="n"/>
      <c r="U76" s="718" t="n"/>
      <c r="V76" s="718" t="n"/>
      <c r="W76" s="718" t="n"/>
      <c r="X76" s="718" t="n"/>
      <c r="Y76" s="718" t="n"/>
      <c r="Z76" s="718" t="n"/>
      <c r="AA76" s="718" t="n"/>
      <c r="AB76" s="718" t="n"/>
      <c r="AC76" s="718" t="n"/>
      <c r="AD76" s="718" t="n"/>
      <c r="AE76" s="718" t="n"/>
    </row>
    <row r="77">
      <c r="A77" s="718" t="n"/>
      <c r="B77" s="718" t="n"/>
      <c r="C77" s="718" t="n"/>
      <c r="D77" s="718" t="n"/>
      <c r="E77" s="718" t="n"/>
      <c r="F77" s="718" t="n"/>
      <c r="G77" s="718" t="n"/>
      <c r="H77" s="718" t="n"/>
      <c r="I77" s="718" t="n"/>
      <c r="J77" s="718" t="n"/>
      <c r="K77" s="718" t="n"/>
      <c r="L77" s="718" t="n"/>
      <c r="M77" s="718" t="n"/>
      <c r="N77" s="718" t="n"/>
      <c r="O77" s="718" t="n"/>
      <c r="P77" s="718" t="n"/>
      <c r="Q77" s="718" t="n"/>
      <c r="R77" s="718" t="n"/>
      <c r="S77" s="718" t="n"/>
      <c r="T77" s="718" t="n"/>
      <c r="U77" s="718" t="n"/>
      <c r="V77" s="718" t="n"/>
      <c r="W77" s="718" t="n"/>
      <c r="X77" s="718" t="n"/>
      <c r="Y77" s="718" t="n"/>
      <c r="Z77" s="718" t="n"/>
      <c r="AA77" s="718" t="n"/>
      <c r="AB77" s="718" t="n"/>
      <c r="AC77" s="718" t="n"/>
      <c r="AD77" s="718" t="n"/>
      <c r="AE77" s="718" t="n"/>
    </row>
  </sheetData>
  <mergeCells count="95">
    <mergeCell ref="C6:D6"/>
    <mergeCell ref="F25:G25"/>
    <mergeCell ref="D55:G55"/>
    <mergeCell ref="D59:G59"/>
    <mergeCell ref="A9:G9"/>
    <mergeCell ref="A58:A60"/>
    <mergeCell ref="D60:G60"/>
    <mergeCell ref="B61:C61"/>
    <mergeCell ref="A30:G30"/>
    <mergeCell ref="F23:G23"/>
    <mergeCell ref="A53:A56"/>
    <mergeCell ref="F13:G13"/>
    <mergeCell ref="A50:A52"/>
    <mergeCell ref="B49:C49"/>
    <mergeCell ref="A46:G46"/>
    <mergeCell ref="F43:G43"/>
    <mergeCell ref="B55:C55"/>
    <mergeCell ref="D48:G48"/>
    <mergeCell ref="B64:C64"/>
    <mergeCell ref="B51:C51"/>
    <mergeCell ref="B63:C63"/>
    <mergeCell ref="D62:G62"/>
    <mergeCell ref="D56:G56"/>
    <mergeCell ref="D58:G58"/>
    <mergeCell ref="F10:G10"/>
    <mergeCell ref="A11:B11"/>
    <mergeCell ref="F34:G34"/>
    <mergeCell ref="C5:D5"/>
    <mergeCell ref="E5:F5"/>
    <mergeCell ref="D64:G64"/>
    <mergeCell ref="D51:G51"/>
    <mergeCell ref="I14:K14"/>
    <mergeCell ref="D50:G50"/>
    <mergeCell ref="F33:G33"/>
    <mergeCell ref="F42:G42"/>
    <mergeCell ref="I4:K4"/>
    <mergeCell ref="B53:C53"/>
    <mergeCell ref="A1:G1"/>
    <mergeCell ref="F31:G31"/>
    <mergeCell ref="F28:G28"/>
    <mergeCell ref="F39:G39"/>
    <mergeCell ref="D61:G61"/>
    <mergeCell ref="D53:G53"/>
    <mergeCell ref="D47:G47"/>
    <mergeCell ref="A10:B10"/>
    <mergeCell ref="B54:C54"/>
    <mergeCell ref="A4:G4"/>
    <mergeCell ref="B56:C56"/>
    <mergeCell ref="B58:C58"/>
    <mergeCell ref="F21:G21"/>
    <mergeCell ref="B52:C52"/>
    <mergeCell ref="A67:G67"/>
    <mergeCell ref="B60:C60"/>
    <mergeCell ref="F36:G36"/>
    <mergeCell ref="D63:G63"/>
    <mergeCell ref="B57:C57"/>
    <mergeCell ref="A12:B12"/>
    <mergeCell ref="C12:D12"/>
    <mergeCell ref="E6:F6"/>
    <mergeCell ref="D65:G65"/>
    <mergeCell ref="A5:B5"/>
    <mergeCell ref="D52:G52"/>
    <mergeCell ref="A16:G16"/>
    <mergeCell ref="F22:G22"/>
    <mergeCell ref="D49:G49"/>
    <mergeCell ref="A61:A63"/>
    <mergeCell ref="A2:G2"/>
    <mergeCell ref="B47:C47"/>
    <mergeCell ref="F11:G11"/>
    <mergeCell ref="B62:C62"/>
    <mergeCell ref="B59:C59"/>
    <mergeCell ref="A20:G20"/>
    <mergeCell ref="F40:G40"/>
    <mergeCell ref="A6:B6"/>
    <mergeCell ref="D54:G54"/>
    <mergeCell ref="B48:C48"/>
    <mergeCell ref="F24:G24"/>
    <mergeCell ref="F12:G12"/>
    <mergeCell ref="C10:D10"/>
    <mergeCell ref="F32:G32"/>
    <mergeCell ref="F26:G26"/>
    <mergeCell ref="F41:G41"/>
    <mergeCell ref="F35:G35"/>
    <mergeCell ref="F38:G38"/>
    <mergeCell ref="C11:D11"/>
    <mergeCell ref="D57:G57"/>
    <mergeCell ref="A7:G7"/>
    <mergeCell ref="F27:G27"/>
    <mergeCell ref="B65:C65"/>
    <mergeCell ref="F37:G37"/>
    <mergeCell ref="A64:A65"/>
    <mergeCell ref="A13:B13"/>
    <mergeCell ref="B50:C50"/>
    <mergeCell ref="C13:D13"/>
    <mergeCell ref="F44:G44"/>
  </mergeCells>
  <dataValidations count="2">
    <dataValidation sqref="E22:E28 E32:E44" showDropDown="0" showInputMessage="0" showErrorMessage="0" allowBlank="1" errorTitle="Статус" error="Выберите статус из списка" type="list">
      <formula1>"в работе,выполнено,принято,взял на себя,отложено"</formula1>
    </dataValidation>
    <dataValidation sqref="E22:E28 E32:E44" showDropDown="0" showInputMessage="0" showErrorMessage="0" allowBlank="1" errorTitle="Статус" error="Выберите статус из списка" type="list">
      <formula1>"в работе,выполнено,принято,взял на себя,отложено"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5.184" customWidth="1" min="4" max="4"/>
    <col width="24.141" customWidth="1" min="5" max="5"/>
    <col width="29.543" customWidth="1" min="6" max="6"/>
    <col width="34.801" customWidth="1" min="7" max="7"/>
    <col width="19.543" customWidth="1" min="9" max="9"/>
  </cols>
  <sheetData>
    <row r="1" ht="10.35" customHeight="1">
      <c r="A1" s="779" t="n"/>
      <c r="B1" s="780" t="n"/>
      <c r="C1" s="780" t="n"/>
      <c r="D1" s="780" t="n"/>
      <c r="E1" s="780" t="n"/>
      <c r="F1" s="780" t="n"/>
      <c r="G1" s="781" t="n"/>
    </row>
    <row r="2">
      <c r="A2" s="588" t="n"/>
      <c r="B2" s="588" t="n"/>
      <c r="C2" s="588" t="n"/>
      <c r="D2" s="588" t="n"/>
      <c r="E2" s="588" t="n"/>
      <c r="F2" s="588" t="n"/>
      <c r="G2" s="588" t="n"/>
    </row>
    <row r="3">
      <c r="A3" s="589" t="inlineStr">
        <is>
          <t>Показатели рекламной кампании</t>
        </is>
      </c>
      <c r="B3" s="782" t="n"/>
      <c r="C3" s="782" t="n"/>
      <c r="D3" s="782" t="n"/>
      <c r="E3" s="782" t="n"/>
      <c r="F3" s="782" t="n"/>
      <c r="G3" s="783" t="n"/>
    </row>
    <row r="4" ht="14.25" customHeight="1">
      <c r="A4" s="590" t="inlineStr">
        <is>
          <t>№</t>
        </is>
      </c>
      <c r="B4" s="590" t="inlineStr">
        <is>
          <t>Название рекламной кампании</t>
        </is>
      </c>
      <c r="C4" s="590" t="inlineStr">
        <is>
          <t>Лидер</t>
        </is>
      </c>
      <c r="D4" s="590" t="inlineStr">
        <is>
          <t>Кол-во ЛИДов</t>
        </is>
      </c>
      <c r="E4" s="484" t="inlineStr">
        <is>
          <t>Стоимость ЛИДа</t>
        </is>
      </c>
      <c r="F4" s="484" t="inlineStr">
        <is>
          <t>Сделок</t>
        </is>
      </c>
      <c r="G4" s="446" t="inlineStr">
        <is>
          <t>Оплат</t>
        </is>
      </c>
      <c r="H4" s="489" t="n"/>
      <c r="I4" s="490" t="n"/>
    </row>
    <row r="5" ht="52.5" customHeight="1">
      <c r="A5" s="591" t="n"/>
      <c r="B5" s="591" t="inlineStr">
        <is>
          <t xml:space="preserve">ЭПД </t>
        </is>
      </c>
      <c r="C5" s="591" t="inlineStr">
        <is>
          <t>Савинская</t>
        </is>
      </c>
      <c r="D5" s="592" t="inlineStr">
        <is>
          <t>16 (ЭПД Квиз - 6 шт, "Внедрение и поддержка 1С:ЭПД" - 10)</t>
        </is>
      </c>
      <c r="E5" s="592" t="inlineStr">
        <is>
          <t xml:space="preserve">1 984, потрачено 12 700 р за 4 дня с 17.08(цена лида стала 1400) </t>
        </is>
      </c>
      <c r="F5" s="468" t="n">
        <v>3</v>
      </c>
      <c r="G5" s="468" t="n">
        <v>0</v>
      </c>
      <c r="H5" s="489" t="n"/>
      <c r="I5" s="490" t="n"/>
    </row>
    <row r="6" ht="14.25" customHeight="1">
      <c r="A6" s="494" t="inlineStr">
        <is>
          <t xml:space="preserve">МПП </t>
        </is>
      </c>
      <c r="B6" s="593" t="inlineStr">
        <is>
          <t>Ссылка на лид</t>
        </is>
      </c>
      <c r="C6" s="494" t="inlineStr">
        <is>
          <t>Клиент</t>
        </is>
      </c>
      <c r="D6" s="494" t="inlineStr">
        <is>
          <t>Этап сделки</t>
        </is>
      </c>
      <c r="E6" s="446" t="inlineStr">
        <is>
          <t>Поступила оплата</t>
        </is>
      </c>
      <c r="F6" s="494" t="inlineStr">
        <is>
          <t>Комментарий</t>
        </is>
      </c>
      <c r="G6" s="783" t="n"/>
      <c r="H6" s="481" t="n"/>
      <c r="I6" s="481" t="n"/>
      <c r="J6" s="481" t="n"/>
      <c r="K6" s="481" t="n"/>
      <c r="L6" s="481" t="n"/>
    </row>
    <row r="7" ht="15.05" customHeight="1">
      <c r="A7" s="594" t="inlineStr">
        <is>
          <t>Соболев</t>
        </is>
      </c>
      <c r="B7" s="595" t="inlineStr">
        <is>
          <t>https://crm.forus.ru/crm/lead/details/265572/</t>
        </is>
      </c>
      <c r="C7" s="594" t="inlineStr">
        <is>
          <t>ООО "ТРИ-С ДОН" 6167203111</t>
        </is>
      </c>
      <c r="D7" s="596" t="inlineStr">
        <is>
          <t>отправить счет/договор</t>
        </is>
      </c>
      <c r="E7" s="448" t="n"/>
      <c r="F7" s="597" t="inlineStr">
        <is>
          <t>клиента устроила стоимость  взял время подумать , ЭПД 600, сумма 3600</t>
        </is>
      </c>
      <c r="G7" s="783" t="n"/>
      <c r="H7" s="492" t="n"/>
      <c r="I7" s="492" t="n"/>
      <c r="J7" s="482" t="n"/>
      <c r="K7" s="482" t="n"/>
      <c r="L7" s="482" t="n"/>
    </row>
    <row r="8">
      <c r="A8" s="496" t="inlineStr">
        <is>
          <t>Федосеев</t>
        </is>
      </c>
      <c r="B8" s="595" t="inlineStr">
        <is>
          <t>https://crm.forus.ru/crm/deal/details/318062/</t>
        </is>
      </c>
      <c r="C8" s="594" t="inlineStr">
        <is>
          <t xml:space="preserve">Ильмира </t>
        </is>
      </c>
      <c r="D8" s="596" t="inlineStr">
        <is>
          <t xml:space="preserve">отвал, клиент перестал выходить на связь </t>
        </is>
      </c>
      <c r="E8" s="594" t="n"/>
      <c r="F8" s="597" t="inlineStr">
        <is>
          <t xml:space="preserve">клиент отвалился после консультации , далее не вышел на связь </t>
        </is>
      </c>
      <c r="G8" s="783" t="n"/>
      <c r="H8" s="492" t="n"/>
      <c r="I8" s="492" t="n"/>
      <c r="J8" s="482" t="n"/>
      <c r="K8" s="482" t="n"/>
      <c r="L8" s="482" t="n"/>
    </row>
    <row r="9" ht="30" customHeight="1">
      <c r="A9" s="496" t="inlineStr">
        <is>
          <t>Фёдорова</t>
        </is>
      </c>
      <c r="B9" s="595" t="inlineStr">
        <is>
          <t>https://crm.forus.ru/crm/lead/details/265387/</t>
        </is>
      </c>
      <c r="C9" s="594" t="inlineStr">
        <is>
          <t>ООО "РАФТ ЛИЗИНГ" 3805703273</t>
        </is>
      </c>
      <c r="D9" s="599" t="inlineStr">
        <is>
          <t xml:space="preserve">уточнене потребностей </t>
        </is>
      </c>
      <c r="E9" s="594" t="n"/>
      <c r="F9" s="631" t="inlineStr">
        <is>
          <t>клиент обслуживается у другого партнера, но рассматривает все предложения, сегодня после обеда даст ответ 5000</t>
        </is>
      </c>
      <c r="G9" s="783" t="n"/>
      <c r="H9" s="492" t="n"/>
      <c r="I9" s="492" t="n"/>
      <c r="J9" s="482" t="n"/>
      <c r="K9" s="482" t="n"/>
      <c r="L9" s="482" t="n"/>
    </row>
    <row r="10" ht="13.05" customHeight="1">
      <c r="A10" s="496" t="n"/>
      <c r="B10" s="598" t="n"/>
      <c r="C10" s="594" t="n"/>
      <c r="D10" s="599" t="n"/>
      <c r="E10" s="594" t="n"/>
      <c r="F10" s="597" t="n"/>
      <c r="G10" s="783" t="n"/>
      <c r="H10" s="492" t="n"/>
      <c r="I10" s="492" t="n"/>
      <c r="J10" s="482" t="n"/>
      <c r="K10" s="482" t="n"/>
      <c r="L10" s="482" t="n"/>
    </row>
    <row r="11" ht="14.3" customHeight="1">
      <c r="A11" s="496" t="n"/>
      <c r="B11" s="598" t="n"/>
      <c r="C11" s="594" t="n"/>
      <c r="D11" s="599" t="n"/>
      <c r="E11" s="594" t="n"/>
      <c r="F11" s="597" t="n"/>
      <c r="G11" s="783" t="n"/>
      <c r="H11" s="492" t="n"/>
      <c r="I11" s="492" t="n"/>
      <c r="J11" s="482" t="n"/>
      <c r="K11" s="482" t="n"/>
      <c r="L11" s="482" t="n"/>
    </row>
    <row r="12" ht="16.05" customHeight="1">
      <c r="A12" s="496" t="n"/>
      <c r="B12" s="598" t="n"/>
      <c r="C12" s="594" t="n"/>
      <c r="D12" s="599" t="n"/>
      <c r="E12" s="594" t="n"/>
      <c r="F12" s="597" t="n"/>
      <c r="G12" s="783" t="n"/>
      <c r="H12" s="492" t="n"/>
      <c r="I12" s="492" t="n"/>
      <c r="J12" s="482" t="n"/>
      <c r="K12" s="482" t="n"/>
      <c r="L12" s="482" t="n"/>
    </row>
    <row r="13" ht="14.95" customHeight="1">
      <c r="A13" s="496" t="n"/>
      <c r="B13" s="600" t="n"/>
      <c r="C13" s="594" t="n"/>
      <c r="D13" s="599" t="n"/>
      <c r="E13" s="594" t="n"/>
      <c r="F13" s="597" t="n"/>
      <c r="G13" s="783" t="n"/>
      <c r="H13" s="492" t="n"/>
      <c r="I13" s="492" t="n"/>
      <c r="J13" s="482" t="n"/>
      <c r="K13" s="482" t="n"/>
      <c r="L13" s="482" t="n"/>
    </row>
    <row r="14">
      <c r="A14" s="496" t="n"/>
      <c r="B14" s="598" t="n"/>
      <c r="C14" s="594" t="n"/>
      <c r="D14" s="599" t="n"/>
      <c r="E14" s="594" t="n"/>
      <c r="F14" s="597" t="n"/>
      <c r="G14" s="783" t="n"/>
      <c r="H14" s="492" t="n"/>
      <c r="I14" s="492" t="n"/>
      <c r="J14" s="482" t="n"/>
      <c r="K14" s="482" t="n"/>
      <c r="L14" s="482" t="n"/>
    </row>
    <row r="15">
      <c r="A15" s="496" t="n"/>
      <c r="B15" s="600" t="n"/>
      <c r="C15" s="594" t="n"/>
      <c r="D15" s="599" t="n"/>
      <c r="E15" s="594" t="n"/>
      <c r="F15" s="597" t="n"/>
      <c r="G15" s="783" t="n"/>
      <c r="H15" s="492" t="n"/>
      <c r="I15" s="492" t="n"/>
      <c r="J15" s="482" t="n"/>
      <c r="K15" s="482" t="n"/>
      <c r="L15" s="482" t="n"/>
    </row>
    <row r="16">
      <c r="A16" s="496" t="n"/>
      <c r="B16" s="601" t="n"/>
      <c r="C16" s="594" t="n"/>
      <c r="D16" s="602" t="n"/>
      <c r="E16" s="594" t="n"/>
      <c r="F16" s="597" t="n"/>
      <c r="G16" s="783" t="n"/>
      <c r="H16" s="492" t="n"/>
      <c r="I16" s="492" t="n"/>
      <c r="J16" s="482" t="n"/>
      <c r="K16" s="482" t="n"/>
      <c r="L16" s="482" t="n"/>
    </row>
    <row r="17">
      <c r="A17" s="496" t="n"/>
      <c r="B17" s="603" t="n"/>
      <c r="C17" s="594" t="n"/>
      <c r="D17" s="604" t="n"/>
      <c r="E17" s="603" t="n"/>
      <c r="F17" s="597" t="n"/>
      <c r="G17" s="783" t="n"/>
      <c r="H17" s="492" t="n"/>
      <c r="I17" s="492" t="n"/>
      <c r="J17" s="482" t="n"/>
      <c r="K17" s="482" t="n"/>
      <c r="L17" s="482" t="n"/>
    </row>
    <row r="18" ht="14.25" customHeight="1">
      <c r="A18" s="502" t="n"/>
      <c r="B18" s="503" t="n"/>
      <c r="C18" s="504" t="n"/>
      <c r="D18" s="505" t="n"/>
      <c r="E18" s="508" t="n"/>
      <c r="F18" s="597" t="n"/>
      <c r="G18" s="783" t="n"/>
    </row>
    <row r="19" ht="14.25" customHeight="1">
      <c r="A19" s="110" t="n"/>
      <c r="B19" s="57" t="n"/>
      <c r="C19" s="89" t="n"/>
      <c r="D19" s="184" t="n"/>
      <c r="E19" s="113" t="n"/>
      <c r="F19" s="597" t="n"/>
      <c r="G19" s="783" t="n"/>
    </row>
    <row r="20">
      <c r="A20" s="605" t="inlineStr">
        <is>
          <t>1. Мониторинг предыдущих решений:</t>
        </is>
      </c>
      <c r="B20" s="782" t="n"/>
      <c r="C20" s="782" t="n"/>
      <c r="D20" s="782" t="n"/>
      <c r="E20" s="782" t="n"/>
      <c r="F20" s="782" t="n"/>
      <c r="G20" s="783" t="n"/>
    </row>
    <row r="21">
      <c r="A21" s="590" t="inlineStr">
        <is>
          <t>№</t>
        </is>
      </c>
      <c r="B21" s="590" t="inlineStr">
        <is>
          <t>Задача</t>
        </is>
      </c>
      <c r="C21" s="590" t="inlineStr">
        <is>
          <t>Лидер</t>
        </is>
      </c>
      <c r="D21" s="590" t="inlineStr">
        <is>
          <t>Срок</t>
        </is>
      </c>
      <c r="E21" s="590" t="inlineStr">
        <is>
          <t>Статус*</t>
        </is>
      </c>
      <c r="F21" s="590" t="inlineStr">
        <is>
          <t>Комментарии. Выводы</t>
        </is>
      </c>
      <c r="G21" s="783" t="n"/>
    </row>
    <row r="22" ht="53.05" customHeight="1">
      <c r="A22" s="606" t="n"/>
      <c r="B22" s="630" t="inlineStr">
        <is>
          <t xml:space="preserve">Созвон с Настей К по поводу заявок-напоминаний , которые получаем в рассылке </t>
        </is>
      </c>
      <c r="C22" s="608" t="inlineStr">
        <is>
          <t xml:space="preserve">Савинская </t>
        </is>
      </c>
      <c r="D22" s="608" t="inlineStr">
        <is>
          <t>до 14.08</t>
        </is>
      </c>
      <c r="E22" s="609" t="inlineStr">
        <is>
          <t xml:space="preserve">готово </t>
        </is>
      </c>
      <c r="F22" s="610" t="inlineStr">
        <is>
          <t>все ок, принято</t>
        </is>
      </c>
      <c r="G22" s="783" t="n"/>
    </row>
    <row r="23" ht="74.05" customHeight="1">
      <c r="A23" s="784" t="n">
        <v>1</v>
      </c>
      <c r="B23" s="629" t="inlineStr">
        <is>
          <t xml:space="preserve">Обсудить с Машей Д по клиентам, которые могут сопровождаться у др.партнеров, но попали к нам на ЛК ( могут не иметь договора) </t>
        </is>
      </c>
      <c r="C23" s="613" t="inlineStr">
        <is>
          <t xml:space="preserve">Корнева </t>
        </is>
      </c>
      <c r="D23" s="613" t="inlineStr">
        <is>
          <t>до 14.08</t>
        </is>
      </c>
      <c r="E23" s="613" t="inlineStr">
        <is>
          <t xml:space="preserve">выполнено </t>
        </is>
      </c>
      <c r="F23" s="614" t="inlineStr">
        <is>
          <t xml:space="preserve">Корнева А. 13.08 : Поговорила  с ЦСВ. Клиентов распределяет Юля Ситникова. В августе таких клиентов не было, все клиенты , что пришли уже были с оформленным сервисом. На будущее решили так: если клиент действующий , то передача менеджеру ЦКС, если клиент без договора то в ЦП. </t>
        </is>
      </c>
      <c r="G23" s="783" t="n"/>
    </row>
    <row r="24" ht="58.25" customHeight="1">
      <c r="A24" s="785" t="n">
        <v>2</v>
      </c>
      <c r="B24" s="165" t="inlineStr">
        <is>
          <t>Подумать о Предложении К. Дербеневой определить общую цель по ЭПД (Штуки либо деньги, доля наших клиентов, которые попадают под изменения)</t>
        </is>
      </c>
      <c r="C24" s="608" t="inlineStr">
        <is>
          <t>все участники</t>
        </is>
      </c>
      <c r="D24" s="616" t="inlineStr">
        <is>
          <t xml:space="preserve">до 27.08 </t>
        </is>
      </c>
      <c r="E24" s="609" t="inlineStr">
        <is>
          <t xml:space="preserve">в работе </t>
        </is>
      </c>
      <c r="F24" s="617" t="inlineStr">
        <is>
          <t>учесть требования вендора, 20.08 обсуждаем ОС. Продлила срок до следующей встречи -27.08</t>
        </is>
      </c>
      <c r="G24" s="783" t="n"/>
    </row>
    <row r="25" ht="34.55" customHeight="1">
      <c r="A25" s="784" t="n">
        <v>3</v>
      </c>
      <c r="B25" s="618" t="inlineStr">
        <is>
          <t xml:space="preserve">Собрать ОС от МПП по поводу сервиса ЭПД (что говорят клиенты) для встречи с Калугой </t>
        </is>
      </c>
      <c r="C25" s="613" t="inlineStr">
        <is>
          <t>Дербенева/Корнева</t>
        </is>
      </c>
      <c r="D25" s="619" t="inlineStr">
        <is>
          <t>до 18.08</t>
        </is>
      </c>
      <c r="E25" s="613" t="inlineStr">
        <is>
          <t xml:space="preserve">выполнено </t>
        </is>
      </c>
      <c r="F25" s="620" t="inlineStr">
        <is>
          <t xml:space="preserve">Список собранный у Юли Степановой по всем МПП ЦКС </t>
        </is>
      </c>
      <c r="G25" s="783" t="n"/>
    </row>
    <row r="26" ht="38.45" customHeight="1">
      <c r="A26" s="786" t="n">
        <v>4</v>
      </c>
      <c r="B26" s="622" t="inlineStr">
        <is>
          <t>Собрать статистику по обработке базы от Калуга</t>
        </is>
      </c>
      <c r="C26" s="609" t="inlineStr">
        <is>
          <t xml:space="preserve">Савинская </t>
        </is>
      </c>
      <c r="D26" s="623" t="inlineStr">
        <is>
          <t>до 24.08</t>
        </is>
      </c>
      <c r="E26" s="609" t="inlineStr">
        <is>
          <t xml:space="preserve">в работе </t>
        </is>
      </c>
      <c r="F26" s="617" t="inlineStr">
        <is>
          <t xml:space="preserve">база находится в работе у ТМ , на этой неделе планируют закончить обзвон </t>
        </is>
      </c>
      <c r="G26" s="783" t="n"/>
    </row>
    <row r="27" ht="43.4" customHeight="1">
      <c r="A27" s="784" t="n">
        <v>5</v>
      </c>
      <c r="B27" s="618" t="inlineStr">
        <is>
          <t>Обсудить по поводу акции ЭПД до 31.08 или продлеваем?</t>
        </is>
      </c>
      <c r="C27" s="613" t="inlineStr">
        <is>
          <t xml:space="preserve">все участники </t>
        </is>
      </c>
      <c r="D27" s="619" t="inlineStr">
        <is>
          <t>до 20.08</t>
        </is>
      </c>
      <c r="E27" s="613" t="inlineStr">
        <is>
          <t xml:space="preserve">в работе </t>
        </is>
      </c>
      <c r="F27" s="620" t="n"/>
      <c r="G27" s="783" t="n"/>
    </row>
    <row r="28" ht="26.95" customHeight="1">
      <c r="A28" s="786" t="n">
        <v>6</v>
      </c>
      <c r="B28" s="622" t="inlineStr">
        <is>
          <t xml:space="preserve">Включить таблицу по РК ЭПД в протокол </t>
        </is>
      </c>
      <c r="C28" s="609" t="inlineStr">
        <is>
          <t xml:space="preserve">Блохина </t>
        </is>
      </c>
      <c r="D28" s="623" t="inlineStr">
        <is>
          <t xml:space="preserve">до 14.08 </t>
        </is>
      </c>
      <c r="E28" s="609" t="inlineStr">
        <is>
          <t>выполнено</t>
        </is>
      </c>
      <c r="F28" s="617" t="n"/>
      <c r="G28" s="783" t="n"/>
    </row>
    <row r="29">
      <c r="A29" s="115" t="n"/>
      <c r="B29" s="115" t="n"/>
      <c r="C29" s="115" t="n"/>
      <c r="D29" s="115" t="n"/>
      <c r="E29" s="624" t="n"/>
      <c r="F29" s="625" t="n"/>
      <c r="G29" s="783" t="n"/>
    </row>
    <row r="30" ht="16.95" customHeight="1">
      <c r="A30" s="502" t="n"/>
      <c r="B30" s="503" t="n"/>
      <c r="C30" s="504" t="n"/>
      <c r="D30" s="505" t="n"/>
      <c r="E30" s="508" t="n"/>
      <c r="F30" s="507" t="n"/>
      <c r="G30" s="783" t="n"/>
    </row>
    <row r="31">
      <c r="A31" s="134" t="n"/>
      <c r="B31" s="72" t="n"/>
      <c r="C31" s="88" t="n"/>
      <c r="D31" s="135" t="n"/>
      <c r="E31" s="624" t="n"/>
      <c r="F31" s="86" t="n"/>
      <c r="G31" s="783" t="n"/>
    </row>
    <row r="32">
      <c r="A32" s="589" t="inlineStr">
        <is>
          <t>2. Решения текущей встречи:</t>
        </is>
      </c>
      <c r="B32" s="782" t="n"/>
      <c r="C32" s="782" t="n"/>
      <c r="D32" s="782" t="n"/>
      <c r="E32" s="782" t="n"/>
      <c r="F32" s="782" t="n"/>
      <c r="G32" s="783" t="n"/>
    </row>
    <row r="33">
      <c r="A33" s="209" t="inlineStr">
        <is>
          <t>№</t>
        </is>
      </c>
      <c r="B33" s="209" t="inlineStr">
        <is>
          <t>Задача</t>
        </is>
      </c>
      <c r="C33" s="209" t="inlineStr">
        <is>
          <t>Лидер</t>
        </is>
      </c>
      <c r="D33" s="209" t="inlineStr">
        <is>
          <t>Срок</t>
        </is>
      </c>
      <c r="E33" s="209" t="inlineStr">
        <is>
          <t>Статус*</t>
        </is>
      </c>
      <c r="F33" s="209" t="inlineStr">
        <is>
          <t>Комментарии. Выводы</t>
        </is>
      </c>
      <c r="G33" s="783" t="n"/>
    </row>
    <row r="34" ht="29.25" customHeight="1">
      <c r="A34" s="155" t="n"/>
      <c r="B34" s="307" t="inlineStr">
        <is>
          <t xml:space="preserve">Включить поле время взятия в работу заявки с РК </t>
        </is>
      </c>
      <c r="C34" s="415" t="inlineStr">
        <is>
          <t>Савинская</t>
        </is>
      </c>
      <c r="D34" s="415" t="inlineStr">
        <is>
          <t>до 27.08</t>
        </is>
      </c>
      <c r="E34" s="159" t="inlineStr">
        <is>
          <t xml:space="preserve">в работе </t>
        </is>
      </c>
      <c r="F34" s="639" t="n"/>
      <c r="G34" s="783" t="n"/>
    </row>
    <row r="35" ht="29.25" customHeight="1">
      <c r="A35" s="349" t="n"/>
      <c r="B35" s="384" t="inlineStr">
        <is>
          <t>Обсудить разделения стоимости РК между ЦП и ЦКС на очной встрече 27.08</t>
        </is>
      </c>
      <c r="C35" s="384" t="inlineStr">
        <is>
          <t>все участники (Антонов В , Дербенева К)</t>
        </is>
      </c>
      <c r="D35" s="384" t="inlineStr">
        <is>
          <t xml:space="preserve">до 27.08 </t>
        </is>
      </c>
      <c r="E35" s="164" t="inlineStr">
        <is>
          <t xml:space="preserve">в работе </t>
        </is>
      </c>
      <c r="F35" s="409" t="n"/>
      <c r="G35" s="783" t="n"/>
    </row>
    <row r="36" ht="48" customHeight="1">
      <c r="A36" s="350" t="n"/>
      <c r="B36" s="165" t="inlineStr">
        <is>
          <t>текущая РК действует до середины сентября. Что дальше? Будем продлевать? Вопрос согласования бюджета</t>
        </is>
      </c>
      <c r="C36" s="165" t="inlineStr">
        <is>
          <t>все участники</t>
        </is>
      </c>
      <c r="D36" s="314" t="inlineStr">
        <is>
          <t>до 27.08</t>
        </is>
      </c>
      <c r="E36" s="159" t="inlineStr">
        <is>
          <t xml:space="preserve">в работе </t>
        </is>
      </c>
      <c r="F36" s="405" t="n"/>
      <c r="G36" s="783" t="n"/>
    </row>
    <row r="37" ht="41.25" customHeight="1">
      <c r="A37" s="349" t="n"/>
      <c r="B37" s="633" t="inlineStr">
        <is>
          <t xml:space="preserve">Собрать ОС от МПП по поводу сервиса ЭПД (что говорят клиенты)  - основные проблемы, возражения и потребности </t>
        </is>
      </c>
      <c r="C37" s="633" t="inlineStr">
        <is>
          <t xml:space="preserve">Савинская/Блохина/Степанова </t>
        </is>
      </c>
      <c r="D37" s="316" t="inlineStr">
        <is>
          <t>до 24.08 к 12:00</t>
        </is>
      </c>
      <c r="E37" s="634" t="inlineStr">
        <is>
          <t xml:space="preserve">в работе </t>
        </is>
      </c>
      <c r="F37" s="635" t="inlineStr">
        <is>
          <t xml:space="preserve">добавить дополнительное поле </t>
        </is>
      </c>
      <c r="G37" s="783" t="n"/>
    </row>
    <row r="38" ht="31.5" customHeight="1">
      <c r="A38" s="351" t="n"/>
      <c r="B38" s="396" t="inlineStr">
        <is>
          <t xml:space="preserve">Собрать портрет клиента, который купил ЭПД </t>
        </is>
      </c>
      <c r="C38" s="396" t="inlineStr">
        <is>
          <t>Корнева/Степанова</t>
        </is>
      </c>
      <c r="D38" s="397" t="inlineStr">
        <is>
          <t>до 27.08</t>
        </is>
      </c>
      <c r="E38" s="675" t="inlineStr">
        <is>
          <t xml:space="preserve">в работе </t>
        </is>
      </c>
      <c r="F38" s="420" t="inlineStr">
        <is>
          <t>Коля, после встречи напишет Насте параметры, по которым будем собирать портрет клиента.</t>
        </is>
      </c>
      <c r="G38" s="783" t="n"/>
    </row>
    <row r="39" ht="30" customHeight="1">
      <c r="A39" s="352" t="n"/>
      <c r="B39" s="161" t="inlineStr">
        <is>
          <t>Добавить Корневу и Степанову во встречу с Калугой</t>
        </is>
      </c>
      <c r="C39" s="161" t="inlineStr">
        <is>
          <t>Блохина</t>
        </is>
      </c>
      <c r="D39" s="316" t="inlineStr">
        <is>
          <t xml:space="preserve">до 24.08 </t>
        </is>
      </c>
      <c r="E39" s="172" t="inlineStr">
        <is>
          <t xml:space="preserve">в работе </t>
        </is>
      </c>
      <c r="F39" s="407" t="n"/>
      <c r="G39" s="783" t="n"/>
    </row>
    <row r="40" ht="19.25" customHeight="1">
      <c r="A40" s="351" t="n"/>
      <c r="B40" s="396" t="n"/>
      <c r="C40" s="396" t="n"/>
      <c r="D40" s="401" t="n"/>
      <c r="E40" s="675" t="n"/>
      <c r="F40" s="408" t="n"/>
      <c r="G40" s="783" t="n"/>
    </row>
    <row r="41" ht="14.7" customHeight="1">
      <c r="A41" s="352" t="n"/>
      <c r="B41" s="161" t="n"/>
      <c r="C41" s="161" t="n"/>
      <c r="D41" s="162" t="n"/>
      <c r="E41" s="172" t="n"/>
      <c r="F41" s="409" t="n"/>
      <c r="G41" s="783" t="n"/>
    </row>
    <row r="42">
      <c r="A42" s="351" t="n"/>
      <c r="B42" s="396" t="n"/>
      <c r="C42" s="396" t="n"/>
      <c r="D42" s="401" t="n"/>
      <c r="E42" s="675" t="n"/>
      <c r="F42" s="408" t="n"/>
      <c r="G42" s="783" t="n"/>
    </row>
    <row r="43" ht="14.25" customHeight="1">
      <c r="A43" s="352" t="n"/>
      <c r="B43" s="161" t="n"/>
      <c r="C43" s="161" t="n"/>
      <c r="D43" s="162" t="n"/>
      <c r="E43" s="172" t="n"/>
      <c r="F43" s="409" t="n"/>
      <c r="G43" s="783" t="n"/>
    </row>
    <row r="44" ht="14.25" customHeight="1">
      <c r="A44" s="351" t="n"/>
      <c r="B44" s="396" t="n"/>
      <c r="C44" s="396" t="n"/>
      <c r="D44" s="401" t="n"/>
      <c r="E44" s="675" t="n"/>
      <c r="F44" s="408" t="n"/>
      <c r="G44" s="783" t="n"/>
    </row>
    <row r="45" ht="14.25" customHeight="1">
      <c r="A45" s="351" t="n"/>
      <c r="B45" s="161" t="n"/>
      <c r="C45" s="161" t="n"/>
      <c r="D45" s="304" t="n"/>
      <c r="E45" s="172" t="n"/>
      <c r="F45" s="641" t="n"/>
      <c r="G45" s="783" t="n"/>
    </row>
    <row r="46">
      <c r="A46" s="589" t="inlineStr">
        <is>
          <t>3. Обсуждаемые темы и выводы:</t>
        </is>
      </c>
      <c r="B46" s="782" t="n"/>
      <c r="C46" s="782" t="n"/>
      <c r="D46" s="782" t="n"/>
      <c r="E46" s="782" t="n"/>
      <c r="F46" s="782" t="n"/>
      <c r="G46" s="783" t="n"/>
    </row>
    <row r="47" ht="13.5" customHeight="1">
      <c r="A47" s="299" t="inlineStr">
        <is>
          <t>Обсуждаемая тема (проблема)</t>
        </is>
      </c>
      <c r="B47" s="782" t="n"/>
      <c r="C47" s="783" t="n"/>
      <c r="D47" s="299" t="inlineStr">
        <is>
          <t>Выводы и решения</t>
        </is>
      </c>
      <c r="E47" s="782" t="n"/>
      <c r="F47" s="782" t="n"/>
      <c r="G47" s="783" t="n"/>
    </row>
    <row r="48" ht="15.6" customHeight="1">
      <c r="A48" s="308" t="inlineStr">
        <is>
          <t xml:space="preserve">Обсудить с ЦСВ трудозатраты на акцию по ЭПД. </t>
        </is>
      </c>
      <c r="B48" s="782" t="n"/>
      <c r="C48" s="783" t="n"/>
      <c r="D48" s="308" t="n"/>
      <c r="E48" s="782" t="n"/>
      <c r="F48" s="782" t="n"/>
      <c r="G48" s="783" t="n"/>
    </row>
    <row r="49" ht="36" customHeight="1">
      <c r="A49" s="308" t="inlineStr">
        <is>
          <t>Канал ЭПД в МАКС, ТГ , ВК. Можем ли прорабатывать этих клиентов силами ЦП и ЦКС? Связать со стратегией и целями, рассмотреть как альтернативный канал привлечения</t>
        </is>
      </c>
      <c r="B49" s="782" t="n"/>
      <c r="C49" s="783" t="n"/>
      <c r="D49" s="308" t="n"/>
      <c r="E49" s="782" t="n"/>
      <c r="F49" s="782" t="n"/>
      <c r="G49" s="783" t="n"/>
    </row>
    <row r="50" ht="15.8" customHeight="1">
      <c r="A50" s="308" t="n"/>
      <c r="B50" s="782" t="n"/>
      <c r="C50" s="783" t="n"/>
      <c r="D50" s="308" t="n"/>
      <c r="E50" s="782" t="n"/>
      <c r="F50" s="782" t="n"/>
      <c r="G50" s="783" t="n"/>
    </row>
    <row r="51" ht="16.5" customHeight="1">
      <c r="A51" s="308" t="n"/>
      <c r="B51" s="782" t="n"/>
      <c r="C51" s="783" t="n"/>
      <c r="D51" s="418" t="n"/>
      <c r="E51" s="782" t="n"/>
      <c r="F51" s="782" t="n"/>
      <c r="G51" s="783" t="n"/>
    </row>
    <row r="52" ht="13.95" customHeight="1">
      <c r="A52" s="308" t="n"/>
      <c r="B52" s="782" t="n"/>
      <c r="C52" s="783" t="n"/>
      <c r="D52" s="289" t="n"/>
      <c r="E52" s="782" t="n"/>
      <c r="F52" s="782" t="n"/>
      <c r="G52" s="783" t="n"/>
    </row>
    <row r="53" ht="15.85" customHeight="1">
      <c r="A53" s="289" t="n"/>
      <c r="B53" s="782" t="n"/>
      <c r="C53" s="783" t="n"/>
      <c r="D53" s="289" t="n"/>
      <c r="E53" s="782" t="n"/>
      <c r="F53" s="782" t="n"/>
      <c r="G53" s="783" t="n"/>
    </row>
    <row r="54" ht="15.5" customHeight="1">
      <c r="A54" s="410" t="n"/>
      <c r="B54" s="782" t="n"/>
      <c r="C54" s="783" t="n"/>
      <c r="D54" s="411" t="n"/>
      <c r="E54" s="782" t="n"/>
      <c r="F54" s="782" t="n"/>
      <c r="G54" s="783" t="n"/>
    </row>
    <row r="55" ht="18.15" customHeight="1">
      <c r="A55" s="410" t="n"/>
      <c r="B55" s="782" t="n"/>
      <c r="C55" s="783" t="n"/>
      <c r="D55" s="411" t="n"/>
      <c r="E55" s="782" t="n"/>
      <c r="F55" s="782" t="n"/>
      <c r="G55" s="783" t="n"/>
    </row>
    <row r="56" ht="12.95" customHeight="1">
      <c r="A56" s="410" t="n"/>
      <c r="B56" s="782" t="n"/>
      <c r="C56" s="783" t="n"/>
      <c r="D56" s="411" t="n"/>
      <c r="E56" s="782" t="n"/>
      <c r="F56" s="782" t="n"/>
      <c r="G56" s="783" t="n"/>
    </row>
    <row r="57">
      <c r="A57" s="281" t="n"/>
      <c r="B57" s="281" t="n"/>
      <c r="C57" s="281" t="n"/>
    </row>
  </sheetData>
  <mergeCells count="63">
    <mergeCell ref="A32:G32"/>
    <mergeCell ref="D56:G56"/>
    <mergeCell ref="F11:G11"/>
    <mergeCell ref="F29:G29"/>
    <mergeCell ref="F10:G10"/>
    <mergeCell ref="F16:G16"/>
    <mergeCell ref="F25:G25"/>
    <mergeCell ref="F34:G34"/>
    <mergeCell ref="F19:G19"/>
    <mergeCell ref="A56:C56"/>
    <mergeCell ref="A20:G20"/>
    <mergeCell ref="F6:G6"/>
    <mergeCell ref="A55:C55"/>
    <mergeCell ref="D55:G55"/>
    <mergeCell ref="A50:C50"/>
    <mergeCell ref="D51:G51"/>
    <mergeCell ref="F40:G40"/>
    <mergeCell ref="F7:G7"/>
    <mergeCell ref="D54:G54"/>
    <mergeCell ref="F21:G21"/>
    <mergeCell ref="F12:G12"/>
    <mergeCell ref="F30:G30"/>
    <mergeCell ref="F24:G24"/>
    <mergeCell ref="A47:C47"/>
    <mergeCell ref="F15:G15"/>
    <mergeCell ref="D50:G50"/>
    <mergeCell ref="F18:G18"/>
    <mergeCell ref="F33:G33"/>
    <mergeCell ref="F45:G45"/>
    <mergeCell ref="F36:G36"/>
    <mergeCell ref="F42:G42"/>
    <mergeCell ref="A53:C53"/>
    <mergeCell ref="F26:G26"/>
    <mergeCell ref="F41:G41"/>
    <mergeCell ref="F17:G17"/>
    <mergeCell ref="F35:G35"/>
    <mergeCell ref="A52:C52"/>
    <mergeCell ref="F8:G8"/>
    <mergeCell ref="A1:G1"/>
    <mergeCell ref="F38:G38"/>
    <mergeCell ref="F23:G23"/>
    <mergeCell ref="D52:G52"/>
    <mergeCell ref="F31:G31"/>
    <mergeCell ref="F22:G22"/>
    <mergeCell ref="F28:G28"/>
    <mergeCell ref="D49:G49"/>
    <mergeCell ref="F13:G13"/>
    <mergeCell ref="A48:C48"/>
    <mergeCell ref="F27:G27"/>
    <mergeCell ref="F9:G9"/>
    <mergeCell ref="A51:C51"/>
    <mergeCell ref="A46:G46"/>
    <mergeCell ref="F43:G43"/>
    <mergeCell ref="F37:G37"/>
    <mergeCell ref="F39:G39"/>
    <mergeCell ref="D48:G48"/>
    <mergeCell ref="A49:C49"/>
    <mergeCell ref="A3:G3"/>
    <mergeCell ref="D53:G53"/>
    <mergeCell ref="D47:G47"/>
    <mergeCell ref="F14:G14"/>
    <mergeCell ref="A54:C54"/>
    <mergeCell ref="F44:G44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9.254" customWidth="1" min="4" max="4"/>
    <col width="24.141" customWidth="1" min="5" max="5"/>
    <col width="29.543" customWidth="1" min="6" max="6"/>
    <col width="34.801" customWidth="1" min="7" max="7"/>
    <col width="19.543" customWidth="1" min="9" max="9"/>
  </cols>
  <sheetData>
    <row r="1" ht="24.75" customHeight="1">
      <c r="A1" s="779" t="n"/>
      <c r="B1" s="780" t="n"/>
      <c r="C1" s="780" t="n"/>
      <c r="D1" s="780" t="n"/>
      <c r="E1" s="780" t="n"/>
      <c r="F1" s="780" t="n"/>
      <c r="G1" s="781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787" t="inlineStr">
        <is>
          <t>Показатели рекламной кампании</t>
        </is>
      </c>
      <c r="B3" s="788" t="n"/>
      <c r="C3" s="788" t="n"/>
      <c r="D3" s="788" t="n"/>
      <c r="E3" s="788" t="n"/>
      <c r="F3" s="788" t="n"/>
      <c r="G3" s="789" t="n"/>
    </row>
    <row r="4" ht="24" customHeight="1">
      <c r="A4" s="421" t="inlineStr">
        <is>
          <t>№</t>
        </is>
      </c>
      <c r="B4" s="422" t="inlineStr">
        <is>
          <t>Название рекламной кампании</t>
        </is>
      </c>
      <c r="C4" s="422" t="inlineStr">
        <is>
          <t>Лидер</t>
        </is>
      </c>
      <c r="D4" s="422" t="inlineStr">
        <is>
          <t>Длительность</t>
        </is>
      </c>
      <c r="E4" s="422" t="inlineStr">
        <is>
          <t>Кол-во ЛИДов</t>
        </is>
      </c>
      <c r="F4" s="440" t="inlineStr">
        <is>
          <t>Стоимость ЛИДа</t>
        </is>
      </c>
      <c r="G4" s="443" t="inlineStr">
        <is>
          <t>Сделок</t>
        </is>
      </c>
      <c r="H4" s="446" t="inlineStr">
        <is>
          <t>Оплат</t>
        </is>
      </c>
      <c r="I4" s="447" t="inlineStr">
        <is>
          <t>Конверсия из ЛИДа в оплату</t>
        </is>
      </c>
    </row>
    <row r="5" ht="15.75" customHeight="1">
      <c r="A5" s="423" t="n"/>
      <c r="B5" s="425" t="n"/>
      <c r="C5" s="425" t="inlineStr">
        <is>
          <t xml:space="preserve">Савинская </t>
        </is>
      </c>
      <c r="D5" s="425" t="n"/>
      <c r="E5" s="436" t="n"/>
      <c r="F5" s="439" t="n"/>
      <c r="G5" s="439" t="n"/>
      <c r="H5" s="448" t="n"/>
      <c r="I5" s="448">
        <f>H5/E5*100%</f>
        <v/>
      </c>
    </row>
    <row r="6">
      <c r="A6" s="790" t="inlineStr">
        <is>
          <t>1. Мониторинг предыдущих решений:</t>
        </is>
      </c>
      <c r="B6" s="788" t="n"/>
      <c r="C6" s="788" t="n"/>
      <c r="D6" s="788" t="n"/>
      <c r="E6" s="788" t="n"/>
      <c r="F6" s="788" t="n"/>
      <c r="G6" s="789" t="n"/>
    </row>
    <row r="7">
      <c r="A7" s="4" t="inlineStr">
        <is>
          <t>№</t>
        </is>
      </c>
      <c r="B7" s="40" t="inlineStr">
        <is>
          <t>Задача</t>
        </is>
      </c>
      <c r="C7" s="5" t="inlineStr">
        <is>
          <t>Лидер</t>
        </is>
      </c>
      <c r="D7" s="5" t="inlineStr">
        <is>
          <t>Срок</t>
        </is>
      </c>
      <c r="E7" s="5" t="inlineStr">
        <is>
          <t>Статус*</t>
        </is>
      </c>
      <c r="F7" s="40" t="inlineStr">
        <is>
          <t>Комментарии. Выводы</t>
        </is>
      </c>
      <c r="G7" s="78" t="n"/>
    </row>
    <row r="8" ht="27" customHeight="1">
      <c r="A8" s="41" t="n"/>
      <c r="B8" s="307" t="inlineStr">
        <is>
          <t xml:space="preserve">уточнить по поводу внесены ли вопросы МПП для создания базы знаний </t>
        </is>
      </c>
      <c r="C8" s="415" t="inlineStr">
        <is>
          <t xml:space="preserve">Блохина/Савинская/Гурков </t>
        </is>
      </c>
      <c r="D8" s="415" t="inlineStr">
        <is>
          <t>до 7.08</t>
        </is>
      </c>
      <c r="E8" s="159" t="inlineStr">
        <is>
          <t>выполнено</t>
        </is>
      </c>
      <c r="F8" s="639" t="inlineStr">
        <is>
          <t>вопросы внесены</t>
        </is>
      </c>
      <c r="G8" s="783" t="n"/>
    </row>
    <row r="9" ht="23.25" customHeight="1">
      <c r="A9" s="71" t="n"/>
      <c r="B9" s="384" t="inlineStr">
        <is>
          <t xml:space="preserve">написать Маше группу в аутлук для отправки напоминаний </t>
        </is>
      </c>
      <c r="C9" s="384" t="inlineStr">
        <is>
          <t xml:space="preserve">Савинская </t>
        </is>
      </c>
      <c r="D9" s="384" t="inlineStr">
        <is>
          <t>до 7.08</t>
        </is>
      </c>
      <c r="E9" s="164" t="inlineStr">
        <is>
          <t>выполнено</t>
        </is>
      </c>
      <c r="F9" s="409" t="n"/>
      <c r="G9" s="783" t="n"/>
    </row>
    <row r="10" ht="21.6" customHeight="1">
      <c r="A10" s="303" t="n"/>
      <c r="B10" s="165" t="inlineStr">
        <is>
          <t xml:space="preserve">Разбор по старым чатам </t>
        </is>
      </c>
      <c r="C10" s="165" t="inlineStr">
        <is>
          <t xml:space="preserve">Блохина </t>
        </is>
      </c>
      <c r="D10" s="314" t="n">
        <v>46240</v>
      </c>
      <c r="E10" s="159" t="inlineStr">
        <is>
          <t>выполнено</t>
        </is>
      </c>
      <c r="F10" s="405" t="n"/>
      <c r="G10" s="783" t="n"/>
    </row>
    <row r="11" ht="35.25" customHeight="1">
      <c r="A11" s="71" t="n"/>
      <c r="B11" s="161" t="inlineStr">
        <is>
          <t xml:space="preserve">Добавить Н.Корневу и переименовать встречу </t>
        </is>
      </c>
      <c r="C11" s="161" t="inlineStr">
        <is>
          <t xml:space="preserve">Блохина </t>
        </is>
      </c>
      <c r="D11" s="317" t="inlineStr">
        <is>
          <t>до 7.08</t>
        </is>
      </c>
      <c r="E11" s="164" t="inlineStr">
        <is>
          <t>выполнено</t>
        </is>
      </c>
      <c r="F11" s="409" t="n"/>
      <c r="G11" s="783" t="n"/>
    </row>
    <row r="12" ht="282.583" customHeight="1">
      <c r="A12" s="305" t="n"/>
      <c r="B12" s="396" t="inlineStr">
        <is>
          <t xml:space="preserve">Подумать о Предложении К. Дербеневой определить общую цель по ЭПД (Штуки либо деньги, доля наших клиентов, которые попадают под изменения) </t>
        </is>
      </c>
      <c r="C12" s="396" t="inlineStr">
        <is>
          <t>все участники</t>
        </is>
      </c>
      <c r="D12" s="397" t="inlineStr">
        <is>
          <t>до 13.08</t>
        </is>
      </c>
      <c r="E12" s="675" t="inlineStr">
        <is>
          <t xml:space="preserve">в работе </t>
        </is>
      </c>
      <c r="F12" s="420" t="n"/>
      <c r="G12" s="783" t="n"/>
    </row>
    <row r="13" ht="29.25" customHeight="1">
      <c r="A13" s="122" t="n"/>
      <c r="B13" s="161" t="inlineStr">
        <is>
          <t>Внести поля для комментариев участников (ФИО)</t>
        </is>
      </c>
      <c r="C13" s="161" t="inlineStr">
        <is>
          <t>Блохина</t>
        </is>
      </c>
      <c r="D13" s="316" t="n">
        <v>46240</v>
      </c>
      <c r="E13" s="172" t="inlineStr">
        <is>
          <t>выполнено</t>
        </is>
      </c>
      <c r="F13" s="407" t="n"/>
      <c r="G13" s="783" t="n"/>
    </row>
    <row r="14" ht="14.25" customHeight="1">
      <c r="A14" s="448" t="n"/>
      <c r="B14" s="448" t="n"/>
      <c r="C14" s="448" t="n"/>
      <c r="D14" s="448" t="n"/>
      <c r="E14" s="9" t="n"/>
      <c r="F14" s="791" t="n"/>
      <c r="G14" s="789" t="n"/>
    </row>
    <row r="15" ht="14.25" customHeight="1">
      <c r="A15" s="134" t="n"/>
      <c r="B15" s="72" t="n"/>
      <c r="C15" s="88" t="n"/>
      <c r="D15" s="302" t="n"/>
      <c r="E15" s="77" t="n"/>
      <c r="F15" s="792" t="n"/>
      <c r="G15" s="789" t="n"/>
    </row>
    <row r="16" ht="14.25" customHeight="1">
      <c r="A16" s="41" t="n"/>
      <c r="B16" s="57" t="n"/>
      <c r="C16" s="89" t="n"/>
      <c r="D16" s="9" t="n"/>
      <c r="E16" s="67" t="n"/>
      <c r="F16" s="791" t="n"/>
      <c r="G16" s="789" t="n"/>
    </row>
    <row r="17" ht="14.25" customHeight="1">
      <c r="A17" s="71" t="n"/>
      <c r="B17" s="72" t="n"/>
      <c r="C17" s="88" t="n"/>
      <c r="D17" s="73" t="n"/>
      <c r="E17" s="77" t="n"/>
      <c r="F17" s="792" t="n"/>
      <c r="G17" s="789" t="n"/>
    </row>
    <row r="18" ht="14.25" customHeight="1">
      <c r="A18" s="41" t="n"/>
      <c r="B18" s="57" t="n"/>
      <c r="C18" s="89" t="n"/>
      <c r="D18" s="15" t="n"/>
      <c r="E18" s="9" t="n"/>
      <c r="F18" s="791" t="n"/>
      <c r="G18" s="789" t="n"/>
    </row>
    <row r="19" ht="14.25" customHeight="1">
      <c r="A19" s="2" t="n"/>
      <c r="B19" s="2" t="n"/>
      <c r="C19" s="2" t="n"/>
      <c r="D19" s="2" t="n"/>
      <c r="E19" s="2" t="n"/>
      <c r="F19" s="2" t="n"/>
      <c r="G19" s="2" t="n"/>
    </row>
    <row r="20" ht="16.95" customHeight="1">
      <c r="A20" s="787" t="inlineStr">
        <is>
          <t>2. Решения текущей встречи:</t>
        </is>
      </c>
      <c r="B20" s="788" t="n"/>
      <c r="C20" s="788" t="n"/>
      <c r="D20" s="788" t="n"/>
      <c r="E20" s="788" t="n"/>
      <c r="F20" s="788" t="n"/>
      <c r="G20" s="789" t="n"/>
    </row>
    <row r="21" ht="14.25" customHeight="1">
      <c r="A21" s="109" t="inlineStr">
        <is>
          <t>№</t>
        </is>
      </c>
      <c r="B21" s="40" t="inlineStr">
        <is>
          <t>Задача</t>
        </is>
      </c>
      <c r="C21" s="40" t="inlineStr">
        <is>
          <t>Лидер</t>
        </is>
      </c>
      <c r="D21" s="40" t="inlineStr">
        <is>
          <t>Срок</t>
        </is>
      </c>
      <c r="E21" s="40" t="inlineStr">
        <is>
          <t>Статус*</t>
        </is>
      </c>
      <c r="F21" s="183" t="inlineStr">
        <is>
          <t>Комментарии. Выводы</t>
        </is>
      </c>
      <c r="G21" s="793" t="n"/>
    </row>
    <row r="22" ht="42.75" customHeight="1">
      <c r="A22" s="155" t="n"/>
      <c r="B22" s="307" t="inlineStr">
        <is>
          <t xml:space="preserve">Созвон с Настей К по поводу заявок-напоминаний , которые получаем в рассылке </t>
        </is>
      </c>
      <c r="C22" s="415" t="inlineStr">
        <is>
          <t xml:space="preserve">Савинская </t>
        </is>
      </c>
      <c r="D22" s="415" t="inlineStr">
        <is>
          <t>до 14.08</t>
        </is>
      </c>
      <c r="E22" s="159" t="inlineStr">
        <is>
          <t xml:space="preserve">в работе </t>
        </is>
      </c>
      <c r="F22" s="639" t="n"/>
      <c r="G22" s="783" t="n"/>
    </row>
    <row r="23" ht="42.75" customHeight="1">
      <c r="A23" s="349" t="n">
        <v>1</v>
      </c>
      <c r="B23" s="384" t="inlineStr">
        <is>
          <t xml:space="preserve">Обсудить с Машей Д по клиентам, которые могут сопровождаться у др.партнеров, но попали к нам на ЛК ( могут не иметь договора) </t>
        </is>
      </c>
      <c r="C23" s="384" t="inlineStr">
        <is>
          <t xml:space="preserve">Корнева </t>
        </is>
      </c>
      <c r="D23" s="384" t="inlineStr">
        <is>
          <t>до 14.08</t>
        </is>
      </c>
      <c r="E23" s="164" t="inlineStr">
        <is>
          <t xml:space="preserve">выполнено </t>
        </is>
      </c>
      <c r="F23" s="409" t="inlineStr">
        <is>
          <t xml:space="preserve">Корнева А. 13.08 : Поговорила  с ЦСВ. Клиентов распределяет Юля Ситникова. В августе таких клиентов не было, все клиенты , что пришли уже были с оформленным сервисом. На будущее решили так: если клиент действующий , то передача менеджеру ЦКС, если клиент без договора то в ЦП. </t>
        </is>
      </c>
      <c r="G23" s="783" t="n"/>
    </row>
    <row r="24" ht="56.25" customHeight="1">
      <c r="A24" s="350" t="n">
        <v>2</v>
      </c>
      <c r="B24" s="165" t="inlineStr">
        <is>
          <t>Подумать о Предложении К. Дербеневой определить общую цель по ЭПД (Штуки либо деньги, доля наших клиентов, которые попадают под изменения)</t>
        </is>
      </c>
      <c r="C24" s="165" t="inlineStr">
        <is>
          <t>все участники</t>
        </is>
      </c>
      <c r="D24" s="314" t="inlineStr">
        <is>
          <t xml:space="preserve">до 20.08 </t>
        </is>
      </c>
      <c r="E24" s="159" t="inlineStr">
        <is>
          <t xml:space="preserve">в работе </t>
        </is>
      </c>
      <c r="F24" s="405" t="inlineStr">
        <is>
          <t>учесть требования вендора, 20.08 обсуждаем ОС</t>
        </is>
      </c>
      <c r="G24" s="783" t="n"/>
    </row>
    <row r="25" ht="29.25" customHeight="1">
      <c r="A25" s="349" t="n">
        <v>3</v>
      </c>
      <c r="B25" s="161" t="inlineStr">
        <is>
          <t xml:space="preserve">Собрать ОС от МПП по поводу сервиса ЭПД (что говорят клиенты) для встречи с Калугой </t>
        </is>
      </c>
      <c r="C25" s="161" t="inlineStr">
        <is>
          <t>Дербенева/Корнева</t>
        </is>
      </c>
      <c r="D25" s="317" t="inlineStr">
        <is>
          <t>до 18.08</t>
        </is>
      </c>
      <c r="E25" s="164" t="inlineStr">
        <is>
          <t xml:space="preserve">в работе </t>
        </is>
      </c>
      <c r="F25" s="409" t="n"/>
      <c r="G25" s="783" t="n"/>
    </row>
    <row r="26" ht="26.1" customHeight="1">
      <c r="A26" s="351" t="n">
        <v>4</v>
      </c>
      <c r="B26" s="396" t="inlineStr">
        <is>
          <t>Собрать статистику по обработке базы от Калуга</t>
        </is>
      </c>
      <c r="C26" s="396" t="inlineStr">
        <is>
          <t xml:space="preserve">Савинская </t>
        </is>
      </c>
      <c r="D26" s="397" t="inlineStr">
        <is>
          <t>до 17.08</t>
        </is>
      </c>
      <c r="E26" s="675" t="inlineStr">
        <is>
          <t xml:space="preserve">в работе </t>
        </is>
      </c>
      <c r="F26" s="420" t="n"/>
      <c r="G26" s="783" t="n"/>
    </row>
    <row r="27" ht="27.9" customHeight="1">
      <c r="A27" s="352" t="n">
        <v>5</v>
      </c>
      <c r="B27" s="161" t="inlineStr">
        <is>
          <t>Обсудить по поводу акции ЭПД до 31.08 или продлеваем?</t>
        </is>
      </c>
      <c r="C27" s="161" t="inlineStr">
        <is>
          <t xml:space="preserve">все участники </t>
        </is>
      </c>
      <c r="D27" s="316" t="inlineStr">
        <is>
          <t>до 20.08</t>
        </is>
      </c>
      <c r="E27" s="172" t="inlineStr">
        <is>
          <t xml:space="preserve">в работе </t>
        </is>
      </c>
      <c r="F27" s="407" t="n"/>
      <c r="G27" s="783" t="n"/>
    </row>
    <row r="28" ht="15.75" customHeight="1">
      <c r="A28" s="351" t="n">
        <v>6</v>
      </c>
      <c r="B28" s="396" t="inlineStr">
        <is>
          <t xml:space="preserve">Включить таблицу по РК ЭПД в протокол </t>
        </is>
      </c>
      <c r="C28" s="396" t="inlineStr">
        <is>
          <t xml:space="preserve">Блохина </t>
        </is>
      </c>
      <c r="D28" s="401" t="inlineStr">
        <is>
          <t xml:space="preserve">до 14.08 </t>
        </is>
      </c>
      <c r="E28" s="675" t="inlineStr">
        <is>
          <t xml:space="preserve">в работе </t>
        </is>
      </c>
      <c r="F28" s="408" t="n"/>
      <c r="G28" s="783" t="n"/>
    </row>
    <row r="29" ht="14.25" customHeight="1">
      <c r="A29" s="352" t="n"/>
      <c r="B29" s="161" t="n"/>
      <c r="C29" s="161" t="n"/>
      <c r="D29" s="162" t="n"/>
      <c r="E29" s="172" t="n"/>
      <c r="F29" s="409" t="n"/>
      <c r="G29" s="783" t="n"/>
    </row>
    <row r="30" ht="14.25" customHeight="1">
      <c r="A30" s="351" t="n"/>
      <c r="B30" s="396" t="n"/>
      <c r="C30" s="396" t="n"/>
      <c r="D30" s="401" t="n"/>
      <c r="E30" s="675" t="n"/>
      <c r="F30" s="408" t="n"/>
      <c r="G30" s="783" t="n"/>
    </row>
    <row r="31">
      <c r="A31" s="794" t="inlineStr">
        <is>
          <t>3. Обсуждаемые темы и выводы:</t>
        </is>
      </c>
      <c r="G31" s="795" t="n"/>
    </row>
    <row r="32" ht="13.5" customHeight="1">
      <c r="A32" s="299" t="inlineStr">
        <is>
          <t>Обсуждаемая тема (проблема)</t>
        </is>
      </c>
      <c r="B32" s="782" t="n"/>
      <c r="C32" s="783" t="n"/>
      <c r="D32" s="299" t="inlineStr">
        <is>
          <t>Выводы и решения</t>
        </is>
      </c>
      <c r="E32" s="782" t="n"/>
      <c r="F32" s="782" t="n"/>
      <c r="G32" s="783" t="n"/>
    </row>
    <row r="33" ht="32.25" customHeight="1">
      <c r="A33" s="308" t="n"/>
      <c r="B33" s="782" t="n"/>
      <c r="C33" s="783" t="n"/>
      <c r="D33" s="308" t="n"/>
      <c r="E33" s="782" t="n"/>
      <c r="F33" s="782" t="n"/>
      <c r="G33" s="783" t="n"/>
    </row>
    <row r="34" ht="30.75" customHeight="1">
      <c r="A34" s="308" t="n"/>
      <c r="B34" s="782" t="n"/>
      <c r="C34" s="783" t="n"/>
      <c r="D34" s="308" t="n"/>
      <c r="E34" s="782" t="n"/>
      <c r="F34" s="782" t="n"/>
      <c r="G34" s="783" t="n"/>
    </row>
    <row r="35" ht="38.7" customHeight="1">
      <c r="A35" s="308" t="n"/>
      <c r="B35" s="782" t="n"/>
      <c r="C35" s="783" t="n"/>
      <c r="D35" s="308" t="n"/>
      <c r="E35" s="782" t="n"/>
      <c r="F35" s="782" t="n"/>
      <c r="G35" s="783" t="n"/>
    </row>
    <row r="36" ht="27.9" customHeight="1">
      <c r="A36" s="308" t="n"/>
      <c r="B36" s="782" t="n"/>
      <c r="C36" s="783" t="n"/>
      <c r="D36" s="418" t="n"/>
      <c r="E36" s="782" t="n"/>
      <c r="F36" s="782" t="n"/>
      <c r="G36" s="783" t="n"/>
    </row>
    <row r="37" ht="28.75" customHeight="1">
      <c r="A37" s="308" t="n"/>
      <c r="B37" s="782" t="n"/>
      <c r="C37" s="783" t="n"/>
      <c r="D37" s="289" t="n"/>
      <c r="E37" s="782" t="n"/>
      <c r="F37" s="782" t="n"/>
      <c r="G37" s="783" t="n"/>
    </row>
    <row r="38" ht="25.65" customHeight="1">
      <c r="A38" s="289" t="n"/>
      <c r="B38" s="782" t="n"/>
      <c r="C38" s="783" t="n"/>
      <c r="D38" s="289" t="n"/>
      <c r="E38" s="782" t="n"/>
      <c r="F38" s="782" t="n"/>
      <c r="G38" s="783" t="n"/>
    </row>
    <row r="39" ht="25.45" customHeight="1">
      <c r="A39" s="410" t="n"/>
      <c r="B39" s="782" t="n"/>
      <c r="C39" s="783" t="n"/>
      <c r="D39" s="411" t="n"/>
      <c r="E39" s="782" t="n"/>
      <c r="F39" s="782" t="n"/>
      <c r="G39" s="783" t="n"/>
    </row>
    <row r="40" ht="27.05" customHeight="1">
      <c r="A40" s="410" t="n"/>
      <c r="B40" s="782" t="n"/>
      <c r="C40" s="783" t="n"/>
      <c r="D40" s="411" t="n"/>
      <c r="E40" s="782" t="n"/>
      <c r="F40" s="782" t="n"/>
      <c r="G40" s="783" t="n"/>
    </row>
    <row r="41" ht="21.45" customHeight="1">
      <c r="A41" s="410" t="n"/>
      <c r="B41" s="782" t="n"/>
      <c r="C41" s="783" t="n"/>
      <c r="D41" s="411" t="n"/>
      <c r="E41" s="782" t="n"/>
      <c r="F41" s="782" t="n"/>
      <c r="G41" s="783" t="n"/>
    </row>
    <row r="42">
      <c r="A42" s="281" t="n"/>
      <c r="B42" s="281" t="n"/>
      <c r="C42" s="281" t="n"/>
    </row>
  </sheetData>
  <mergeCells count="46">
    <mergeCell ref="A41:C41"/>
    <mergeCell ref="F11:G11"/>
    <mergeCell ref="F29:G29"/>
    <mergeCell ref="F16:G16"/>
    <mergeCell ref="D39:G39"/>
    <mergeCell ref="A37:C37"/>
    <mergeCell ref="F10:G10"/>
    <mergeCell ref="F25:G25"/>
    <mergeCell ref="A20:G20"/>
    <mergeCell ref="D33:G33"/>
    <mergeCell ref="D38:G38"/>
    <mergeCell ref="F21:G21"/>
    <mergeCell ref="A33:C33"/>
    <mergeCell ref="F24:G24"/>
    <mergeCell ref="F30:G30"/>
    <mergeCell ref="F12:G12"/>
    <mergeCell ref="F15:G15"/>
    <mergeCell ref="D35:G35"/>
    <mergeCell ref="A32:C32"/>
    <mergeCell ref="A31:G31"/>
    <mergeCell ref="F18:G18"/>
    <mergeCell ref="D34:G34"/>
    <mergeCell ref="A35:C35"/>
    <mergeCell ref="F26:G26"/>
    <mergeCell ref="F17:G17"/>
    <mergeCell ref="A38:C38"/>
    <mergeCell ref="F8:G8"/>
    <mergeCell ref="D40:G40"/>
    <mergeCell ref="A1:G1"/>
    <mergeCell ref="D36:G36"/>
    <mergeCell ref="A6:G6"/>
    <mergeCell ref="F23:G23"/>
    <mergeCell ref="A40:C40"/>
    <mergeCell ref="F22:G22"/>
    <mergeCell ref="F28:G28"/>
    <mergeCell ref="A39:C39"/>
    <mergeCell ref="A34:C34"/>
    <mergeCell ref="F13:G13"/>
    <mergeCell ref="F27:G27"/>
    <mergeCell ref="F9:G9"/>
    <mergeCell ref="D32:G32"/>
    <mergeCell ref="D41:G41"/>
    <mergeCell ref="A36:C36"/>
    <mergeCell ref="A3:G3"/>
    <mergeCell ref="F14:G14"/>
    <mergeCell ref="D37:G3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tabSelected="0" workbookViewId="0">
      <selection activeCell="A1" sqref="A1"/>
    </sheetView>
  </sheetViews>
  <sheetFormatPr baseColWidth="13" defaultColWidth="13.4" defaultRowHeight="14.25" customHeight="1"/>
  <cols>
    <col width="28.594" customWidth="1" min="1" max="1"/>
    <col width="49.902" customWidth="1" min="2" max="2"/>
    <col width="35.613" customWidth="1" min="3" max="3"/>
    <col width="39.254" customWidth="1" min="4" max="4"/>
    <col width="24.141" customWidth="1" min="5" max="5"/>
    <col width="29.543" customWidth="1" min="6" max="6"/>
    <col width="34.801" customWidth="1" min="7" max="7"/>
  </cols>
  <sheetData>
    <row r="1" ht="24.75" customHeight="1">
      <c r="A1" s="779" t="inlineStr">
        <is>
          <t>ВСТРЕЧА ЦП-ЦКС-ЦСВ-СМАК</t>
        </is>
      </c>
      <c r="B1" s="780" t="n"/>
      <c r="C1" s="780" t="n"/>
      <c r="D1" s="780" t="n"/>
      <c r="E1" s="780" t="n"/>
      <c r="F1" s="780" t="n"/>
      <c r="G1" s="781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787" t="inlineStr">
        <is>
          <t>1. Мониторинг предыдущих решений:</t>
        </is>
      </c>
      <c r="B3" s="788" t="n"/>
      <c r="C3" s="788" t="n"/>
      <c r="D3" s="788" t="n"/>
      <c r="E3" s="788" t="n"/>
      <c r="F3" s="788" t="n"/>
      <c r="G3" s="789" t="n"/>
    </row>
    <row r="4">
      <c r="A4" s="4" t="inlineStr">
        <is>
          <t>№</t>
        </is>
      </c>
      <c r="B4" s="40" t="inlineStr">
        <is>
          <t>Задача</t>
        </is>
      </c>
      <c r="C4" s="5" t="inlineStr">
        <is>
          <t>Лидер</t>
        </is>
      </c>
      <c r="D4" s="5" t="inlineStr">
        <is>
          <t>Срок</t>
        </is>
      </c>
      <c r="E4" s="5" t="inlineStr">
        <is>
          <t>Статус*</t>
        </is>
      </c>
      <c r="F4" s="40" t="inlineStr">
        <is>
          <t>Комментарии. Выводы</t>
        </is>
      </c>
      <c r="G4" s="78" t="n"/>
    </row>
    <row r="5">
      <c r="A5" s="41" t="n"/>
      <c r="B5" s="42" t="n"/>
      <c r="C5" s="66" t="n"/>
      <c r="D5" s="15" t="n"/>
      <c r="E5" s="79" t="n"/>
      <c r="F5" s="84" t="n"/>
      <c r="G5" s="783" t="n"/>
    </row>
    <row r="6">
      <c r="A6" s="71" t="n"/>
      <c r="B6" s="72" t="n"/>
      <c r="C6" s="88" t="n"/>
      <c r="D6" s="73" t="n"/>
      <c r="E6" s="81" t="n"/>
      <c r="F6" s="86" t="n"/>
      <c r="G6" s="783" t="n"/>
    </row>
    <row r="7">
      <c r="A7" s="41" t="n"/>
      <c r="B7" s="57" t="n"/>
      <c r="C7" s="89" t="n"/>
      <c r="D7" s="15" t="n"/>
      <c r="E7" s="83" t="n"/>
      <c r="F7" s="84" t="n"/>
      <c r="G7" s="783" t="n"/>
    </row>
    <row r="8">
      <c r="A8" s="71" t="n"/>
      <c r="B8" s="72" t="n"/>
      <c r="C8" s="88" t="n"/>
      <c r="D8" s="73" t="n"/>
      <c r="E8" s="81" t="n"/>
      <c r="F8" s="86" t="n"/>
      <c r="G8" s="783" t="n"/>
    </row>
    <row r="9" ht="14.25" customHeight="1">
      <c r="A9" s="41" t="n"/>
      <c r="B9" s="57" t="n"/>
      <c r="C9" s="89" t="n"/>
      <c r="D9" s="15" t="n"/>
      <c r="E9" s="79" t="n"/>
      <c r="F9" s="84" t="n"/>
      <c r="G9" s="783" t="n"/>
    </row>
    <row r="10">
      <c r="A10" s="71" t="n"/>
      <c r="B10" s="72" t="n"/>
      <c r="C10" s="88" t="n"/>
      <c r="D10" s="73" t="n"/>
      <c r="E10" s="33" t="n"/>
      <c r="F10" s="792" t="n"/>
      <c r="G10" s="789" t="n"/>
    </row>
    <row r="11" ht="14.25" customHeight="1">
      <c r="A11" s="41" t="n"/>
      <c r="B11" s="57" t="n"/>
      <c r="C11" s="89" t="n"/>
      <c r="D11" s="15" t="n"/>
      <c r="E11" s="9" t="n"/>
      <c r="F11" s="791" t="n"/>
      <c r="G11" s="789" t="n"/>
    </row>
    <row r="12" ht="14.25" customHeight="1">
      <c r="A12" s="71" t="n"/>
      <c r="B12" s="72" t="n"/>
      <c r="C12" s="88" t="n"/>
      <c r="D12" s="73" t="n"/>
      <c r="E12" s="77" t="n"/>
      <c r="F12" s="792" t="n"/>
      <c r="G12" s="789" t="n"/>
    </row>
    <row r="13" ht="14.25" customHeight="1">
      <c r="A13" s="41" t="n"/>
      <c r="B13" s="57" t="n"/>
      <c r="C13" s="89" t="n"/>
      <c r="D13" s="9" t="n"/>
      <c r="E13" s="67" t="n"/>
      <c r="F13" s="791" t="n"/>
      <c r="G13" s="789" t="n"/>
    </row>
    <row r="14" ht="14.25" customHeight="1">
      <c r="A14" s="71" t="n"/>
      <c r="B14" s="72" t="n"/>
      <c r="C14" s="88" t="n"/>
      <c r="D14" s="73" t="n"/>
      <c r="E14" s="77" t="n"/>
      <c r="F14" s="792" t="n"/>
      <c r="G14" s="789" t="n"/>
    </row>
    <row r="15" ht="14.25" customHeight="1">
      <c r="A15" s="41" t="n"/>
      <c r="B15" s="57" t="n"/>
      <c r="C15" s="89" t="n"/>
      <c r="D15" s="15" t="n"/>
      <c r="E15" s="9" t="n"/>
      <c r="F15" s="791" t="n"/>
      <c r="G15" s="789" t="n"/>
    </row>
    <row r="16" ht="14.25" customHeight="1">
      <c r="A16" s="2" t="n"/>
      <c r="B16" s="2" t="n"/>
      <c r="C16" s="2" t="n"/>
      <c r="D16" s="2" t="n"/>
      <c r="E16" s="2" t="n"/>
      <c r="F16" s="2" t="n"/>
      <c r="G16" s="2" t="n"/>
    </row>
    <row r="17" ht="14.25" customHeight="1">
      <c r="A17" s="787" t="inlineStr">
        <is>
          <t>2. Решения текущей встречи:</t>
        </is>
      </c>
      <c r="B17" s="788" t="n"/>
      <c r="C17" s="788" t="n"/>
      <c r="D17" s="788" t="n"/>
      <c r="E17" s="788" t="n"/>
      <c r="F17" s="788" t="n"/>
      <c r="G17" s="789" t="n"/>
    </row>
    <row r="18" ht="14.25" customHeight="1">
      <c r="A18" s="109" t="inlineStr">
        <is>
          <t>№</t>
        </is>
      </c>
      <c r="B18" s="40" t="inlineStr">
        <is>
          <t>Задача</t>
        </is>
      </c>
      <c r="C18" s="40" t="inlineStr">
        <is>
          <t>Лидер</t>
        </is>
      </c>
      <c r="D18" s="40" t="inlineStr">
        <is>
          <t>Срок</t>
        </is>
      </c>
      <c r="E18" s="40" t="inlineStr">
        <is>
          <t>Статус*</t>
        </is>
      </c>
      <c r="F18" s="40" t="inlineStr">
        <is>
          <t>Комментарии. Выводы</t>
        </is>
      </c>
      <c r="G18" s="78" t="n"/>
    </row>
    <row r="19" ht="15.75" customHeight="1">
      <c r="A19" s="155" t="n"/>
      <c r="B19" s="156" t="inlineStr">
        <is>
          <t>Задача</t>
        </is>
      </c>
      <c r="C19" s="157" t="inlineStr">
        <is>
          <t>Ответственный</t>
        </is>
      </c>
      <c r="D19" s="157" t="inlineStr">
        <is>
          <t>Срок</t>
        </is>
      </c>
      <c r="E19" s="159" t="n"/>
      <c r="F19" s="159" t="n"/>
      <c r="G19" s="159" t="n"/>
    </row>
    <row r="20" ht="42.75" customHeight="1">
      <c r="A20" s="160" t="n"/>
      <c r="B20" s="161" t="inlineStr">
        <is>
          <t>Подготовить и провести стратегическую сессию по направлению ЭПД (очный формат) – определить цель, планы, ресурсы, бюджет.</t>
        </is>
      </c>
      <c r="C20" s="161" t="inlineStr">
        <is>
          <t>Александра (Саша Дворяк) – организация и фасилитация</t>
        </is>
      </c>
      <c r="D20" s="162" t="inlineStr">
        <is>
          <t>провести до 15.08.2026 (дату уточнить)</t>
        </is>
      </c>
      <c r="E20" s="164" t="n"/>
      <c r="F20" s="164" t="n"/>
      <c r="G20" s="164" t="n"/>
    </row>
    <row r="21" ht="69.75" customHeight="1">
      <c r="A21" s="155" t="n"/>
      <c r="B21" s="165" t="inlineStr">
        <is>
          <t>Собрать обновлённые конверсии по обработке лидов (за последний месяц) – отдельно для группы Лизы и группы Жени, чтобы использовать для финмодели и стратегии.</t>
        </is>
      </c>
      <c r="C21" s="165" t="inlineStr">
        <is>
          <t>Лиза + Женя (встретиться и подготовить сводку)</t>
        </is>
      </c>
      <c r="D21" s="156" t="inlineStr">
        <is>
          <t>до следующей еженедельной встречи (в четверг, 31.07)</t>
        </is>
      </c>
      <c r="E21" s="159" t="n"/>
      <c r="F21" s="159" t="n"/>
      <c r="G21" s="159" t="n"/>
    </row>
    <row r="22" ht="83.25" customHeight="1">
      <c r="A22" s="160" t="n"/>
      <c r="B22" s="161" t="inlineStr">
        <is>
          <t>Построить финансовую модель направления ЭПД – с учётом доходов (титулы, услуги, продления), затрат (реклама, зарплаты, производство), прогнозов по конверсиям и сценариев (с учётом возможного переноса штрафов).</t>
        </is>
      </c>
      <c r="C22" s="161" t="n"/>
      <c r="D22" s="166" t="inlineStr">
        <is>
          <t>после стратег‑сессии (ориентир – к 15.08)</t>
        </is>
      </c>
      <c r="E22" s="164" t="n"/>
      <c r="F22" s="164" t="n"/>
      <c r="G22" s="164" t="n"/>
    </row>
    <row r="23" ht="42.75" customHeight="1">
      <c r="A23" s="167" t="n"/>
      <c r="B23" s="168" t="inlineStr">
        <is>
          <t>Проработать базу партнёров (клиенты, купившие УАД у партнёров) – составить список и предложить им переход на ЭПД.</t>
        </is>
      </c>
      <c r="C23" s="168" t="inlineStr">
        <is>
          <t>Оксана + Саша (по партнёрским контактам)</t>
        </is>
      </c>
      <c r="D23" s="169" t="inlineStr">
        <is>
          <t>подготовить список к 31.07, план обработки – обсудить на стратег‑сессии</t>
        </is>
      </c>
      <c r="E23" s="170" t="n"/>
      <c r="F23" s="170" t="n"/>
      <c r="G23" s="170" t="n"/>
    </row>
    <row r="24" ht="56.25" customHeight="1">
      <c r="A24" s="171" t="n"/>
      <c r="B24" s="161" t="inlineStr">
        <is>
          <t>Наладить оперативный обмен данными по лидам между группами Лизы и Жени (единая таблица в облаке, регулярное обновление статусов).</t>
        </is>
      </c>
      <c r="C24" s="161" t="inlineStr">
        <is>
          <t>Лиза + Женя</t>
        </is>
      </c>
      <c r="D24" s="166" t="inlineStr">
        <is>
          <t>внедрить до 03.08</t>
        </is>
      </c>
      <c r="E24" s="172" t="n"/>
      <c r="F24" s="172" t="n"/>
      <c r="G24" s="172" t="n"/>
    </row>
    <row r="25" ht="56.25" customHeight="1">
      <c r="A25" s="167" t="n"/>
      <c r="B25" s="168" t="inlineStr">
        <is>
          <t>Скорректировать оферы и таргетинг в рекламных кампаниях – чтобы привлекать не только бухгалтеров, но и предпринимателей / руководителей.</t>
        </is>
      </c>
      <c r="C25" s="168" t="n"/>
      <c r="D25" s="169" t="n"/>
      <c r="E25" s="170" t="n"/>
      <c r="F25" s="170" t="n"/>
      <c r="G25" s="170" t="n"/>
    </row>
    <row r="26" ht="42.75" customHeight="1">
      <c r="A26" s="171" t="n"/>
      <c r="B26" s="161" t="inlineStr">
        <is>
          <t>Ежемесячно предоставлять отчёт по ДДС направления (общая выручка по ЭПД с разбивкой по типам продаж).</t>
        </is>
      </c>
      <c r="C26" s="161" t="inlineStr">
        <is>
          <t>Оксана</t>
        </is>
      </c>
      <c r="D26" s="162" t="inlineStr">
        <is>
          <t>ежемесячно, до 5‑го числа (следующий – за июль – до 05.08)</t>
        </is>
      </c>
      <c r="E26" s="172" t="n"/>
      <c r="F26" s="172" t="n"/>
      <c r="G26" s="172" t="n"/>
    </row>
    <row r="27" ht="29.25" customHeight="1">
      <c r="A27" s="167" t="n"/>
      <c r="B27" s="168" t="inlineStr">
        <is>
          <t>Подготовить протокол текущей встречи и разослать всем участникам.</t>
        </is>
      </c>
      <c r="C27" s="168" t="inlineStr">
        <is>
          <t>Лиза</t>
        </is>
      </c>
      <c r="D27" s="173" t="n">
        <v>46227</v>
      </c>
      <c r="E27" s="170" t="n"/>
      <c r="F27" s="170" t="n"/>
      <c r="G27" s="170" t="n"/>
    </row>
    <row r="28">
      <c r="A28" s="796" t="inlineStr">
        <is>
          <t>3. Обсуждаемые темы и выводы:</t>
        </is>
      </c>
      <c r="B28" s="797" t="n"/>
      <c r="C28" s="797" t="n"/>
      <c r="D28" s="797" t="n"/>
      <c r="E28" s="797" t="n"/>
      <c r="F28" s="797" t="n"/>
      <c r="G28" s="793" t="n"/>
    </row>
    <row r="29" ht="13.5" customHeight="1">
      <c r="A29" s="299" t="inlineStr">
        <is>
          <t>Обсуждаемая тема (проблема)</t>
        </is>
      </c>
      <c r="B29" s="782" t="n"/>
      <c r="C29" s="783" t="n"/>
      <c r="D29" s="299" t="inlineStr">
        <is>
          <t>Выводы и решения</t>
        </is>
      </c>
      <c r="E29" s="782" t="n"/>
      <c r="F29" s="782" t="n"/>
      <c r="G29" s="783" t="n"/>
    </row>
    <row r="30" ht="102" customHeight="1">
      <c r="A30" s="289" t="inlineStr">
        <is>
          <t>1. Статистика по лидам с Яндекс.Директ
- Всего за июль – 32 лида (по данным Анны), стоимость лида снижена до 1 900 ₽ (было 2 500).
- Из них группа Лизы обработала 21 лид: 1 оплата, 12 в работе (основное возражение – «после отчётного периода»), 4 – брак по недозвону, 4 – неактуальны.
- Группа Жени обработала 11 лидов (переданы от Лизы), из них 11 фактические оплаты на сумму ~50 900 ₽ (данные Жени).
- Общая выручка по направлению ЭПД в июле (по данным Оксаны) – 64 000 ₽ (с учётом услуг и титулов)</t>
        </is>
      </c>
      <c r="B30" s="782" t="n"/>
      <c r="C30" s="783" t="n"/>
      <c r="D30" s="289" t="inlineStr">
        <is>
          <t>- Конверсия признана удовлетворительной, но основной тормоз – отчётный период у бухгалтеров (клиенты просят связаться после 27‑го числа).
- Отмечено, что реклама нацелена на предпринимателей, но в диалог вступают в основном бухгалтеры – требуется корректировка оферов и таргетинга (задача на маркетинг).
- Валидность лидов выше 50%, большинство сделок в работе – это позитивный сигнал.</t>
        </is>
      </c>
      <c r="E30" s="782" t="n"/>
      <c r="F30" s="782" t="n"/>
      <c r="G30" s="783" t="n"/>
    </row>
    <row r="31" ht="72" customHeight="1">
      <c r="A31" s="289" t="inlineStr">
        <is>
          <t>2. Распределение бюджета на продвижение
- Ранее согласовано 50 000 ₽ на тест, но фактически бюджет перерасходован (свободных осталось 25 000).
- Возник вопрос: делить ли бюджет между ЦП и ЦКС?</t>
        </is>
      </c>
      <c r="B31" s="782" t="n"/>
      <c r="C31" s="783" t="n"/>
      <c r="D31" s="289" t="inlineStr">
        <is>
          <t>Принято решение: не делить бюджет между подразделениями, а рассматривать его как общий котёл направления ЭПД.
- Расходы на продвижение должны покрываться из общей доходной части направления (продажи титулов, услуги, продления, апсейлы).
- Для обоснования бюджета необходимо построить финансовую модель направления с учётом всех затрат и прогноза доходов (задача на команду).</t>
        </is>
      </c>
      <c r="E31" s="782" t="n"/>
      <c r="F31" s="782" t="n"/>
      <c r="G31" s="783" t="n"/>
    </row>
    <row r="32" ht="69" customHeight="1">
      <c r="A32" s="289" t="inlineStr">
        <is>
          <t>3. Анализ текущей базы клиентов по ЭПД
Лиза представила анализ по ОКВЭДам (через «1С-Напарник»):
- Перевозчики – 132, экспедиторы – 60, грузоотправители – 220, смешанный тип – 260, чистые грузополучатели (только настройка) – 820.
- База обширна и может быть использована для целенаправленных обзвонов.</t>
        </is>
      </c>
      <c r="B32" s="782" t="n"/>
      <c r="C32" s="783" t="n"/>
      <c r="D32" s="289" t="inlineStr">
        <is>
          <t>- Данная база – бесплатный канал, который сейчас используется не в полной мере.
- Необходимо выгрузить полную таблицу с акведами и передать в ЦП и ЦКС для отработки.
- Работа с текущей базой – приоритетное направление для быстрого увеличения продаж без дополнительных затрат на рекламу.</t>
        </is>
      </c>
      <c r="E32" s="782" t="n"/>
      <c r="F32" s="782" t="n"/>
      <c r="G32" s="783" t="n"/>
    </row>
    <row r="33" ht="98.25" customHeight="1">
      <c r="A33" s="289" t="inlineStr">
        <is>
          <t>4. Стратегия захвата рынка и синхронизация
- Совет директоров ставит задачу массового захвата рынка ЭПД (передел рынка).
- Текущие усилия разрознены: маркетинг, ЦП, ЦКС, ЦСВ действуют автономно, нет единой цели и плана.
- Марк подсчитал: при текущей конверсии стоимость привлечения клиента ~7 125 ₽, а маржинальность пакета титулов ~40%, т.е. вложения в рекламу не окупаются в краткосрочной перспективе.
- Оксана отметила, что направление ЭПД пока убыточно (три сотрудника с зарплатами, большие минусы), но это инвестиции в захват рынка.</t>
        </is>
      </c>
      <c r="B33" s="782" t="n"/>
      <c r="C33" s="783" t="n"/>
      <c r="D33" s="289" t="inlineStr">
        <is>
          <t>- Единогласно признана необходимость стратегической сессии с участием всех подразделений (очный формат).
- Цель сессии:
- Определить конкретную цифровую цель по захвату рынка (например, количество клиентов, выручка, доля рынка).
- Согласовать единую карту «боевых действий» – каналы привлечения, конверсии, планы продаж, ресурсы, бюджет.
- Синхронизировать усилия маркетинга, ЦП, ЦКС и ЦСВ.
- Финансовая модель должна быть построена после определения стратегии, чтобы отражать реальные планы.</t>
        </is>
      </c>
      <c r="E33" s="782" t="n"/>
      <c r="F33" s="782" t="n"/>
      <c r="G33" s="783" t="n"/>
    </row>
    <row r="34" ht="48.75" customHeight="1">
      <c r="A34" s="289" t="inlineStr">
        <is>
          <t>5. Работа с партнёрами (идея Оксаны)
Оксана предложила активно «отъедать» клиентов у партнёров, особенно тех, кто не занимается ЭПД (например, партнёры, продающие УАД).</t>
        </is>
      </c>
      <c r="B34" s="782" t="n"/>
      <c r="C34" s="783" t="n"/>
      <c r="D34" s="289" t="inlineStr">
        <is>
          <t>Взять в проработку:
- Выявить партнёров, чьи клиенты уже купили УАД, и предложить им переход на ЭПД.
- Эта работа требует отдельного плана и ресурсов – обсудить на стратег‑сессии.</t>
        </is>
      </c>
      <c r="E34" s="782" t="n"/>
      <c r="F34" s="782" t="n"/>
      <c r="G34" s="783" t="n"/>
    </row>
    <row r="35" ht="47.25" customHeight="1">
      <c r="A35" s="289" t="inlineStr">
        <is>
          <t>6. Необходимость быстрой обратной связи по лидам
Анна отметила, что данные по лидам и сделкам поступают с задержкой, что мешает оперативной корректировке рекламы.</t>
        </is>
      </c>
      <c r="B35" s="782" t="n"/>
      <c r="C35" s="783" t="n"/>
      <c r="D35" s="289" t="inlineStr">
        <is>
          <t>Договорились:
- Лиза и Женя предоставляют еженедельную (или ежедневную в пиковые периоды) сводку по статусам лидов и оплатам.
- Оксана ежемесячно кидает данные по ДДС направления (общая выручка).</t>
        </is>
      </c>
      <c r="E35" s="782" t="n"/>
      <c r="F35" s="782" t="n"/>
      <c r="G35" s="783" t="n"/>
    </row>
    <row r="36" ht="14.25" customHeight="1">
      <c r="A36" s="235" t="n"/>
      <c r="D36" s="242" t="n"/>
    </row>
    <row r="37">
      <c r="A37" s="235" t="n"/>
      <c r="D37" s="242" t="n"/>
    </row>
    <row r="38">
      <c r="A38" s="235" t="n"/>
      <c r="D38" s="242" t="n"/>
    </row>
    <row r="39">
      <c r="A39" s="281" t="n"/>
      <c r="B39" s="281" t="n"/>
      <c r="C39" s="281" t="n"/>
    </row>
  </sheetData>
  <mergeCells count="35">
    <mergeCell ref="F11:G11"/>
    <mergeCell ref="A17:G17"/>
    <mergeCell ref="A37:C37"/>
    <mergeCell ref="F10:G10"/>
    <mergeCell ref="D30:G30"/>
    <mergeCell ref="F6:G6"/>
    <mergeCell ref="D33:G33"/>
    <mergeCell ref="D29:G29"/>
    <mergeCell ref="D38:G38"/>
    <mergeCell ref="A28:G28"/>
    <mergeCell ref="F7:G7"/>
    <mergeCell ref="F12:G12"/>
    <mergeCell ref="A33:C33"/>
    <mergeCell ref="F15:G15"/>
    <mergeCell ref="D35:G35"/>
    <mergeCell ref="A32:C32"/>
    <mergeCell ref="F5:G5"/>
    <mergeCell ref="D34:G34"/>
    <mergeCell ref="A29:C29"/>
    <mergeCell ref="A35:C35"/>
    <mergeCell ref="A38:C38"/>
    <mergeCell ref="F8:G8"/>
    <mergeCell ref="D31:G31"/>
    <mergeCell ref="A1:G1"/>
    <mergeCell ref="D36:G36"/>
    <mergeCell ref="A31:C31"/>
    <mergeCell ref="A30:C30"/>
    <mergeCell ref="F13:G13"/>
    <mergeCell ref="A34:C34"/>
    <mergeCell ref="F9:G9"/>
    <mergeCell ref="D32:G32"/>
    <mergeCell ref="A36:C36"/>
    <mergeCell ref="A3:G3"/>
    <mergeCell ref="F14:G14"/>
    <mergeCell ref="D37:G3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9.254" customWidth="1" min="4" max="4"/>
    <col width="24.141" customWidth="1" min="5" max="5"/>
    <col width="29.543" customWidth="1" min="6" max="6"/>
    <col width="34.801" customWidth="1" min="7" max="7"/>
  </cols>
  <sheetData>
    <row r="1" ht="24.75" customHeight="1">
      <c r="A1" s="779" t="n"/>
      <c r="B1" s="780" t="n"/>
      <c r="C1" s="780" t="n"/>
      <c r="D1" s="780" t="n"/>
      <c r="E1" s="780" t="n"/>
      <c r="F1" s="780" t="n"/>
      <c r="G1" s="781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787" t="inlineStr">
        <is>
          <t>1. Мониторинг предыдущих решений:</t>
        </is>
      </c>
      <c r="B3" s="788" t="n"/>
      <c r="C3" s="788" t="n"/>
      <c r="D3" s="788" t="n"/>
      <c r="E3" s="788" t="n"/>
      <c r="F3" s="788" t="n"/>
      <c r="G3" s="789" t="n"/>
    </row>
    <row r="4">
      <c r="A4" s="4" t="inlineStr">
        <is>
          <t>№</t>
        </is>
      </c>
      <c r="B4" s="40" t="inlineStr">
        <is>
          <t>Задача</t>
        </is>
      </c>
      <c r="C4" s="5" t="inlineStr">
        <is>
          <t>Лидер</t>
        </is>
      </c>
      <c r="D4" s="5" t="inlineStr">
        <is>
          <t>Срок</t>
        </is>
      </c>
      <c r="E4" s="5" t="inlineStr">
        <is>
          <t>Статус*</t>
        </is>
      </c>
      <c r="F4" s="40" t="inlineStr">
        <is>
          <t>Комментарии. Выводы</t>
        </is>
      </c>
      <c r="G4" s="78" t="n"/>
    </row>
    <row r="5" ht="27" customHeight="1">
      <c r="A5" s="41" t="n"/>
      <c r="B5" s="355" t="inlineStr">
        <is>
          <t>Создать "базу знаний" по вопросам с лектория</t>
        </is>
      </c>
      <c r="C5" s="355" t="inlineStr">
        <is>
          <t>Антон</t>
        </is>
      </c>
      <c r="D5" s="354" t="n">
        <v>46237</v>
      </c>
      <c r="E5" s="355" t="inlineStr">
        <is>
          <t xml:space="preserve">в работе </t>
        </is>
      </c>
      <c r="F5" s="798" t="inlineStr">
        <is>
          <t>уточнить по поводу внесены ли вопросы МПП для создания базы знаний</t>
        </is>
      </c>
      <c r="G5" s="781" t="n"/>
    </row>
    <row r="6" ht="23.25" customHeight="1">
      <c r="A6" s="71" t="n"/>
      <c r="B6" s="357" t="inlineStr">
        <is>
          <t>Узнать у 1С - сколько у них стоит реклама</t>
        </is>
      </c>
      <c r="C6" s="357" t="inlineStr">
        <is>
          <t>Саша (+Лиза)</t>
        </is>
      </c>
      <c r="D6" s="358" t="n">
        <v>46239</v>
      </c>
      <c r="E6" s="515" t="inlineStr">
        <is>
          <t>в работе</t>
        </is>
      </c>
      <c r="F6" s="520" t="inlineStr">
        <is>
          <t xml:space="preserve">ОС в чате ЭПД стратегия будет </t>
        </is>
      </c>
      <c r="G6" s="781" t="n"/>
    </row>
    <row r="7" ht="112.5" customHeight="1">
      <c r="A7" s="303" t="n"/>
      <c r="B7" s="355" t="inlineStr">
        <is>
          <t>Анализ отвалов с ЛИДов после РК</t>
        </is>
      </c>
      <c r="C7" s="355" t="inlineStr">
        <is>
          <t>Женя + Лиза</t>
        </is>
      </c>
      <c r="D7" s="360" t="n">
        <v>46234</v>
      </c>
      <c r="E7" s="355" t="inlineStr">
        <is>
          <t>выполнено</t>
        </is>
      </c>
      <c r="F7" s="798" t="inlineStr">
        <is>
          <t xml:space="preserve">Отвалы Группа продуктвого запуска за июль: 12
уже решили вопрос - 4
выбрали других - 3
ндз - 2
не подходит сценарий -1
другое -1 </t>
        </is>
      </c>
      <c r="G7" s="781" t="n"/>
    </row>
    <row r="8" ht="35.25" customHeight="1">
      <c r="A8" s="71" t="n"/>
      <c r="B8" s="393" t="inlineStr">
        <is>
          <t>Структурирование всех чатов</t>
        </is>
      </c>
      <c r="C8" s="393" t="inlineStr">
        <is>
          <t>Лиза</t>
        </is>
      </c>
      <c r="D8" s="392" t="inlineStr">
        <is>
          <t xml:space="preserve">03.08.2026 </t>
        </is>
      </c>
      <c r="E8" s="393" t="n"/>
      <c r="F8" s="799" t="inlineStr">
        <is>
          <t>у меня нет старых чатов, вопрос - требуются ли нам чаты по  PR и ИМ отдельные?</t>
        </is>
      </c>
      <c r="G8" s="781" t="n"/>
    </row>
    <row r="9" ht="37.35" customHeight="1">
      <c r="A9" s="305" t="n"/>
      <c r="B9" s="372" t="inlineStr">
        <is>
          <t xml:space="preserve">Старт обзвона по проектным решениям </t>
        </is>
      </c>
      <c r="C9" s="372" t="inlineStr">
        <is>
          <t>Женя</t>
        </is>
      </c>
      <c r="D9" s="371" t="n"/>
      <c r="E9" s="372" t="inlineStr">
        <is>
          <t>приостановлено</t>
        </is>
      </c>
      <c r="F9" s="800" t="inlineStr">
        <is>
          <t>ПР снято с поддержки, 06.08 -встреча с коллегами из Калуги.Астрал по обсуждению проектного решения от Доки</t>
        </is>
      </c>
      <c r="G9" s="781" t="n"/>
    </row>
    <row r="10" ht="15.75" customHeight="1">
      <c r="A10" s="122" t="n"/>
      <c r="B10" s="362" t="inlineStr">
        <is>
          <t>Лизе зарегистрироваться в МАКС</t>
        </is>
      </c>
      <c r="C10" s="362" t="inlineStr">
        <is>
          <t>Лиза</t>
        </is>
      </c>
      <c r="D10" s="414" t="n">
        <v>46206</v>
      </c>
      <c r="E10" s="362" t="inlineStr">
        <is>
          <t>выполнено</t>
        </is>
      </c>
      <c r="F10" s="366" t="n"/>
      <c r="G10" s="781" t="n"/>
    </row>
    <row r="11" ht="14.25" customHeight="1">
      <c r="A11" s="448" t="n"/>
      <c r="B11" s="448" t="n"/>
      <c r="C11" s="448" t="n"/>
      <c r="D11" s="448" t="n"/>
      <c r="E11" s="9" t="n"/>
      <c r="F11" s="791" t="n"/>
      <c r="G11" s="789" t="n"/>
    </row>
    <row r="12" ht="14.25" customHeight="1">
      <c r="A12" s="134" t="n"/>
      <c r="B12" s="72" t="n"/>
      <c r="C12" s="88" t="n"/>
      <c r="D12" s="302" t="n"/>
      <c r="E12" s="77" t="n"/>
      <c r="F12" s="792" t="n"/>
      <c r="G12" s="789" t="n"/>
    </row>
    <row r="13" ht="14.25" customHeight="1">
      <c r="A13" s="41" t="n"/>
      <c r="B13" s="57" t="n"/>
      <c r="C13" s="89" t="n"/>
      <c r="D13" s="9" t="n"/>
      <c r="E13" s="67" t="n"/>
      <c r="F13" s="791" t="n"/>
      <c r="G13" s="789" t="n"/>
    </row>
    <row r="14" ht="14.25" customHeight="1">
      <c r="A14" s="71" t="n"/>
      <c r="B14" s="72" t="n"/>
      <c r="C14" s="88" t="n"/>
      <c r="D14" s="73" t="n"/>
      <c r="E14" s="77" t="n"/>
      <c r="F14" s="792" t="n"/>
      <c r="G14" s="789" t="n"/>
    </row>
    <row r="15" ht="14.25" customHeight="1">
      <c r="A15" s="41" t="n"/>
      <c r="B15" s="57" t="n"/>
      <c r="C15" s="89" t="n"/>
      <c r="D15" s="15" t="n"/>
      <c r="E15" s="9" t="n"/>
      <c r="F15" s="791" t="n"/>
      <c r="G15" s="789" t="n"/>
    </row>
    <row r="16" ht="14.25" customHeight="1">
      <c r="A16" s="2" t="n"/>
      <c r="B16" s="2" t="n"/>
      <c r="C16" s="2" t="n"/>
      <c r="D16" s="2" t="n"/>
      <c r="E16" s="2" t="n"/>
      <c r="F16" s="2" t="n"/>
      <c r="G16" s="2" t="n"/>
    </row>
    <row r="17" ht="14.25" customHeight="1">
      <c r="A17" s="787" t="inlineStr">
        <is>
          <t>2. Решения текущей встречи:</t>
        </is>
      </c>
      <c r="B17" s="788" t="n"/>
      <c r="C17" s="788" t="n"/>
      <c r="D17" s="788" t="n"/>
      <c r="E17" s="788" t="n"/>
      <c r="F17" s="788" t="n"/>
      <c r="G17" s="789" t="n"/>
    </row>
    <row r="18" ht="14.25" customHeight="1">
      <c r="A18" s="109" t="inlineStr">
        <is>
          <t>№</t>
        </is>
      </c>
      <c r="B18" s="40" t="inlineStr">
        <is>
          <t>Задача</t>
        </is>
      </c>
      <c r="C18" s="40" t="inlineStr">
        <is>
          <t>Лидер</t>
        </is>
      </c>
      <c r="D18" s="40" t="inlineStr">
        <is>
          <t>Срок</t>
        </is>
      </c>
      <c r="E18" s="40" t="inlineStr">
        <is>
          <t>Статус*</t>
        </is>
      </c>
      <c r="F18" s="183" t="inlineStr">
        <is>
          <t>Комментарии. Выводы</t>
        </is>
      </c>
      <c r="G18" s="793" t="n"/>
    </row>
    <row r="19" ht="30" customHeight="1">
      <c r="A19" s="155" t="n"/>
      <c r="B19" s="307" t="inlineStr">
        <is>
          <t xml:space="preserve">уточнить по поводу внесены ли вопросы МПП для создания базы знаний </t>
        </is>
      </c>
      <c r="C19" s="415" t="inlineStr">
        <is>
          <t xml:space="preserve">Блохина/Савинская/Гурков </t>
        </is>
      </c>
      <c r="D19" s="415" t="inlineStr">
        <is>
          <t>до 7.08</t>
        </is>
      </c>
      <c r="E19" s="159" t="inlineStr">
        <is>
          <t xml:space="preserve">в работе </t>
        </is>
      </c>
      <c r="F19" s="639" t="n"/>
      <c r="G19" s="783" t="n"/>
    </row>
    <row r="20" ht="30" customHeight="1">
      <c r="A20" s="349" t="n">
        <v>1</v>
      </c>
      <c r="B20" s="384" t="inlineStr">
        <is>
          <t xml:space="preserve">написать Маше группу в аутлук для отправки напоминаний </t>
        </is>
      </c>
      <c r="C20" s="384" t="inlineStr">
        <is>
          <t xml:space="preserve">Савинская </t>
        </is>
      </c>
      <c r="D20" s="384" t="inlineStr">
        <is>
          <t>до 7.08</t>
        </is>
      </c>
      <c r="E20" s="164" t="inlineStr">
        <is>
          <t xml:space="preserve">в работе </t>
        </is>
      </c>
      <c r="F20" s="409" t="n"/>
      <c r="G20" s="783" t="n"/>
    </row>
    <row r="21" ht="15.75" customHeight="1">
      <c r="A21" s="350" t="n">
        <v>2</v>
      </c>
      <c r="B21" s="165" t="inlineStr">
        <is>
          <t xml:space="preserve">Разбор по старым чатам </t>
        </is>
      </c>
      <c r="C21" s="165" t="inlineStr">
        <is>
          <t xml:space="preserve">Блохина </t>
        </is>
      </c>
      <c r="D21" s="314" t="n">
        <v>46240</v>
      </c>
      <c r="E21" s="159" t="inlineStr">
        <is>
          <t>выполнено</t>
        </is>
      </c>
      <c r="F21" s="405" t="n"/>
      <c r="G21" s="783" t="n"/>
    </row>
    <row r="22" ht="16.5" customHeight="1">
      <c r="A22" s="349" t="n">
        <v>3</v>
      </c>
      <c r="B22" s="161" t="inlineStr">
        <is>
          <t xml:space="preserve">Добавить Н.Корневу и переименовать встречу </t>
        </is>
      </c>
      <c r="C22" s="161" t="inlineStr">
        <is>
          <t xml:space="preserve">Блохина </t>
        </is>
      </c>
      <c r="D22" s="317" t="inlineStr">
        <is>
          <t>до 7.08</t>
        </is>
      </c>
      <c r="E22" s="164" t="inlineStr">
        <is>
          <t>в работе</t>
        </is>
      </c>
      <c r="F22" s="409" t="n"/>
      <c r="G22" s="783" t="n"/>
    </row>
    <row r="23" ht="252.75" customHeight="1">
      <c r="A23" s="351" t="n">
        <v>4</v>
      </c>
      <c r="B23" s="396" t="inlineStr">
        <is>
          <t xml:space="preserve">Подумать о Предложении К. Дербеневой определить общую цель по ЭПД (Штуки либо деньги, доля наших клиентов, которые попадают под изменения) </t>
        </is>
      </c>
      <c r="C23" s="396" t="inlineStr">
        <is>
          <t>все участники</t>
        </is>
      </c>
      <c r="D23" s="397" t="inlineStr">
        <is>
          <t>до 13.08</t>
        </is>
      </c>
      <c r="E23" s="675" t="inlineStr">
        <is>
          <t xml:space="preserve">в работе </t>
        </is>
      </c>
      <c r="F23" s="420" t="inlineStr">
        <is>
          <t>Дворяк:
Ремез:
Дербенева:
Пак:
Дивакова:
Блохина: Стратегическая цель проекта — занять лидирующие позиции в сегменте 1С:ЭПД за счёт максимального привлечения действующих клиентов, подпадающих под изменения, к приобретению сервиса у нас, укрепления экспертного статуса компании на рынке, формирования поддержки вендора и создания устойчивого органического потока лидов.
Савинская:
Гурков:
Корнева:
Лопатенко:
Деменская:</t>
        </is>
      </c>
      <c r="G23" s="783" t="n"/>
    </row>
    <row r="24" ht="15.95" customHeight="1">
      <c r="A24" s="352" t="n">
        <v>5</v>
      </c>
      <c r="B24" s="161" t="inlineStr">
        <is>
          <t>Внести поля для комментариев участников (ФИО)</t>
        </is>
      </c>
      <c r="C24" s="161" t="inlineStr">
        <is>
          <t>Блохина</t>
        </is>
      </c>
      <c r="D24" s="316" t="n">
        <v>46240</v>
      </c>
      <c r="E24" s="172" t="inlineStr">
        <is>
          <t>выполнено</t>
        </is>
      </c>
      <c r="F24" s="407" t="n"/>
      <c r="G24" s="783" t="n"/>
    </row>
    <row r="25" ht="15.75" customHeight="1">
      <c r="A25" s="351" t="n">
        <v>6</v>
      </c>
      <c r="B25" s="396" t="n"/>
      <c r="C25" s="396" t="n"/>
      <c r="D25" s="401" t="n"/>
      <c r="E25" s="675" t="n"/>
      <c r="F25" s="408" t="n"/>
      <c r="G25" s="783" t="n"/>
    </row>
    <row r="26" ht="14.25" customHeight="1">
      <c r="A26" s="352" t="n"/>
      <c r="B26" s="161" t="n"/>
      <c r="C26" s="161" t="n"/>
      <c r="D26" s="162" t="n"/>
      <c r="E26" s="172" t="n"/>
      <c r="F26" s="409" t="n"/>
      <c r="G26" s="783" t="n"/>
    </row>
    <row r="27" ht="14.25" customHeight="1">
      <c r="A27" s="351" t="n"/>
      <c r="B27" s="396" t="n"/>
      <c r="C27" s="396" t="n"/>
      <c r="D27" s="401" t="n"/>
      <c r="E27" s="675" t="n"/>
      <c r="F27" s="408" t="n"/>
      <c r="G27" s="783" t="n"/>
    </row>
    <row r="28">
      <c r="A28" s="794" t="inlineStr">
        <is>
          <t>3. Обсуждаемые темы и выводы:</t>
        </is>
      </c>
      <c r="G28" s="795" t="n"/>
    </row>
    <row r="29" ht="13.5" customHeight="1">
      <c r="A29" s="299" t="inlineStr">
        <is>
          <t>Обсуждаемая тема (проблема)</t>
        </is>
      </c>
      <c r="B29" s="782" t="n"/>
      <c r="C29" s="783" t="n"/>
      <c r="D29" s="299" t="inlineStr">
        <is>
          <t>Выводы и решения</t>
        </is>
      </c>
      <c r="E29" s="782" t="n"/>
      <c r="F29" s="782" t="n"/>
      <c r="G29" s="783" t="n"/>
    </row>
    <row r="30" ht="32.25" customHeight="1">
      <c r="A30" s="308" t="inlineStr">
        <is>
          <t xml:space="preserve"> Прошу включить тему регистрации проданных ЭПД и ДОКИ за Форусом. Сейчас нет ответственного. часть оплативших клиентов не закреплены за форусом (Антон Гурков)</t>
        </is>
      </c>
      <c r="B30" s="782" t="n"/>
      <c r="C30" s="783" t="n"/>
      <c r="D30" s="308" t="inlineStr">
        <is>
          <t xml:space="preserve">ознакомиться с протоколом в чате Стратегия ЭПД  (Процесс привязки клиента), оставляем вопрос до следующей встречи. Вопросы МПП можно адресовать Антону </t>
        </is>
      </c>
      <c r="E30" s="782" t="n"/>
      <c r="F30" s="782" t="n"/>
      <c r="G30" s="783" t="n"/>
    </row>
    <row r="31" ht="30.75" customHeight="1">
      <c r="A31" s="308" t="inlineStr">
        <is>
          <t>Акция от Калуги - закрепление действий</t>
        </is>
      </c>
      <c r="B31" s="782" t="n"/>
      <c r="C31" s="783" t="n"/>
      <c r="D31" s="308" t="inlineStr">
        <is>
          <t xml:space="preserve">Лиза планирует собрать ОС от партнеров, акция уже закончилась </t>
        </is>
      </c>
      <c r="E31" s="782" t="n"/>
      <c r="F31" s="782" t="n"/>
      <c r="G31" s="783" t="n"/>
    </row>
    <row r="32" ht="38.7" customHeight="1">
      <c r="A32" s="308" t="inlineStr">
        <is>
          <t xml:space="preserve">Мастерская по ЭПД + Доки </t>
        </is>
      </c>
      <c r="B32" s="782" t="n"/>
      <c r="C32" s="783" t="n"/>
      <c r="D32" s="308" t="inlineStr">
        <is>
          <t>13 августа будет мероприятие, идет запись МПП и подготовка вопросов. Лиза отправит Маше (в копию О. Костюкову) вопросы МПП до конца дня понедельника 10.08</t>
        </is>
      </c>
      <c r="E32" s="782" t="n"/>
      <c r="F32" s="782" t="n"/>
      <c r="G32" s="783" t="n"/>
    </row>
    <row r="33" ht="54" customHeight="1">
      <c r="A33" s="308" t="inlineStr">
        <is>
          <t>Обучение от Калуги.Астрал - не открывается для менеджеров, долгая проверка ИНН</t>
        </is>
      </c>
      <c r="B33" s="782" t="n"/>
      <c r="C33" s="783" t="n"/>
      <c r="D33" s="418" t="inlineStr">
        <is>
          <t>отправить Маше информацию по МПП, которые зарегались на портале Астрала, но не могут получить доступ к курску</t>
        </is>
      </c>
      <c r="E33" s="782" t="n"/>
      <c r="F33" s="782" t="n"/>
      <c r="G33" s="783" t="n"/>
    </row>
    <row r="34" ht="28.75" customHeight="1">
      <c r="A34" s="308" t="inlineStr">
        <is>
          <t>КЦР - статистика продаж/интересов, кому предлагаем, как работаем</t>
        </is>
      </c>
      <c r="B34" s="782" t="n"/>
      <c r="C34" s="783" t="n"/>
      <c r="D34" s="289" t="inlineStr">
        <is>
          <t xml:space="preserve">Лизой составляется регламент работы по продаже КЦР, какие линии использовать? Маша подтвердила, что КЦР можно ставить на линию ЭПД, КЦР не обслуживаем, но подготовят инструкции и специалистов. Если КЦР вне рамок ЭПД - и клиенты готовы платить, то можно подумать о линии. Если Маша найдет запись встречи от 1С , то направит нам </t>
        </is>
      </c>
      <c r="E34" s="782" t="n"/>
      <c r="F34" s="782" t="n"/>
      <c r="G34" s="783" t="n"/>
    </row>
    <row r="35" ht="25.65" customHeight="1">
      <c r="A35" s="289" t="n"/>
      <c r="B35" s="782" t="n"/>
      <c r="C35" s="783" t="n"/>
      <c r="D35" s="289" t="n"/>
      <c r="E35" s="782" t="n"/>
      <c r="F35" s="782" t="n"/>
      <c r="G35" s="783" t="n"/>
    </row>
    <row r="36" ht="25.45" customHeight="1">
      <c r="A36" s="410" t="n"/>
      <c r="B36" s="782" t="n"/>
      <c r="C36" s="783" t="n"/>
      <c r="D36" s="411" t="n"/>
      <c r="E36" s="782" t="n"/>
      <c r="F36" s="782" t="n"/>
      <c r="G36" s="783" t="n"/>
    </row>
    <row r="37" ht="27.05" customHeight="1">
      <c r="A37" s="410" t="n"/>
      <c r="B37" s="782" t="n"/>
      <c r="C37" s="783" t="n"/>
      <c r="D37" s="411" t="n"/>
      <c r="E37" s="782" t="n"/>
      <c r="F37" s="782" t="n"/>
      <c r="G37" s="783" t="n"/>
    </row>
    <row r="38" ht="21.45" customHeight="1">
      <c r="A38" s="410" t="n"/>
      <c r="B38" s="782" t="n"/>
      <c r="C38" s="783" t="n"/>
      <c r="D38" s="411" t="n"/>
      <c r="E38" s="782" t="n"/>
      <c r="F38" s="782" t="n"/>
      <c r="G38" s="783" t="n"/>
    </row>
    <row r="39">
      <c r="A39" s="281" t="n"/>
      <c r="B39" s="281" t="n"/>
      <c r="C39" s="281" t="n"/>
    </row>
  </sheetData>
  <mergeCells count="45">
    <mergeCell ref="F11:G11"/>
    <mergeCell ref="A17:G17"/>
    <mergeCell ref="A37:C37"/>
    <mergeCell ref="F10:G10"/>
    <mergeCell ref="F19:G19"/>
    <mergeCell ref="F25:G25"/>
    <mergeCell ref="D30:G30"/>
    <mergeCell ref="F6:G6"/>
    <mergeCell ref="D33:G33"/>
    <mergeCell ref="D29:G29"/>
    <mergeCell ref="D38:G38"/>
    <mergeCell ref="F7:G7"/>
    <mergeCell ref="A28:G28"/>
    <mergeCell ref="F21:G21"/>
    <mergeCell ref="F12:G12"/>
    <mergeCell ref="A33:C33"/>
    <mergeCell ref="F24:G24"/>
    <mergeCell ref="F15:G15"/>
    <mergeCell ref="D35:G35"/>
    <mergeCell ref="A32:C32"/>
    <mergeCell ref="F5:G5"/>
    <mergeCell ref="F20:G20"/>
    <mergeCell ref="F18:G18"/>
    <mergeCell ref="D34:G34"/>
    <mergeCell ref="A29:C29"/>
    <mergeCell ref="A35:C35"/>
    <mergeCell ref="F26:G26"/>
    <mergeCell ref="A38:C38"/>
    <mergeCell ref="F8:G8"/>
    <mergeCell ref="D31:G31"/>
    <mergeCell ref="A1:G1"/>
    <mergeCell ref="D36:G36"/>
    <mergeCell ref="A31:C31"/>
    <mergeCell ref="F23:G23"/>
    <mergeCell ref="F22:G22"/>
    <mergeCell ref="A30:C30"/>
    <mergeCell ref="F13:G13"/>
    <mergeCell ref="A34:C34"/>
    <mergeCell ref="F27:G27"/>
    <mergeCell ref="F9:G9"/>
    <mergeCell ref="D32:G32"/>
    <mergeCell ref="A36:C36"/>
    <mergeCell ref="A3:G3"/>
    <mergeCell ref="F14:G14"/>
    <mergeCell ref="D37:G3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9.254" customWidth="1" min="4" max="4"/>
    <col width="24.141" customWidth="1" min="5" max="5"/>
    <col width="29.543" customWidth="1" min="6" max="6"/>
    <col width="34.801" customWidth="1" min="7" max="7"/>
  </cols>
  <sheetData>
    <row r="1" ht="24.75" customHeight="1">
      <c r="A1" s="779" t="inlineStr">
        <is>
          <t>ВСТРЕЧА ЦП-ЦКС-ЦСВ-СМАК</t>
        </is>
      </c>
      <c r="B1" s="780" t="n"/>
      <c r="C1" s="780" t="n"/>
      <c r="D1" s="780" t="n"/>
      <c r="E1" s="780" t="n"/>
      <c r="F1" s="780" t="n"/>
      <c r="G1" s="781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787" t="inlineStr">
        <is>
          <t>1. Мониторинг предыдущих решений:</t>
        </is>
      </c>
      <c r="B3" s="788" t="n"/>
      <c r="C3" s="788" t="n"/>
      <c r="D3" s="788" t="n"/>
      <c r="E3" s="788" t="n"/>
      <c r="F3" s="788" t="n"/>
      <c r="G3" s="789" t="n"/>
    </row>
    <row r="4">
      <c r="A4" s="4" t="inlineStr">
        <is>
          <t>№</t>
        </is>
      </c>
      <c r="B4" s="40" t="inlineStr">
        <is>
          <t>Задача</t>
        </is>
      </c>
      <c r="C4" s="5" t="inlineStr">
        <is>
          <t>Лидер</t>
        </is>
      </c>
      <c r="D4" s="5" t="inlineStr">
        <is>
          <t>Срок</t>
        </is>
      </c>
      <c r="E4" s="5" t="inlineStr">
        <is>
          <t>Статус*</t>
        </is>
      </c>
      <c r="F4" s="40" t="inlineStr">
        <is>
          <t>Комментарии. Выводы</t>
        </is>
      </c>
      <c r="G4" s="78" t="n"/>
    </row>
    <row r="5" ht="161.25" customHeight="1">
      <c r="A5" s="41" t="n"/>
      <c r="B5" s="165" t="inlineStr">
        <is>
          <t>Собрать обновлённые конверсии по обработке лидов (за последний месяц) – отдельно для группы Лизы и группы Жени, чтобы использовать для финмодели и стратегии.</t>
        </is>
      </c>
      <c r="C5" s="165" t="inlineStr">
        <is>
          <t>Лиза + Женя (встретиться и подготовить сводку)</t>
        </is>
      </c>
      <c r="D5" s="307" t="inlineStr">
        <is>
          <t>до следующей еженедельной встречи (в четверг, 30.07)</t>
        </is>
      </c>
      <c r="E5" s="79" t="inlineStr">
        <is>
          <t>выполнено</t>
        </is>
      </c>
      <c r="F5" s="310" t="inlineStr">
        <is>
          <t>Группа "Новые деньги"
Заявки с сайта 1С: 9 оплат
Анкеты с лектория: 1 оплата
Входящая линия: 3 оплаты
РК ЭПД: 0 оплат
итого оплат:  13 шт
Группа продуктового запуска:
Анкеты с лектория: 0, 1 выставленный счет
Входящая линия: 3
РК ЭПД: 1
База канбана (длительная проработка с хол. лазы или базы НК (фреш): 5
итого оплат: 9 шт</t>
        </is>
      </c>
      <c r="G5" s="783" t="n"/>
    </row>
    <row r="6">
      <c r="A6" s="71" t="n"/>
      <c r="B6" s="161" t="inlineStr">
        <is>
          <t>Подготовить протокол текущей встречи и разослать всем участникам.</t>
        </is>
      </c>
      <c r="C6" s="161" t="inlineStr">
        <is>
          <t>Лиза</t>
        </is>
      </c>
      <c r="D6" s="311" t="n">
        <v>46227</v>
      </c>
      <c r="E6" s="81" t="inlineStr">
        <is>
          <t>выполнено</t>
        </is>
      </c>
      <c r="F6" s="86" t="n"/>
      <c r="G6" s="783" t="n"/>
    </row>
    <row r="7">
      <c r="A7" s="303" t="n"/>
      <c r="B7" s="168" t="n"/>
      <c r="C7" s="168" t="n"/>
      <c r="D7" s="169" t="n"/>
      <c r="E7" s="83" t="n"/>
      <c r="F7" s="84" t="n"/>
      <c r="G7" s="783" t="n"/>
    </row>
    <row r="8">
      <c r="A8" s="71" t="n"/>
      <c r="B8" s="161" t="n"/>
      <c r="C8" s="161" t="n"/>
      <c r="D8" s="166" t="n"/>
      <c r="E8" s="81" t="n"/>
      <c r="F8" s="86" t="n"/>
      <c r="G8" s="783" t="n"/>
    </row>
    <row r="9" ht="14.25" customHeight="1">
      <c r="A9" s="305" t="n"/>
      <c r="B9" s="168" t="n"/>
      <c r="C9" s="168" t="n"/>
      <c r="D9" s="306" t="n"/>
      <c r="E9" s="79" t="n"/>
      <c r="F9" s="84" t="n"/>
      <c r="G9" s="783" t="n"/>
    </row>
    <row r="10">
      <c r="A10" s="122" t="n"/>
      <c r="B10" s="124" t="n"/>
      <c r="C10" s="124" t="n"/>
      <c r="D10" s="124" t="n"/>
      <c r="E10" s="33" t="n"/>
      <c r="F10" s="792" t="n"/>
      <c r="G10" s="789" t="n"/>
    </row>
    <row r="11" ht="14.25" customHeight="1">
      <c r="A11" s="448" t="n"/>
      <c r="B11" s="448" t="n"/>
      <c r="C11" s="448" t="n"/>
      <c r="D11" s="448" t="n"/>
      <c r="E11" s="9" t="n"/>
      <c r="F11" s="791" t="n"/>
      <c r="G11" s="789" t="n"/>
    </row>
    <row r="12" ht="14.25" customHeight="1">
      <c r="A12" s="134" t="n"/>
      <c r="B12" s="72" t="n"/>
      <c r="C12" s="88" t="n"/>
      <c r="D12" s="302" t="n"/>
      <c r="E12" s="77" t="n"/>
      <c r="F12" s="792" t="n"/>
      <c r="G12" s="789" t="n"/>
    </row>
    <row r="13" ht="14.25" customHeight="1">
      <c r="A13" s="41" t="n"/>
      <c r="B13" s="57" t="n"/>
      <c r="C13" s="89" t="n"/>
      <c r="D13" s="9" t="n"/>
      <c r="E13" s="67" t="n"/>
      <c r="F13" s="791" t="n"/>
      <c r="G13" s="789" t="n"/>
    </row>
    <row r="14" ht="14.25" customHeight="1">
      <c r="A14" s="71" t="n"/>
      <c r="B14" s="72" t="n"/>
      <c r="C14" s="88" t="n"/>
      <c r="D14" s="73" t="n"/>
      <c r="E14" s="77" t="n"/>
      <c r="F14" s="792" t="n"/>
      <c r="G14" s="789" t="n"/>
    </row>
    <row r="15" ht="14.25" customHeight="1">
      <c r="A15" s="41" t="n"/>
      <c r="B15" s="57" t="n"/>
      <c r="C15" s="89" t="n"/>
      <c r="D15" s="15" t="n"/>
      <c r="E15" s="9" t="n"/>
      <c r="F15" s="791" t="n"/>
      <c r="G15" s="789" t="n"/>
    </row>
    <row r="16" ht="14.25" customHeight="1">
      <c r="A16" s="2" t="n"/>
      <c r="B16" s="2" t="n"/>
      <c r="C16" s="2" t="n"/>
      <c r="D16" s="2" t="n"/>
      <c r="E16" s="2" t="n"/>
      <c r="F16" s="2" t="n"/>
      <c r="G16" s="2" t="n"/>
    </row>
    <row r="17" ht="14.25" customHeight="1">
      <c r="A17" s="787" t="inlineStr">
        <is>
          <t>2. Решения текущей встречи:</t>
        </is>
      </c>
      <c r="B17" s="788" t="n"/>
      <c r="C17" s="788" t="n"/>
      <c r="D17" s="788" t="n"/>
      <c r="E17" s="788" t="n"/>
      <c r="F17" s="788" t="n"/>
      <c r="G17" s="789" t="n"/>
    </row>
    <row r="18" ht="14.25" customHeight="1">
      <c r="A18" s="109" t="inlineStr">
        <is>
          <t>№</t>
        </is>
      </c>
      <c r="B18" s="40" t="inlineStr">
        <is>
          <t>Задача</t>
        </is>
      </c>
      <c r="C18" s="40" t="inlineStr">
        <is>
          <t>Лидер</t>
        </is>
      </c>
      <c r="D18" s="40" t="inlineStr">
        <is>
          <t>Срок</t>
        </is>
      </c>
      <c r="E18" s="40" t="inlineStr">
        <is>
          <t>Статус*</t>
        </is>
      </c>
      <c r="F18" s="183" t="inlineStr">
        <is>
          <t>Комментарии. Выводы</t>
        </is>
      </c>
      <c r="G18" s="793" t="n"/>
    </row>
    <row r="19" ht="15.75" customHeight="1">
      <c r="A19" s="155" t="n"/>
      <c r="B19" s="156" t="inlineStr">
        <is>
          <t>Задача</t>
        </is>
      </c>
      <c r="C19" s="157" t="inlineStr">
        <is>
          <t>Ответственный</t>
        </is>
      </c>
      <c r="D19" s="157" t="inlineStr">
        <is>
          <t>Срок</t>
        </is>
      </c>
      <c r="E19" s="159" t="n"/>
      <c r="F19" s="639" t="n"/>
      <c r="G19" s="783" t="n"/>
    </row>
    <row r="20" ht="15.75" customHeight="1">
      <c r="A20" s="349" t="n">
        <v>1</v>
      </c>
      <c r="B20" s="161" t="inlineStr">
        <is>
          <t>Создать "базу знаний" по вопросам с лектория</t>
        </is>
      </c>
      <c r="C20" s="161" t="inlineStr">
        <is>
          <t>Антон</t>
        </is>
      </c>
      <c r="D20" s="312" t="n">
        <v>46237</v>
      </c>
      <c r="E20" s="164" t="n"/>
      <c r="F20" s="405" t="n"/>
      <c r="G20" s="783" t="n"/>
    </row>
    <row r="21" ht="15.75" customHeight="1">
      <c r="A21" s="350" t="n">
        <v>2</v>
      </c>
      <c r="B21" s="165" t="inlineStr">
        <is>
          <t>Узнать у 1С - сколько у них стоит реклама</t>
        </is>
      </c>
      <c r="C21" s="165" t="inlineStr">
        <is>
          <t>Саша (+Лиза)</t>
        </is>
      </c>
      <c r="D21" s="314" t="n">
        <v>46239</v>
      </c>
      <c r="E21" s="159" t="n"/>
      <c r="F21" s="405" t="inlineStr">
        <is>
          <t>Уточнить информацию у ЦРД</t>
        </is>
      </c>
      <c r="G21" s="783" t="n"/>
    </row>
    <row r="22" ht="15.75" customHeight="1">
      <c r="A22" s="349" t="n">
        <v>3</v>
      </c>
      <c r="B22" s="161" t="inlineStr">
        <is>
          <t>Анализ отвалов с ЛИДов после РК</t>
        </is>
      </c>
      <c r="C22" s="161" t="inlineStr">
        <is>
          <t>Женя + Лиза</t>
        </is>
      </c>
      <c r="D22" s="317" t="n">
        <v>46234</v>
      </c>
      <c r="E22" s="164" t="n"/>
      <c r="F22" s="405" t="inlineStr">
        <is>
          <t>+ корректирующие действия</t>
        </is>
      </c>
      <c r="G22" s="783" t="n"/>
    </row>
    <row r="23" ht="15.75" customHeight="1">
      <c r="A23" s="351" t="n">
        <v>4</v>
      </c>
      <c r="B23" s="168" t="inlineStr">
        <is>
          <t>Структурирование всех чатов</t>
        </is>
      </c>
      <c r="C23" s="168" t="inlineStr">
        <is>
          <t>Лиза</t>
        </is>
      </c>
      <c r="D23" s="312" t="inlineStr">
        <is>
          <t xml:space="preserve">03.08.2026 </t>
        </is>
      </c>
      <c r="E23" s="170" t="n"/>
      <c r="F23" s="405" t="inlineStr">
        <is>
          <t>лишние назвать Старыми</t>
        </is>
      </c>
      <c r="G23" s="783" t="n"/>
    </row>
    <row r="24" ht="52.5" customHeight="1">
      <c r="A24" s="352" t="n">
        <v>5</v>
      </c>
      <c r="B24" s="161" t="inlineStr">
        <is>
          <t xml:space="preserve">Старт обзвона по проектным решениям </t>
        </is>
      </c>
      <c r="C24" s="161" t="inlineStr">
        <is>
          <t>Женя</t>
        </is>
      </c>
      <c r="D24" s="166" t="n"/>
      <c r="E24" s="172" t="n"/>
      <c r="F24" s="407" t="inlineStr">
        <is>
          <t xml:space="preserve">нужен список; скрипт; если это проект, то как работаем с ЦСВ - если проект, то сразу встреча включаться будет Оксана и Маша. Первичный этап с Антоном. </t>
        </is>
      </c>
      <c r="G24" s="783" t="n"/>
    </row>
    <row r="25" ht="15.75" customHeight="1">
      <c r="A25" s="351" t="n">
        <v>6</v>
      </c>
      <c r="B25" s="168" t="inlineStr">
        <is>
          <t>Лизе зарегистрироваться в МАКС</t>
        </is>
      </c>
      <c r="C25" s="168" t="inlineStr">
        <is>
          <t>Лиза</t>
        </is>
      </c>
      <c r="D25" s="173" t="n">
        <v>46206</v>
      </c>
      <c r="E25" s="170" t="n"/>
      <c r="F25" s="801" t="n"/>
      <c r="G25" s="783" t="n"/>
    </row>
    <row r="26" ht="14.25" customHeight="1">
      <c r="A26" s="352" t="n"/>
      <c r="B26" s="161" t="n"/>
      <c r="C26" s="161" t="n"/>
      <c r="D26" s="162" t="n"/>
      <c r="E26" s="172" t="n"/>
      <c r="F26" s="801" t="n"/>
      <c r="G26" s="783" t="n"/>
    </row>
    <row r="27" ht="14.25" customHeight="1">
      <c r="A27" s="351" t="n"/>
      <c r="B27" s="168" t="n"/>
      <c r="C27" s="168" t="n"/>
      <c r="D27" s="173" t="n"/>
      <c r="E27" s="170" t="n"/>
      <c r="F27" s="801" t="n"/>
      <c r="G27" s="783" t="n"/>
    </row>
    <row r="28">
      <c r="A28" s="794" t="inlineStr">
        <is>
          <t>3. Обсуждаемые темы и выводы:</t>
        </is>
      </c>
      <c r="G28" s="795" t="n"/>
    </row>
    <row r="29" ht="13.5" customHeight="1">
      <c r="A29" s="299" t="inlineStr">
        <is>
          <t>Обсуждаемая тема (проблема)</t>
        </is>
      </c>
      <c r="B29" s="782" t="n"/>
      <c r="C29" s="783" t="n"/>
      <c r="D29" s="299" t="inlineStr">
        <is>
          <t>Выводы и решения</t>
        </is>
      </c>
      <c r="E29" s="782" t="n"/>
      <c r="F29" s="782" t="n"/>
      <c r="G29" s="783" t="n"/>
    </row>
    <row r="30" ht="32.25" customHeight="1">
      <c r="A30" s="308" t="inlineStr">
        <is>
          <t>1. Оставляем ли акцию "При покупке пакета титулов от 1 000 штук - бесплатная настройка рабочего места"</t>
        </is>
      </c>
      <c r="B30" s="782" t="n"/>
      <c r="C30" s="783" t="n"/>
      <c r="D30" s="308" t="inlineStr">
        <is>
          <t>Акцию необходимо продолжить и оставить до 30 августа, от нее идет хороший трафик</t>
        </is>
      </c>
      <c r="E30" s="782" t="n"/>
      <c r="F30" s="782" t="n"/>
      <c r="G30" s="783" t="n"/>
    </row>
    <row r="31" ht="30.75" customHeight="1">
      <c r="A31" s="308" t="inlineStr">
        <is>
          <t>2. Рекламная кампания - запускаем ли мы её с августа?</t>
        </is>
      </c>
      <c r="B31" s="782" t="n"/>
      <c r="C31" s="783" t="n"/>
      <c r="D31" s="308" t="n"/>
      <c r="E31" s="782" t="n"/>
      <c r="F31" s="782" t="n"/>
      <c r="G31" s="783" t="n"/>
    </row>
    <row r="32" ht="62.25" customHeight="1">
      <c r="A32" s="308" t="inlineStr">
        <is>
          <t>3. Участие в акции от Калуги: вопросы и решения</t>
        </is>
      </c>
      <c r="B32" s="782" t="n"/>
      <c r="C32" s="783" t="n"/>
      <c r="D32" s="308" t="inlineStr">
        <is>
          <t>1. Четко под запись узнать у Калуги: "Как все это работает", иначе - риск потери клиентов, 
2.В случае покупки пакета титулов клиентом у Калуги, зачисляется ли трафик партнеру? 
3. При регистрации клиента по реферальной ссылке, они падают в ?таблицу?, в которую мы можем перейти по ссылке, спустя какое время они передаются на другого партнера? как работает механизм?</t>
        </is>
      </c>
      <c r="E32" s="782" t="n"/>
      <c r="F32" s="782" t="n"/>
      <c r="G32" s="783" t="n"/>
    </row>
    <row r="33" ht="27.75" customHeight="1">
      <c r="A33" s="308" t="inlineStr">
        <is>
          <t>4.Судьба решений по проектным решениям</t>
        </is>
      </c>
      <c r="B33" s="782" t="n"/>
      <c r="C33" s="783" t="n"/>
      <c r="D33" s="308" t="inlineStr">
        <is>
          <t>на след неделе должне стартануть обзвон, будет первая статистика</t>
        </is>
      </c>
      <c r="E33" s="782" t="n"/>
      <c r="F33" s="782" t="n"/>
      <c r="G33" s="783" t="n"/>
    </row>
    <row r="34" ht="48.75" customHeight="1">
      <c r="A34" s="289" t="inlineStr">
        <is>
          <t>5. прошу включить тему регистрации проданных ЭПД и ДОКи за форусом. Сейчас нет ответственного. часть оплативших клиентов не закреплены за форусом</t>
        </is>
      </c>
      <c r="B34" s="782" t="n"/>
      <c r="C34" s="783" t="n"/>
      <c r="D34" s="289" t="n"/>
      <c r="E34" s="782" t="n"/>
      <c r="F34" s="782" t="n"/>
      <c r="G34" s="783" t="n"/>
    </row>
    <row r="35" ht="47.25" customHeight="1">
      <c r="A35" s="289" t="n"/>
      <c r="B35" s="782" t="n"/>
      <c r="C35" s="783" t="n"/>
      <c r="D35" s="289" t="n"/>
      <c r="E35" s="782" t="n"/>
      <c r="F35" s="782" t="n"/>
      <c r="G35" s="783" t="n"/>
    </row>
    <row r="36" ht="14.25" customHeight="1">
      <c r="A36" s="235" t="n"/>
      <c r="D36" s="242" t="n"/>
    </row>
    <row r="37">
      <c r="A37" s="235" t="n"/>
      <c r="D37" s="242" t="n"/>
    </row>
    <row r="38">
      <c r="A38" s="235" t="n"/>
      <c r="D38" s="242" t="n"/>
    </row>
    <row r="39">
      <c r="A39" s="281" t="n"/>
      <c r="B39" s="281" t="n"/>
      <c r="C39" s="281" t="n"/>
    </row>
  </sheetData>
  <mergeCells count="45">
    <mergeCell ref="F11:G11"/>
    <mergeCell ref="A17:G17"/>
    <mergeCell ref="A37:C37"/>
    <mergeCell ref="F10:G10"/>
    <mergeCell ref="F19:G19"/>
    <mergeCell ref="F25:G25"/>
    <mergeCell ref="D30:G30"/>
    <mergeCell ref="F6:G6"/>
    <mergeCell ref="D33:G33"/>
    <mergeCell ref="D29:G29"/>
    <mergeCell ref="D38:G38"/>
    <mergeCell ref="A28:G28"/>
    <mergeCell ref="F7:G7"/>
    <mergeCell ref="F21:G21"/>
    <mergeCell ref="F12:G12"/>
    <mergeCell ref="A33:C33"/>
    <mergeCell ref="F24:G24"/>
    <mergeCell ref="F15:G15"/>
    <mergeCell ref="D35:G35"/>
    <mergeCell ref="A32:C32"/>
    <mergeCell ref="F5:G5"/>
    <mergeCell ref="F20:G20"/>
    <mergeCell ref="F18:G18"/>
    <mergeCell ref="D34:G34"/>
    <mergeCell ref="A29:C29"/>
    <mergeCell ref="A35:C35"/>
    <mergeCell ref="F26:G26"/>
    <mergeCell ref="A38:C38"/>
    <mergeCell ref="F8:G8"/>
    <mergeCell ref="D31:G31"/>
    <mergeCell ref="A1:G1"/>
    <mergeCell ref="D36:G36"/>
    <mergeCell ref="A31:C31"/>
    <mergeCell ref="F23:G23"/>
    <mergeCell ref="F22:G22"/>
    <mergeCell ref="A30:C30"/>
    <mergeCell ref="F13:G13"/>
    <mergeCell ref="A34:C34"/>
    <mergeCell ref="F27:G27"/>
    <mergeCell ref="F9:G9"/>
    <mergeCell ref="D32:G32"/>
    <mergeCell ref="A36:C36"/>
    <mergeCell ref="A3:G3"/>
    <mergeCell ref="F14:G14"/>
    <mergeCell ref="D37:G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2024-11-07T07:51:35Z</dcterms:created>
  <dcterms:modified xsi:type="dcterms:W3CDTF">2026-09-02T08:12:16Z</dcterms:modified>
</cp:coreProperties>
</file>