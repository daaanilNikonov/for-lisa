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blokhina\Desktop\"/>
    </mc:Choice>
  </mc:AlternateContent>
  <xr:revisionPtr revIDLastSave="0" documentId="8_{C42C4324-73A5-4C4C-B037-354F547A2342}" xr6:coauthVersionLast="47" xr6:coauthVersionMax="47" xr10:uidLastSave="{00000000-0000-0000-0000-000000000000}"/>
  <bookViews>
    <workbookView xWindow="-108" yWindow="-108" windowWidth="23256" windowHeight="12576" firstSheet="4" activeTab="8" xr2:uid="{00000000-000D-0000-FFFF-FFFF00000000}"/>
  </bookViews>
  <sheets>
    <sheet name="апр2026" sheetId="1" state="hidden" r:id="rId1"/>
    <sheet name="апрель вспом" sheetId="2" state="hidden" r:id="rId2"/>
    <sheet name="май2026" sheetId="5" state="hidden" r:id="rId3"/>
    <sheet name="май вспом" sheetId="6" state="hidden" r:id="rId4"/>
    <sheet name="июнь2026" sheetId="7" r:id="rId5"/>
    <sheet name="июнь вспом" sheetId="9" r:id="rId6"/>
    <sheet name="июль2026" sheetId="10" r:id="rId7"/>
    <sheet name="июль вспом" sheetId="11" r:id="rId8"/>
    <sheet name="август2026" sheetId="13" r:id="rId9"/>
    <sheet name="август вспом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4" l="1"/>
  <c r="D27" i="14"/>
  <c r="D8" i="14"/>
  <c r="D9" i="14"/>
  <c r="D49" i="14"/>
  <c r="C42" i="14"/>
  <c r="C4" i="14"/>
  <c r="K22" i="13"/>
  <c r="F22" i="13"/>
  <c r="F21" i="13"/>
  <c r="K21" i="13" s="1"/>
  <c r="A21" i="13"/>
  <c r="F20" i="13"/>
  <c r="K20" i="13" s="1"/>
  <c r="F19" i="13"/>
  <c r="K19" i="13" s="1"/>
  <c r="F18" i="13"/>
  <c r="K18" i="13" s="1"/>
  <c r="W17" i="13"/>
  <c r="F17" i="13"/>
  <c r="K17" i="13" s="1"/>
  <c r="A17" i="13"/>
  <c r="W16" i="13"/>
  <c r="F16" i="13"/>
  <c r="K16" i="13" s="1"/>
  <c r="W15" i="13"/>
  <c r="J15" i="13"/>
  <c r="I15" i="13"/>
  <c r="H15" i="13"/>
  <c r="G15" i="13"/>
  <c r="D15" i="13"/>
  <c r="C8" i="13"/>
  <c r="C7" i="13"/>
  <c r="D10" i="11"/>
  <c r="D13" i="11" s="1"/>
  <c r="D29" i="11"/>
  <c r="D28" i="11"/>
  <c r="D49" i="11"/>
  <c r="C43" i="11"/>
  <c r="C4" i="11"/>
  <c r="F22" i="10"/>
  <c r="K22" i="10" s="1"/>
  <c r="F21" i="10"/>
  <c r="K21" i="10" s="1"/>
  <c r="A21" i="10"/>
  <c r="F20" i="10"/>
  <c r="K20" i="10" s="1"/>
  <c r="F19" i="10"/>
  <c r="K19" i="10" s="1"/>
  <c r="F18" i="10"/>
  <c r="W17" i="10"/>
  <c r="F17" i="10"/>
  <c r="K17" i="10" s="1"/>
  <c r="A17" i="10"/>
  <c r="W16" i="10"/>
  <c r="F16" i="10"/>
  <c r="W15" i="10"/>
  <c r="J15" i="10"/>
  <c r="I15" i="10"/>
  <c r="H15" i="10"/>
  <c r="D15" i="10"/>
  <c r="C8" i="10"/>
  <c r="C7" i="10"/>
  <c r="D43" i="9"/>
  <c r="C37" i="9"/>
  <c r="D26" i="9"/>
  <c r="C20" i="9"/>
  <c r="D10" i="9"/>
  <c r="C4" i="9"/>
  <c r="F22" i="7"/>
  <c r="K22" i="7" s="1"/>
  <c r="F21" i="7"/>
  <c r="K21" i="7" s="1"/>
  <c r="A21" i="7"/>
  <c r="F20" i="7"/>
  <c r="K20" i="7" s="1"/>
  <c r="F19" i="7"/>
  <c r="K19" i="7" s="1"/>
  <c r="F18" i="7"/>
  <c r="K18" i="7" s="1"/>
  <c r="W17" i="7"/>
  <c r="F17" i="7"/>
  <c r="K17" i="7" s="1"/>
  <c r="A17" i="7"/>
  <c r="W16" i="7"/>
  <c r="F16" i="7"/>
  <c r="K16" i="7" s="1"/>
  <c r="W15" i="7"/>
  <c r="J15" i="7"/>
  <c r="I15" i="7"/>
  <c r="H15" i="7"/>
  <c r="G15" i="7"/>
  <c r="D15" i="7"/>
  <c r="C8" i="7"/>
  <c r="C7" i="7"/>
  <c r="C20" i="6"/>
  <c r="D44" i="6"/>
  <c r="C37" i="6"/>
  <c r="D26" i="6"/>
  <c r="D10" i="6"/>
  <c r="C4" i="6"/>
  <c r="F22" i="5"/>
  <c r="K22" i="5" s="1"/>
  <c r="F21" i="5"/>
  <c r="K21" i="5" s="1"/>
  <c r="A21" i="5"/>
  <c r="F20" i="5"/>
  <c r="K20" i="5" s="1"/>
  <c r="F19" i="5"/>
  <c r="K19" i="5" s="1"/>
  <c r="F18" i="5"/>
  <c r="K18" i="5" s="1"/>
  <c r="W17" i="5"/>
  <c r="F17" i="5"/>
  <c r="K17" i="5" s="1"/>
  <c r="A17" i="5"/>
  <c r="W16" i="5"/>
  <c r="F16" i="5"/>
  <c r="W15" i="5"/>
  <c r="J15" i="5"/>
  <c r="I15" i="5"/>
  <c r="H15" i="5"/>
  <c r="G15" i="5"/>
  <c r="D15" i="5"/>
  <c r="C8" i="5"/>
  <c r="C7" i="5"/>
  <c r="C20" i="2"/>
  <c r="D12" i="14" l="1"/>
  <c r="D31" i="14"/>
  <c r="B35" i="14" s="1"/>
  <c r="B16" i="14"/>
  <c r="B53" i="14"/>
  <c r="K15" i="13"/>
  <c r="F15" i="13"/>
  <c r="D32" i="11"/>
  <c r="B36" i="11" s="1"/>
  <c r="B17" i="11"/>
  <c r="B53" i="11"/>
  <c r="F15" i="10"/>
  <c r="K16" i="10"/>
  <c r="B30" i="6"/>
  <c r="B30" i="9"/>
  <c r="B47" i="9"/>
  <c r="B14" i="9"/>
  <c r="K15" i="7"/>
  <c r="F15" i="7"/>
  <c r="B48" i="6"/>
  <c r="F15" i="5"/>
  <c r="B14" i="6"/>
  <c r="K16" i="5"/>
  <c r="K15" i="5" s="1"/>
  <c r="D43" i="2"/>
  <c r="C37" i="2"/>
  <c r="D26" i="2"/>
  <c r="D10" i="2"/>
  <c r="B3" i="2"/>
  <c r="C4" i="2" s="1"/>
  <c r="F22" i="1"/>
  <c r="K22" i="1" s="1"/>
  <c r="F21" i="1"/>
  <c r="K21" i="1" s="1"/>
  <c r="A21" i="1"/>
  <c r="F20" i="1"/>
  <c r="K20" i="1" s="1"/>
  <c r="F19" i="1"/>
  <c r="K19" i="1" s="1"/>
  <c r="F18" i="1"/>
  <c r="K18" i="1" s="1"/>
  <c r="W17" i="1"/>
  <c r="F17" i="1"/>
  <c r="A17" i="1"/>
  <c r="W16" i="1"/>
  <c r="F16" i="1"/>
  <c r="K16" i="1" s="1"/>
  <c r="W15" i="1"/>
  <c r="J15" i="1"/>
  <c r="I15" i="1"/>
  <c r="H15" i="1"/>
  <c r="G15" i="1"/>
  <c r="D15" i="1"/>
  <c r="C8" i="1"/>
  <c r="C7" i="1"/>
  <c r="B14" i="2" l="1"/>
  <c r="F15" i="1"/>
  <c r="B30" i="2"/>
  <c r="B47" i="2"/>
  <c r="K17" i="1"/>
  <c r="K15" i="1" s="1"/>
  <c r="K18" i="10" l="1"/>
  <c r="K15" i="10" s="1"/>
  <c r="G15" i="10"/>
</calcChain>
</file>

<file path=xl/sharedStrings.xml><?xml version="1.0" encoding="utf-8"?>
<sst xmlns="http://schemas.openxmlformats.org/spreadsheetml/2006/main" count="443" uniqueCount="91">
  <si>
    <t>ЦФО</t>
  </si>
  <si>
    <t>ЦП</t>
  </si>
  <si>
    <t>Свод по заработной плате за апрель  2026</t>
  </si>
  <si>
    <t>Дата сдачи:</t>
  </si>
  <si>
    <t>Производственный календарь на 2026 год</t>
  </si>
  <si>
    <t>Исполнитель:</t>
  </si>
  <si>
    <t>Нормадни</t>
  </si>
  <si>
    <t>Иркутск</t>
  </si>
  <si>
    <t>Принято:</t>
  </si>
  <si>
    <t>Нормачасы</t>
  </si>
  <si>
    <t>для ОП Братск</t>
  </si>
  <si>
    <t>для мужчин</t>
  </si>
  <si>
    <t>для женщин</t>
  </si>
  <si>
    <t>Ф.И.О.</t>
  </si>
  <si>
    <t>Категория (должность)</t>
  </si>
  <si>
    <t>Оклад</t>
  </si>
  <si>
    <t>Часы</t>
  </si>
  <si>
    <t>Сдельно</t>
  </si>
  <si>
    <t>Проценты</t>
  </si>
  <si>
    <t>Прочее</t>
  </si>
  <si>
    <t>Др.ЦФО</t>
  </si>
  <si>
    <t>Итого</t>
  </si>
  <si>
    <t>ТимЛид</t>
  </si>
  <si>
    <t>менеджер</t>
  </si>
  <si>
    <t xml:space="preserve">стажер </t>
  </si>
  <si>
    <t>План</t>
  </si>
  <si>
    <t xml:space="preserve">Факт </t>
  </si>
  <si>
    <t xml:space="preserve">Отработано времени, в часах </t>
  </si>
  <si>
    <t xml:space="preserve">Оклад </t>
  </si>
  <si>
    <t>план</t>
  </si>
  <si>
    <t>факт</t>
  </si>
  <si>
    <t>в ЗП</t>
  </si>
  <si>
    <t>KPI 1 (указать какой именно)</t>
  </si>
  <si>
    <t>KPI 2</t>
  </si>
  <si>
    <t>KPI 3</t>
  </si>
  <si>
    <t xml:space="preserve">МД факт </t>
  </si>
  <si>
    <t>% в ЗП</t>
  </si>
  <si>
    <t xml:space="preserve">ИОГО НАЧИСЛЕНИЕ </t>
  </si>
  <si>
    <t>ТимЛид (ФИО)</t>
  </si>
  <si>
    <t>Группа Продуктового запуска</t>
  </si>
  <si>
    <t>Блохина Елизавета</t>
  </si>
  <si>
    <t>Менеджер 1 Юнусова Юлиана Семеновна</t>
  </si>
  <si>
    <t>Своевременное выполнение задач по проекту "Скорая помощь"</t>
  </si>
  <si>
    <t>Своевременное выполнение задач по проекту "ЭПД"</t>
  </si>
  <si>
    <t>Менеджер 2 Оглоблина Софья Константиновна</t>
  </si>
  <si>
    <t>ТимЛид Блохина Елизавета Евгеньевна</t>
  </si>
  <si>
    <t>Формирование проекта Скорая помощь: создание карточки проекта</t>
  </si>
  <si>
    <t>Формирование проекта ЭПД: создание карточки проекта</t>
  </si>
  <si>
    <t>Блохина Елизавета Евгеньевна</t>
  </si>
  <si>
    <t>Юнусова Юлиана Семеновна</t>
  </si>
  <si>
    <t>Оглоблина Софья Константиновна</t>
  </si>
  <si>
    <t>заполнена задача по проекту - 1, заполнена таблица конверсий - 1</t>
  </si>
  <si>
    <t>готова карточка проекта, загружена на форус.диск</t>
  </si>
  <si>
    <t>Свод по заработной плате за май 2026</t>
  </si>
  <si>
    <t>Упаковка продукта 1С-ЭПД: скрипты, обучающие материалы для МПП, объем рынка в нашей базе</t>
  </si>
  <si>
    <t>Техническая передача проекта "Скорая помощь"</t>
  </si>
  <si>
    <t>Подготовка сегментации по проекту "Доки"</t>
  </si>
  <si>
    <t>Упаковка проекта "Скорая помощь": обучение менеджеров, скрипты</t>
  </si>
  <si>
    <t xml:space="preserve">продукт упакован, артефакты подготовлены </t>
  </si>
  <si>
    <t>проект передан в отдел "Новые продукты"</t>
  </si>
  <si>
    <t>Документ с изучением рынка подготовлен</t>
  </si>
  <si>
    <t>Прочее: корректировка ЗП за март 2026 года</t>
  </si>
  <si>
    <t>менеджер (вышла со стажировки 11.06)</t>
  </si>
  <si>
    <t xml:space="preserve">Общее кол-во успешных звонков </t>
  </si>
  <si>
    <t>Общее кол-во демонстраций (на группу)</t>
  </si>
  <si>
    <t>Подключения ДОКИ (на группу)</t>
  </si>
  <si>
    <t>Рабработка карты проекта "ДОКИ"</t>
  </si>
  <si>
    <t>Передача артефактов в группу "Новые деньги" по проекту 1С-ЭПД</t>
  </si>
  <si>
    <t>Защита и передача проекта 1С-ЭПД в тираж</t>
  </si>
  <si>
    <t>проведение мероприятия по передаче и защите проекта</t>
  </si>
  <si>
    <t>создан форус диск со всеми материалами для МПП</t>
  </si>
  <si>
    <t>Свод по заработной плате за июль 2026</t>
  </si>
  <si>
    <t>Комментарий к "прочее"</t>
  </si>
  <si>
    <t>В прочем прописаны согласованные премии за закрытие проекта с учетом 13% НДФЛ, на руки должно получиться: Блохина (15 000), Юнусова (15 000), Оглоблина (5 000)</t>
  </si>
  <si>
    <t>1.Продуктовая разработка проекта "1С:Кабинет Сотрудника"</t>
  </si>
  <si>
    <t>создание карты проекта, плана проекта, финансового плана</t>
  </si>
  <si>
    <t>2. Поддержка и передача сервиса "1С-ЭПД" в тираж</t>
  </si>
  <si>
    <t>поддержка, проработка дополнительных материалов, ответы на сложные вопросы</t>
  </si>
  <si>
    <t>3. Продуктовая разработка проектов "Доки" и "Смартвей"</t>
  </si>
  <si>
    <t>разработка материалов, проверка гипотез, сбор показателей</t>
  </si>
  <si>
    <t xml:space="preserve">План по звонкам </t>
  </si>
  <si>
    <t>Отправленные КП</t>
  </si>
  <si>
    <t>Количество демо</t>
  </si>
  <si>
    <t xml:space="preserve">Колическо подлючений доки </t>
  </si>
  <si>
    <t>Соблюдение требований</t>
  </si>
  <si>
    <t>Соблюдение скриптов</t>
  </si>
  <si>
    <t>3. Продуктовая разработка проекта "Доки" и передача его в тираж</t>
  </si>
  <si>
    <t>4. Продуктовая разработка проекта "Смартвей" - проверка гипотез</t>
  </si>
  <si>
    <t>разработка материалов, внедрение скриптов в работу МПП, аналитика деятельности МПП по отправке КП клиентам</t>
  </si>
  <si>
    <t>Демо КабСотр</t>
  </si>
  <si>
    <t xml:space="preserve">Количество подлючений доки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</si>
</sst>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р_.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b/>
      <u/>
      <sz val="10"/>
      <name val="Verdana"/>
      <family val="2"/>
      <charset val="204"/>
    </font>
    <font>
      <sz val="10"/>
      <name val="Verdana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4"/>
      <name val="Verdana"/>
      <family val="2"/>
      <charset val="204"/>
    </font>
    <font>
      <sz val="10"/>
      <color indexed="64"/>
      <name val="Times New Roman"/>
      <family val="1"/>
      <charset val="204"/>
    </font>
    <font>
      <b/>
      <sz val="10"/>
      <name val="Verdana"/>
      <family val="2"/>
      <charset val="204"/>
    </font>
    <font>
      <b/>
      <sz val="10"/>
      <color indexed="64"/>
      <name val="Times New Roman"/>
      <family val="1"/>
      <charset val="204"/>
    </font>
    <font>
      <sz val="11"/>
      <color theme="1"/>
      <name val="Verdana"/>
      <family val="2"/>
      <charset val="204"/>
    </font>
    <font>
      <sz val="10"/>
      <color indexed="2"/>
      <name val="Verdana"/>
      <family val="2"/>
      <charset val="204"/>
    </font>
    <font>
      <sz val="9"/>
      <color theme="1"/>
      <name val="Verdana"/>
      <family val="2"/>
      <charset val="204"/>
    </font>
    <font>
      <sz val="9"/>
      <name val="Verdana"/>
      <family val="2"/>
      <charset val="204"/>
    </font>
    <font>
      <b/>
      <i/>
      <u/>
      <sz val="12"/>
      <color theme="9" tint="-0.249977111117893"/>
      <name val="Verdana"/>
      <family val="2"/>
      <charset val="204"/>
    </font>
    <font>
      <i/>
      <u/>
      <sz val="9"/>
      <color theme="1"/>
      <name val="Verdana"/>
      <family val="2"/>
      <charset val="204"/>
    </font>
    <font>
      <b/>
      <i/>
      <u/>
      <sz val="10"/>
      <color theme="1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color indexed="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5FFFF"/>
        <bgColor rgb="FFE5FFFF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E2EFD8"/>
        <bgColor rgb="FFE2EFD8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7" fillId="0" borderId="0" applyNumberFormat="0" applyFill="0" applyBorder="0" applyProtection="0"/>
    <xf numFmtId="0" fontId="28" fillId="0" borderId="0"/>
    <xf numFmtId="0" fontId="8" fillId="0" borderId="0"/>
    <xf numFmtId="43" fontId="28" fillId="0" borderId="0" applyFont="0" applyFill="0" applyBorder="0" applyProtection="0"/>
    <xf numFmtId="43" fontId="29" fillId="0" borderId="0" applyFont="0" applyFill="0" applyBorder="0" applyAlignment="0" applyProtection="0"/>
  </cellStyleXfs>
  <cellXfs count="68">
    <xf numFmtId="0" fontId="0" fillId="0" borderId="0" xfId="0"/>
    <xf numFmtId="0" fontId="28" fillId="0" borderId="0" xfId="2"/>
    <xf numFmtId="0" fontId="9" fillId="0" borderId="0" xfId="2" applyFont="1"/>
    <xf numFmtId="0" fontId="10" fillId="0" borderId="0" xfId="3" applyFont="1"/>
    <xf numFmtId="0" fontId="11" fillId="0" borderId="0" xfId="3" applyFont="1"/>
    <xf numFmtId="0" fontId="11" fillId="0" borderId="0" xfId="2" applyFont="1"/>
    <xf numFmtId="0" fontId="10" fillId="0" borderId="0" xfId="3" applyFont="1" applyAlignment="1">
      <alignment horizontal="center"/>
    </xf>
    <xf numFmtId="0" fontId="11" fillId="0" borderId="1" xfId="3" applyFont="1" applyBorder="1"/>
    <xf numFmtId="0" fontId="12" fillId="0" borderId="0" xfId="2" applyFont="1"/>
    <xf numFmtId="0" fontId="13" fillId="0" borderId="0" xfId="2" applyFont="1"/>
    <xf numFmtId="0" fontId="14" fillId="0" borderId="0" xfId="2" applyFont="1"/>
    <xf numFmtId="0" fontId="15" fillId="0" borderId="0" xfId="3" applyFont="1"/>
    <xf numFmtId="14" fontId="11" fillId="0" borderId="2" xfId="3" applyNumberFormat="1" applyFont="1" applyBorder="1"/>
    <xf numFmtId="0" fontId="7" fillId="0" borderId="0" xfId="1" applyFont="1"/>
    <xf numFmtId="0" fontId="14" fillId="0" borderId="0" xfId="2" applyFont="1" applyAlignment="1">
      <alignment horizontal="left" vertical="center" indent="5" shrinkToFit="1"/>
    </xf>
    <xf numFmtId="0" fontId="16" fillId="0" borderId="0" xfId="2" applyFont="1" applyAlignment="1">
      <alignment horizontal="right"/>
    </xf>
    <xf numFmtId="0" fontId="17" fillId="0" borderId="3" xfId="2" applyFont="1" applyBorder="1"/>
    <xf numFmtId="0" fontId="11" fillId="0" borderId="2" xfId="3" applyFont="1" applyBorder="1"/>
    <xf numFmtId="164" fontId="18" fillId="0" borderId="0" xfId="2" applyNumberFormat="1" applyFont="1" applyAlignment="1">
      <alignment horizontal="center" vertical="center" wrapText="1"/>
    </xf>
    <xf numFmtId="0" fontId="17" fillId="0" borderId="0" xfId="2" applyFont="1"/>
    <xf numFmtId="0" fontId="19" fillId="0" borderId="0" xfId="2" applyFont="1"/>
    <xf numFmtId="0" fontId="20" fillId="0" borderId="3" xfId="2" applyFont="1" applyBorder="1"/>
    <xf numFmtId="3" fontId="17" fillId="0" borderId="0" xfId="2" applyNumberFormat="1" applyFont="1"/>
    <xf numFmtId="3" fontId="28" fillId="0" borderId="0" xfId="2" applyNumberFormat="1"/>
    <xf numFmtId="0" fontId="21" fillId="0" borderId="3" xfId="2" applyFont="1" applyBorder="1" applyAlignment="1">
      <alignment vertical="center"/>
    </xf>
    <xf numFmtId="0" fontId="22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/>
    </xf>
    <xf numFmtId="0" fontId="14" fillId="0" borderId="3" xfId="2" applyFont="1" applyBorder="1" applyAlignment="1">
      <alignment horizontal="left"/>
    </xf>
    <xf numFmtId="0" fontId="23" fillId="2" borderId="3" xfId="2" applyFont="1" applyFill="1" applyBorder="1" applyAlignment="1">
      <alignment horizontal="left" vertical="center"/>
    </xf>
    <xf numFmtId="0" fontId="24" fillId="2" borderId="3" xfId="2" applyFont="1" applyFill="1" applyBorder="1" applyAlignment="1">
      <alignment horizontal="left" vertical="center"/>
    </xf>
    <xf numFmtId="0" fontId="21" fillId="2" borderId="3" xfId="2" applyFont="1" applyFill="1" applyBorder="1" applyAlignment="1">
      <alignment vertical="center"/>
    </xf>
    <xf numFmtId="3" fontId="25" fillId="2" borderId="3" xfId="2" applyNumberFormat="1" applyFont="1" applyFill="1" applyBorder="1" applyAlignment="1">
      <alignment horizontal="center"/>
    </xf>
    <xf numFmtId="0" fontId="21" fillId="0" borderId="3" xfId="2" applyFont="1" applyBorder="1" applyAlignment="1">
      <alignment horizontal="right" vertical="center"/>
    </xf>
    <xf numFmtId="0" fontId="22" fillId="3" borderId="3" xfId="2" applyFont="1" applyFill="1" applyBorder="1" applyAlignment="1">
      <alignment vertical="center"/>
    </xf>
    <xf numFmtId="3" fontId="13" fillId="0" borderId="3" xfId="2" applyNumberFormat="1" applyFont="1" applyBorder="1"/>
    <xf numFmtId="1" fontId="26" fillId="0" borderId="3" xfId="2" applyNumberFormat="1" applyFont="1" applyBorder="1"/>
    <xf numFmtId="3" fontId="14" fillId="4" borderId="3" xfId="2" applyNumberFormat="1" applyFont="1" applyFill="1" applyBorder="1"/>
    <xf numFmtId="0" fontId="22" fillId="0" borderId="3" xfId="2" applyFont="1" applyBorder="1" applyAlignment="1">
      <alignment vertical="center"/>
    </xf>
    <xf numFmtId="3" fontId="27" fillId="0" borderId="3" xfId="2" applyNumberFormat="1" applyFont="1" applyBorder="1"/>
    <xf numFmtId="3" fontId="14" fillId="0" borderId="3" xfId="2" applyNumberFormat="1" applyFont="1" applyBorder="1"/>
    <xf numFmtId="0" fontId="22" fillId="5" borderId="3" xfId="2" applyFont="1" applyFill="1" applyBorder="1" applyAlignment="1">
      <alignment vertical="center"/>
    </xf>
    <xf numFmtId="3" fontId="9" fillId="0" borderId="0" xfId="2" applyNumberFormat="1" applyFont="1"/>
    <xf numFmtId="0" fontId="0" fillId="6" borderId="0" xfId="0" applyFill="1"/>
    <xf numFmtId="0" fontId="0" fillId="0" borderId="3" xfId="0" applyBorder="1"/>
    <xf numFmtId="0" fontId="6" fillId="6" borderId="0" xfId="0" applyFont="1" applyFill="1"/>
    <xf numFmtId="3" fontId="0" fillId="0" borderId="3" xfId="0" applyNumberFormat="1" applyBorder="1"/>
    <xf numFmtId="0" fontId="5" fillId="0" borderId="3" xfId="0" applyFont="1" applyBorder="1"/>
    <xf numFmtId="43" fontId="0" fillId="0" borderId="3" xfId="5" applyFont="1" applyBorder="1"/>
    <xf numFmtId="0" fontId="4" fillId="0" borderId="0" xfId="2" applyFont="1"/>
    <xf numFmtId="0" fontId="4" fillId="0" borderId="3" xfId="0" applyFont="1" applyBorder="1"/>
    <xf numFmtId="0" fontId="0" fillId="0" borderId="0" xfId="0" applyFill="1" applyBorder="1"/>
    <xf numFmtId="0" fontId="3" fillId="0" borderId="3" xfId="0" applyFont="1" applyBorder="1"/>
    <xf numFmtId="0" fontId="2" fillId="0" borderId="0" xfId="2" applyFont="1"/>
    <xf numFmtId="0" fontId="30" fillId="0" borderId="0" xfId="2" applyFont="1"/>
    <xf numFmtId="0" fontId="2" fillId="0" borderId="3" xfId="0" applyFont="1" applyBorder="1" applyAlignment="1">
      <alignment wrapText="1"/>
    </xf>
    <xf numFmtId="0" fontId="31" fillId="0" borderId="5" xfId="0" applyFont="1" applyBorder="1" applyAlignment="1">
      <alignment horizontal="right"/>
    </xf>
    <xf numFmtId="0" fontId="31" fillId="0" borderId="6" xfId="0" applyFont="1" applyBorder="1" applyAlignment="1">
      <alignment horizontal="right"/>
    </xf>
    <xf numFmtId="0" fontId="31" fillId="0" borderId="7" xfId="0" applyFont="1" applyBorder="1" applyAlignment="1">
      <alignment horizontal="right"/>
    </xf>
    <xf numFmtId="0" fontId="31" fillId="7" borderId="5" xfId="0" applyFont="1" applyFill="1" applyBorder="1"/>
    <xf numFmtId="0" fontId="31" fillId="7" borderId="8" xfId="0" applyFont="1" applyFill="1" applyBorder="1"/>
    <xf numFmtId="0" fontId="31" fillId="0" borderId="4" xfId="0" applyFont="1" applyBorder="1" applyAlignment="1">
      <alignment horizontal="right"/>
    </xf>
    <xf numFmtId="0" fontId="31" fillId="0" borderId="5" xfId="0" applyFont="1" applyBorder="1"/>
    <xf numFmtId="0" fontId="0" fillId="0" borderId="5" xfId="0" applyBorder="1"/>
    <xf numFmtId="0" fontId="32" fillId="0" borderId="9" xfId="0" applyFont="1" applyBorder="1"/>
    <xf numFmtId="1" fontId="31" fillId="0" borderId="5" xfId="0" applyNumberFormat="1" applyFont="1" applyBorder="1"/>
    <xf numFmtId="1" fontId="0" fillId="0" borderId="3" xfId="0" applyNumberFormat="1" applyBorder="1"/>
    <xf numFmtId="0" fontId="2" fillId="0" borderId="0" xfId="2" applyFont="1" applyAlignment="1">
      <alignment horizontal="center" wrapText="1"/>
    </xf>
    <xf numFmtId="0" fontId="1" fillId="0" borderId="3" xfId="0" applyFont="1" applyBorder="1" applyAlignment="1">
      <alignment wrapText="1"/>
    </xf>
  </cellXfs>
  <cellStyles count="6">
    <cellStyle name="Гиперссылка" xfId="1" builtinId="8"/>
    <cellStyle name="Обычный" xfId="0" builtinId="0"/>
    <cellStyle name="Обычный 2" xfId="2" xr:uid="{00000000-0005-0000-0000-000002000000}"/>
    <cellStyle name="Стиль 1" xfId="3" xr:uid="{00000000-0005-0000-0000-000003000000}"/>
    <cellStyle name="Финансовый" xfId="5" builtinId="3"/>
    <cellStyle name="Финансовый 3" xfId="4" xr:uid="{00000000-0005-0000-0000-000004000000}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>
      <selection activeCell="C33" sqref="C33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x14ac:dyDescent="0.3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7.399999999999999" x14ac:dyDescent="0.3">
      <c r="A2" s="11" t="s">
        <v>2</v>
      </c>
      <c r="B2" s="4"/>
      <c r="C2" s="4"/>
      <c r="D2" s="4"/>
      <c r="E2" s="5"/>
      <c r="F2" s="6" t="s">
        <v>3</v>
      </c>
      <c r="G2" s="12">
        <v>46142</v>
      </c>
      <c r="H2" s="5"/>
      <c r="I2" s="13"/>
      <c r="J2" s="9"/>
      <c r="K2" s="14"/>
    </row>
    <row r="3" spans="1:23" x14ac:dyDescent="0.3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x14ac:dyDescent="0.3">
      <c r="A4" s="3"/>
      <c r="B4" s="16" t="s">
        <v>6</v>
      </c>
      <c r="C4" s="16">
        <v>22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175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22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175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169200</v>
      </c>
      <c r="E15" s="31"/>
      <c r="F15" s="31">
        <f t="shared" ref="F15:K15" si="0">SUM(F16:F19)</f>
        <v>169200</v>
      </c>
      <c r="G15" s="31">
        <f t="shared" si="0"/>
        <v>44000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213200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175</v>
      </c>
      <c r="F16" s="34">
        <f t="shared" ref="F16:F22" si="1">D16*E16/$C$5</f>
        <v>72000</v>
      </c>
      <c r="G16" s="34">
        <v>24000</v>
      </c>
      <c r="H16" s="34"/>
      <c r="I16" s="34"/>
      <c r="J16" s="35"/>
      <c r="K16" s="36">
        <f t="shared" ref="K16:K22" si="2">SUM(F16:J16)</f>
        <v>96000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175</v>
      </c>
      <c r="F17" s="34">
        <f t="shared" si="1"/>
        <v>52000</v>
      </c>
      <c r="G17" s="34">
        <v>20000</v>
      </c>
      <c r="H17" s="34"/>
      <c r="I17" s="38"/>
      <c r="J17" s="38"/>
      <c r="K17" s="39">
        <f t="shared" si="2"/>
        <v>72000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24</v>
      </c>
      <c r="D18" s="34">
        <v>45200</v>
      </c>
      <c r="E18" s="34">
        <v>175</v>
      </c>
      <c r="F18" s="34">
        <f t="shared" si="1"/>
        <v>45200</v>
      </c>
      <c r="G18" s="34">
        <v>0</v>
      </c>
      <c r="H18" s="34"/>
      <c r="I18" s="34"/>
      <c r="J18" s="34"/>
      <c r="K18" s="39">
        <f t="shared" si="2"/>
        <v>45200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</sheetData>
  <conditionalFormatting sqref="B15:B22">
    <cfRule type="duplicateValues" dxfId="4" priority="12"/>
  </conditionalFormatting>
  <hyperlinks>
    <hyperlink ref="B3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opLeftCell="A14" zoomScale="89" workbookViewId="0">
      <selection activeCell="B41" sqref="B41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f>апр2026!C5</f>
        <v>175</v>
      </c>
      <c r="C3" s="43">
        <v>175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x14ac:dyDescent="0.3">
      <c r="A6" s="43"/>
      <c r="B6" s="43" t="s">
        <v>29</v>
      </c>
      <c r="C6" s="43" t="s">
        <v>30</v>
      </c>
      <c r="D6" s="43" t="s">
        <v>31</v>
      </c>
    </row>
    <row r="7" spans="1:4" x14ac:dyDescent="0.3">
      <c r="A7" s="43" t="s">
        <v>42</v>
      </c>
      <c r="B7" s="46" t="s">
        <v>51</v>
      </c>
      <c r="C7" s="46" t="s">
        <v>51</v>
      </c>
      <c r="D7" s="45">
        <v>10000</v>
      </c>
    </row>
    <row r="8" spans="1:4" x14ac:dyDescent="0.3">
      <c r="A8" s="43" t="s">
        <v>43</v>
      </c>
      <c r="B8" s="46" t="s">
        <v>51</v>
      </c>
      <c r="C8" s="46" t="s">
        <v>51</v>
      </c>
      <c r="D8" s="45">
        <v>10000</v>
      </c>
    </row>
    <row r="9" spans="1:4" x14ac:dyDescent="0.3">
      <c r="A9" s="43" t="s">
        <v>34</v>
      </c>
      <c r="B9" s="43"/>
      <c r="C9" s="43"/>
      <c r="D9" s="43"/>
    </row>
    <row r="10" spans="1:4" x14ac:dyDescent="0.3">
      <c r="D10" s="43">
        <f>SUM(D7:D9)</f>
        <v>20000</v>
      </c>
    </row>
    <row r="11" spans="1:4" x14ac:dyDescent="0.3">
      <c r="A11" s="43" t="s">
        <v>35</v>
      </c>
      <c r="B11" s="45">
        <v>10755</v>
      </c>
    </row>
    <row r="12" spans="1:4" x14ac:dyDescent="0.3">
      <c r="A12" s="43" t="s">
        <v>36</v>
      </c>
      <c r="B12" s="47">
        <v>1075.5</v>
      </c>
    </row>
    <row r="14" spans="1:4" x14ac:dyDescent="0.3">
      <c r="A14" s="43" t="s">
        <v>37</v>
      </c>
      <c r="B14" s="43">
        <f>B12+D10+C4</f>
        <v>73075.5</v>
      </c>
    </row>
    <row r="17" spans="1:4" s="42" customFormat="1" x14ac:dyDescent="0.3">
      <c r="A17" s="42" t="s">
        <v>44</v>
      </c>
    </row>
    <row r="18" spans="1:4" x14ac:dyDescent="0.3">
      <c r="A18" s="43"/>
      <c r="B18" s="43" t="s">
        <v>25</v>
      </c>
      <c r="C18" s="43" t="s">
        <v>26</v>
      </c>
    </row>
    <row r="19" spans="1:4" x14ac:dyDescent="0.3">
      <c r="A19" s="43" t="s">
        <v>27</v>
      </c>
      <c r="B19" s="43">
        <v>175</v>
      </c>
      <c r="C19" s="43">
        <v>175</v>
      </c>
    </row>
    <row r="20" spans="1:4" x14ac:dyDescent="0.3">
      <c r="A20" s="43" t="s">
        <v>28</v>
      </c>
      <c r="B20" s="43">
        <v>45200</v>
      </c>
      <c r="C20" s="43">
        <f>B20</f>
        <v>45200</v>
      </c>
    </row>
    <row r="22" spans="1:4" x14ac:dyDescent="0.3">
      <c r="A22" s="43"/>
      <c r="B22" s="43" t="s">
        <v>29</v>
      </c>
      <c r="C22" s="43" t="s">
        <v>30</v>
      </c>
      <c r="D22" s="43" t="s">
        <v>31</v>
      </c>
    </row>
    <row r="23" spans="1:4" x14ac:dyDescent="0.3">
      <c r="A23" s="43" t="s">
        <v>32</v>
      </c>
      <c r="B23" s="43"/>
      <c r="C23" s="43"/>
      <c r="D23" s="43"/>
    </row>
    <row r="24" spans="1:4" x14ac:dyDescent="0.3">
      <c r="A24" s="43" t="s">
        <v>33</v>
      </c>
      <c r="B24" s="43"/>
      <c r="C24" s="43"/>
      <c r="D24" s="43"/>
    </row>
    <row r="25" spans="1:4" x14ac:dyDescent="0.3">
      <c r="A25" s="43" t="s">
        <v>34</v>
      </c>
      <c r="B25" s="43"/>
      <c r="C25" s="43"/>
      <c r="D25" s="43"/>
    </row>
    <row r="26" spans="1:4" x14ac:dyDescent="0.3">
      <c r="D26" s="43">
        <f>SUM(D23:D25)</f>
        <v>0</v>
      </c>
    </row>
    <row r="27" spans="1:4" x14ac:dyDescent="0.3">
      <c r="A27" s="43" t="s">
        <v>35</v>
      </c>
      <c r="B27" s="43"/>
    </row>
    <row r="28" spans="1:4" x14ac:dyDescent="0.3">
      <c r="A28" s="43" t="s">
        <v>36</v>
      </c>
      <c r="B28" s="43"/>
    </row>
    <row r="30" spans="1:4" x14ac:dyDescent="0.3">
      <c r="A30" s="43" t="s">
        <v>37</v>
      </c>
      <c r="B30" s="43">
        <f>B28+D26+C20</f>
        <v>45200</v>
      </c>
    </row>
    <row r="34" spans="1:4" s="42" customFormat="1" x14ac:dyDescent="0.3">
      <c r="A34" s="42" t="s">
        <v>45</v>
      </c>
    </row>
    <row r="35" spans="1:4" x14ac:dyDescent="0.3">
      <c r="A35" s="42" t="s">
        <v>38</v>
      </c>
      <c r="B35" s="43" t="s">
        <v>25</v>
      </c>
      <c r="C35" s="43" t="s">
        <v>26</v>
      </c>
    </row>
    <row r="36" spans="1:4" x14ac:dyDescent="0.3">
      <c r="A36" s="43" t="s">
        <v>27</v>
      </c>
      <c r="B36" s="43">
        <v>175</v>
      </c>
      <c r="C36" s="43">
        <v>175</v>
      </c>
    </row>
    <row r="37" spans="1:4" x14ac:dyDescent="0.3">
      <c r="A37" s="43" t="s">
        <v>28</v>
      </c>
      <c r="B37" s="43">
        <v>72000</v>
      </c>
      <c r="C37" s="43">
        <f>B37*C36/B36</f>
        <v>72000</v>
      </c>
    </row>
    <row r="39" spans="1:4" x14ac:dyDescent="0.3">
      <c r="A39" s="43"/>
      <c r="B39" s="43" t="s">
        <v>29</v>
      </c>
      <c r="C39" s="43" t="s">
        <v>30</v>
      </c>
      <c r="D39" s="43" t="s">
        <v>31</v>
      </c>
    </row>
    <row r="40" spans="1:4" x14ac:dyDescent="0.3">
      <c r="A40" s="43" t="s">
        <v>46</v>
      </c>
      <c r="B40" s="46" t="s">
        <v>52</v>
      </c>
      <c r="C40" s="46" t="s">
        <v>52</v>
      </c>
      <c r="D40" s="45">
        <v>12000</v>
      </c>
    </row>
    <row r="41" spans="1:4" x14ac:dyDescent="0.3">
      <c r="A41" s="43" t="s">
        <v>47</v>
      </c>
      <c r="B41" s="46" t="s">
        <v>52</v>
      </c>
      <c r="C41" s="46" t="s">
        <v>52</v>
      </c>
      <c r="D41" s="45">
        <v>12000</v>
      </c>
    </row>
    <row r="42" spans="1:4" x14ac:dyDescent="0.3">
      <c r="A42" s="43" t="s">
        <v>34</v>
      </c>
      <c r="B42" s="43"/>
      <c r="C42" s="43"/>
      <c r="D42" s="43"/>
    </row>
    <row r="43" spans="1:4" x14ac:dyDescent="0.3">
      <c r="D43" s="43">
        <f>SUM(D40:D42)</f>
        <v>24000</v>
      </c>
    </row>
    <row r="44" spans="1:4" x14ac:dyDescent="0.3">
      <c r="A44" s="43" t="s">
        <v>35</v>
      </c>
      <c r="B44" s="43"/>
    </row>
    <row r="45" spans="1:4" x14ac:dyDescent="0.3">
      <c r="A45" s="43" t="s">
        <v>36</v>
      </c>
      <c r="B45" s="43"/>
    </row>
    <row r="47" spans="1:4" x14ac:dyDescent="0.3">
      <c r="A47" s="43" t="s">
        <v>37</v>
      </c>
      <c r="B47" s="43">
        <f>B45+D43+C37</f>
        <v>96000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3879-5B43-495F-A820-430E45140364}">
  <dimension ref="A1:X23"/>
  <sheetViews>
    <sheetView workbookViewId="0">
      <selection activeCell="G17" sqref="G17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53</v>
      </c>
      <c r="B2" s="4"/>
      <c r="C2" s="4"/>
      <c r="D2" s="4"/>
      <c r="E2" s="5"/>
      <c r="F2" s="6" t="s">
        <v>3</v>
      </c>
      <c r="G2" s="12">
        <v>46175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19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152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19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152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170000</v>
      </c>
      <c r="E15" s="31"/>
      <c r="F15" s="31">
        <f t="shared" ref="F15:K15" si="0">SUM(F16:F19)</f>
        <v>126000</v>
      </c>
      <c r="G15" s="31">
        <f t="shared" si="0"/>
        <v>44000</v>
      </c>
      <c r="H15" s="31">
        <f t="shared" si="0"/>
        <v>0</v>
      </c>
      <c r="I15" s="31">
        <f t="shared" si="0"/>
        <v>18023</v>
      </c>
      <c r="J15" s="31">
        <f t="shared" si="0"/>
        <v>0</v>
      </c>
      <c r="K15" s="31">
        <f t="shared" si="0"/>
        <v>188023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88</v>
      </c>
      <c r="F16" s="34">
        <f t="shared" ref="F16:F22" si="1">D16*E16/$C$5</f>
        <v>41684.210526315786</v>
      </c>
      <c r="G16" s="34">
        <v>24000</v>
      </c>
      <c r="H16" s="34">
        <v>0</v>
      </c>
      <c r="I16" s="34">
        <v>18023</v>
      </c>
      <c r="J16" s="35">
        <v>0</v>
      </c>
      <c r="K16" s="36">
        <f t="shared" ref="K16:K22" si="2">SUM(F16:J16)</f>
        <v>83707.210526315786</v>
      </c>
      <c r="L16" s="48"/>
      <c r="M16" s="48" t="s">
        <v>61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112</v>
      </c>
      <c r="F17" s="34">
        <f t="shared" si="1"/>
        <v>38315.789473684214</v>
      </c>
      <c r="G17" s="34">
        <v>20000</v>
      </c>
      <c r="H17" s="34">
        <v>0</v>
      </c>
      <c r="I17" s="38">
        <v>0</v>
      </c>
      <c r="J17" s="38">
        <v>0</v>
      </c>
      <c r="K17" s="39">
        <f>SUM(F17:J17)</f>
        <v>58315.789473684214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24</v>
      </c>
      <c r="D18" s="34">
        <v>46000</v>
      </c>
      <c r="E18" s="34">
        <v>152</v>
      </c>
      <c r="F18" s="34">
        <f t="shared" si="1"/>
        <v>46000</v>
      </c>
      <c r="G18" s="34">
        <v>0</v>
      </c>
      <c r="H18" s="34">
        <v>0</v>
      </c>
      <c r="I18" s="34">
        <v>0</v>
      </c>
      <c r="J18" s="34">
        <v>0</v>
      </c>
      <c r="K18" s="39">
        <f t="shared" si="2"/>
        <v>46000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</sheetData>
  <conditionalFormatting sqref="B15:B22">
    <cfRule type="duplicateValues" dxfId="3" priority="1"/>
  </conditionalFormatting>
  <hyperlinks>
    <hyperlink ref="B3" r:id="rId1" xr:uid="{2F236873-7AB0-46C4-8C12-14C47EA21FD1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CF73-0139-47BE-8426-F78C632E340C}">
  <dimension ref="A1:D48"/>
  <sheetViews>
    <sheetView topLeftCell="A31" zoomScale="89" workbookViewId="0">
      <selection activeCell="B40" sqref="B40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152</v>
      </c>
      <c r="C3" s="43">
        <v>152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x14ac:dyDescent="0.3">
      <c r="A6" s="43"/>
      <c r="B6" s="43" t="s">
        <v>29</v>
      </c>
      <c r="C6" s="43" t="s">
        <v>30</v>
      </c>
      <c r="D6" s="43" t="s">
        <v>31</v>
      </c>
    </row>
    <row r="7" spans="1:4" x14ac:dyDescent="0.3">
      <c r="A7" s="43" t="s">
        <v>42</v>
      </c>
      <c r="B7" s="46" t="s">
        <v>51</v>
      </c>
      <c r="C7" s="46" t="s">
        <v>51</v>
      </c>
      <c r="D7" s="45">
        <v>10000</v>
      </c>
    </row>
    <row r="8" spans="1:4" x14ac:dyDescent="0.3">
      <c r="A8" s="43" t="s">
        <v>43</v>
      </c>
      <c r="B8" s="46" t="s">
        <v>51</v>
      </c>
      <c r="C8" s="46" t="s">
        <v>51</v>
      </c>
      <c r="D8" s="45">
        <v>10000</v>
      </c>
    </row>
    <row r="9" spans="1:4" x14ac:dyDescent="0.3">
      <c r="A9" s="43" t="s">
        <v>34</v>
      </c>
      <c r="B9" s="43"/>
      <c r="C9" s="43"/>
      <c r="D9" s="43"/>
    </row>
    <row r="10" spans="1:4" x14ac:dyDescent="0.3">
      <c r="D10" s="43">
        <f>SUM(D7:D9)</f>
        <v>20000</v>
      </c>
    </row>
    <row r="11" spans="1:4" x14ac:dyDescent="0.3">
      <c r="A11" s="43" t="s">
        <v>35</v>
      </c>
      <c r="B11" s="45">
        <v>0</v>
      </c>
    </row>
    <row r="12" spans="1:4" x14ac:dyDescent="0.3">
      <c r="A12" s="43" t="s">
        <v>36</v>
      </c>
      <c r="B12" s="47">
        <v>0</v>
      </c>
    </row>
    <row r="14" spans="1:4" x14ac:dyDescent="0.3">
      <c r="A14" s="43" t="s">
        <v>37</v>
      </c>
      <c r="B14" s="43">
        <f>B12+D10+C4</f>
        <v>72000</v>
      </c>
    </row>
    <row r="17" spans="1:4" s="42" customFormat="1" x14ac:dyDescent="0.3">
      <c r="A17" s="42" t="s">
        <v>44</v>
      </c>
    </row>
    <row r="18" spans="1:4" x14ac:dyDescent="0.3">
      <c r="A18" s="43"/>
      <c r="B18" s="43" t="s">
        <v>25</v>
      </c>
      <c r="C18" s="43" t="s">
        <v>26</v>
      </c>
    </row>
    <row r="19" spans="1:4" x14ac:dyDescent="0.3">
      <c r="A19" s="43" t="s">
        <v>27</v>
      </c>
      <c r="B19" s="43">
        <v>152</v>
      </c>
      <c r="C19" s="43">
        <v>152</v>
      </c>
    </row>
    <row r="20" spans="1:4" x14ac:dyDescent="0.3">
      <c r="A20" s="43" t="s">
        <v>28</v>
      </c>
      <c r="B20" s="43">
        <v>46000</v>
      </c>
      <c r="C20" s="43">
        <f>B20</f>
        <v>46000</v>
      </c>
    </row>
    <row r="22" spans="1:4" x14ac:dyDescent="0.3">
      <c r="A22" s="43"/>
      <c r="B22" s="43" t="s">
        <v>29</v>
      </c>
      <c r="C22" s="43" t="s">
        <v>30</v>
      </c>
      <c r="D22" s="43" t="s">
        <v>31</v>
      </c>
    </row>
    <row r="23" spans="1:4" x14ac:dyDescent="0.3">
      <c r="A23" s="43" t="s">
        <v>32</v>
      </c>
      <c r="B23" s="43">
        <v>0</v>
      </c>
      <c r="C23" s="43">
        <v>0</v>
      </c>
      <c r="D23" s="43">
        <v>0</v>
      </c>
    </row>
    <row r="24" spans="1:4" x14ac:dyDescent="0.3">
      <c r="A24" s="43" t="s">
        <v>33</v>
      </c>
      <c r="B24" s="43"/>
      <c r="C24" s="43"/>
      <c r="D24" s="43"/>
    </row>
    <row r="25" spans="1:4" x14ac:dyDescent="0.3">
      <c r="A25" s="43" t="s">
        <v>34</v>
      </c>
      <c r="B25" s="43"/>
      <c r="C25" s="43"/>
      <c r="D25" s="43"/>
    </row>
    <row r="26" spans="1:4" x14ac:dyDescent="0.3">
      <c r="D26" s="43">
        <f>SUM(D23:D25)</f>
        <v>0</v>
      </c>
    </row>
    <row r="27" spans="1:4" x14ac:dyDescent="0.3">
      <c r="A27" s="43" t="s">
        <v>35</v>
      </c>
      <c r="B27" s="43"/>
    </row>
    <row r="28" spans="1:4" x14ac:dyDescent="0.3">
      <c r="A28" s="43" t="s">
        <v>36</v>
      </c>
      <c r="B28" s="43"/>
    </row>
    <row r="30" spans="1:4" x14ac:dyDescent="0.3">
      <c r="A30" s="43" t="s">
        <v>37</v>
      </c>
      <c r="B30" s="43">
        <f>B28+D26+C20</f>
        <v>46000</v>
      </c>
    </row>
    <row r="34" spans="1:4" s="42" customFormat="1" x14ac:dyDescent="0.3">
      <c r="A34" s="42" t="s">
        <v>45</v>
      </c>
    </row>
    <row r="35" spans="1:4" x14ac:dyDescent="0.3">
      <c r="A35" s="42" t="s">
        <v>38</v>
      </c>
      <c r="B35" s="43" t="s">
        <v>25</v>
      </c>
      <c r="C35" s="43" t="s">
        <v>26</v>
      </c>
    </row>
    <row r="36" spans="1:4" x14ac:dyDescent="0.3">
      <c r="A36" s="43" t="s">
        <v>27</v>
      </c>
      <c r="B36" s="43">
        <v>152</v>
      </c>
      <c r="C36" s="43">
        <v>152</v>
      </c>
    </row>
    <row r="37" spans="1:4" x14ac:dyDescent="0.3">
      <c r="A37" s="43" t="s">
        <v>28</v>
      </c>
      <c r="B37" s="43">
        <v>72000</v>
      </c>
      <c r="C37" s="43">
        <f>B37*C36/B36</f>
        <v>72000</v>
      </c>
    </row>
    <row r="38" spans="1:4" x14ac:dyDescent="0.3">
      <c r="A38" s="50"/>
    </row>
    <row r="39" spans="1:4" x14ac:dyDescent="0.3">
      <c r="A39" s="43"/>
      <c r="B39" s="43" t="s">
        <v>29</v>
      </c>
      <c r="C39" s="43" t="s">
        <v>30</v>
      </c>
      <c r="D39" s="43" t="s">
        <v>31</v>
      </c>
    </row>
    <row r="40" spans="1:4" x14ac:dyDescent="0.3">
      <c r="A40" s="43" t="s">
        <v>54</v>
      </c>
      <c r="B40" s="49" t="s">
        <v>58</v>
      </c>
      <c r="C40" s="49" t="s">
        <v>58</v>
      </c>
      <c r="D40" s="45">
        <v>6000</v>
      </c>
    </row>
    <row r="41" spans="1:4" x14ac:dyDescent="0.3">
      <c r="A41" s="43" t="s">
        <v>55</v>
      </c>
      <c r="B41" s="49" t="s">
        <v>59</v>
      </c>
      <c r="C41" s="49" t="s">
        <v>59</v>
      </c>
      <c r="D41" s="45">
        <v>6000</v>
      </c>
    </row>
    <row r="42" spans="1:4" x14ac:dyDescent="0.3">
      <c r="A42" s="43" t="s">
        <v>56</v>
      </c>
      <c r="B42" s="43" t="s">
        <v>60</v>
      </c>
      <c r="C42" s="43" t="s">
        <v>60</v>
      </c>
      <c r="D42" s="43">
        <v>6000</v>
      </c>
    </row>
    <row r="43" spans="1:4" x14ac:dyDescent="0.3">
      <c r="A43" s="43" t="s">
        <v>57</v>
      </c>
      <c r="B43" s="43" t="s">
        <v>58</v>
      </c>
      <c r="C43" s="43" t="s">
        <v>58</v>
      </c>
      <c r="D43" s="43">
        <v>6000</v>
      </c>
    </row>
    <row r="44" spans="1:4" x14ac:dyDescent="0.3">
      <c r="D44" s="43">
        <f>SUM(D40:D43)</f>
        <v>24000</v>
      </c>
    </row>
    <row r="45" spans="1:4" x14ac:dyDescent="0.3">
      <c r="A45" s="43" t="s">
        <v>35</v>
      </c>
      <c r="B45" s="43"/>
    </row>
    <row r="46" spans="1:4" x14ac:dyDescent="0.3">
      <c r="A46" s="43" t="s">
        <v>36</v>
      </c>
      <c r="B46" s="43"/>
    </row>
    <row r="48" spans="1:4" x14ac:dyDescent="0.3">
      <c r="A48" s="43" t="s">
        <v>37</v>
      </c>
      <c r="B48" s="43">
        <f>B46+D44+C37</f>
        <v>96000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D2F7-B8B5-439C-A57F-CD9B1BC309D7}">
  <dimension ref="A1:X23"/>
  <sheetViews>
    <sheetView topLeftCell="B3" workbookViewId="0">
      <selection activeCell="B3" sqref="A1:XFD1048576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2</v>
      </c>
      <c r="B2" s="4"/>
      <c r="C2" s="4"/>
      <c r="D2" s="4"/>
      <c r="E2" s="5"/>
      <c r="F2" s="6" t="s">
        <v>3</v>
      </c>
      <c r="G2" s="12">
        <v>46142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21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167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21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167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164858</v>
      </c>
      <c r="E15" s="31"/>
      <c r="F15" s="31">
        <f t="shared" ref="F15:K15" si="0">SUM(F16:F19)</f>
        <v>164858</v>
      </c>
      <c r="G15" s="31">
        <f t="shared" si="0"/>
        <v>55000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219858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167</v>
      </c>
      <c r="F16" s="34">
        <f t="shared" ref="F16:F22" si="1">D16*E16/$C$5</f>
        <v>72000</v>
      </c>
      <c r="G16" s="34">
        <v>24000</v>
      </c>
      <c r="H16" s="34"/>
      <c r="I16" s="34"/>
      <c r="J16" s="35"/>
      <c r="K16" s="36">
        <f t="shared" ref="K16:K22" si="2">SUM(F16:J16)</f>
        <v>96000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167</v>
      </c>
      <c r="F17" s="34">
        <f t="shared" si="1"/>
        <v>52000</v>
      </c>
      <c r="G17" s="34">
        <v>15500</v>
      </c>
      <c r="H17" s="34"/>
      <c r="I17" s="38"/>
      <c r="J17" s="38"/>
      <c r="K17" s="39">
        <f t="shared" si="2"/>
        <v>67500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62</v>
      </c>
      <c r="D18" s="34">
        <v>40858</v>
      </c>
      <c r="E18" s="34">
        <v>167</v>
      </c>
      <c r="F18" s="34">
        <f t="shared" si="1"/>
        <v>40858</v>
      </c>
      <c r="G18" s="34">
        <v>15500</v>
      </c>
      <c r="H18" s="34"/>
      <c r="I18" s="34"/>
      <c r="J18" s="34"/>
      <c r="K18" s="39">
        <f t="shared" si="2"/>
        <v>56358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</sheetData>
  <conditionalFormatting sqref="B15:B22">
    <cfRule type="duplicateValues" dxfId="2" priority="1"/>
  </conditionalFormatting>
  <hyperlinks>
    <hyperlink ref="B3" r:id="rId1" xr:uid="{7668E4E7-6F6D-4C6E-94AE-99897FE893B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A2D2-CB70-44AB-9D77-F36DCFEFB4C5}">
  <dimension ref="A1:D47"/>
  <sheetViews>
    <sheetView topLeftCell="A3" zoomScale="89" workbookViewId="0">
      <selection activeCell="G49" sqref="G49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167</v>
      </c>
      <c r="C3" s="43">
        <v>167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x14ac:dyDescent="0.3">
      <c r="A6" s="43"/>
      <c r="B6" s="43" t="s">
        <v>29</v>
      </c>
      <c r="C6" s="43" t="s">
        <v>30</v>
      </c>
      <c r="D6" s="43" t="s">
        <v>31</v>
      </c>
    </row>
    <row r="7" spans="1:4" x14ac:dyDescent="0.3">
      <c r="A7" s="43" t="s">
        <v>63</v>
      </c>
      <c r="B7" s="46">
        <v>210</v>
      </c>
      <c r="C7" s="46">
        <v>211</v>
      </c>
      <c r="D7" s="45">
        <v>5000</v>
      </c>
    </row>
    <row r="8" spans="1:4" x14ac:dyDescent="0.3">
      <c r="A8" s="43" t="s">
        <v>64</v>
      </c>
      <c r="B8" s="46">
        <v>10</v>
      </c>
      <c r="C8" s="46">
        <v>8</v>
      </c>
      <c r="D8" s="45">
        <v>8000</v>
      </c>
    </row>
    <row r="9" spans="1:4" x14ac:dyDescent="0.3">
      <c r="A9" s="43" t="s">
        <v>65</v>
      </c>
      <c r="B9" s="43">
        <v>2</v>
      </c>
      <c r="C9" s="43">
        <v>1</v>
      </c>
      <c r="D9" s="43">
        <v>2500</v>
      </c>
    </row>
    <row r="10" spans="1:4" x14ac:dyDescent="0.3">
      <c r="D10" s="43">
        <f>SUM(D7:D9)</f>
        <v>15500</v>
      </c>
    </row>
    <row r="11" spans="1:4" x14ac:dyDescent="0.3">
      <c r="A11" s="43" t="s">
        <v>35</v>
      </c>
      <c r="B11" s="45"/>
    </row>
    <row r="12" spans="1:4" x14ac:dyDescent="0.3">
      <c r="A12" s="43" t="s">
        <v>36</v>
      </c>
      <c r="B12" s="47"/>
    </row>
    <row r="14" spans="1:4" x14ac:dyDescent="0.3">
      <c r="A14" s="43" t="s">
        <v>37</v>
      </c>
      <c r="B14" s="43">
        <f>B12+D10+C4</f>
        <v>67500</v>
      </c>
    </row>
    <row r="17" spans="1:4" s="42" customFormat="1" x14ac:dyDescent="0.3">
      <c r="A17" s="42" t="s">
        <v>44</v>
      </c>
    </row>
    <row r="18" spans="1:4" x14ac:dyDescent="0.3">
      <c r="A18" s="43"/>
      <c r="B18" s="43" t="s">
        <v>25</v>
      </c>
      <c r="C18" s="43" t="s">
        <v>26</v>
      </c>
    </row>
    <row r="19" spans="1:4" x14ac:dyDescent="0.3">
      <c r="A19" s="43" t="s">
        <v>27</v>
      </c>
      <c r="B19" s="43">
        <v>167</v>
      </c>
      <c r="C19" s="43">
        <v>167</v>
      </c>
    </row>
    <row r="20" spans="1:4" x14ac:dyDescent="0.3">
      <c r="A20" s="43" t="s">
        <v>28</v>
      </c>
      <c r="B20" s="43">
        <v>40858</v>
      </c>
      <c r="C20" s="43">
        <f>B20</f>
        <v>40858</v>
      </c>
    </row>
    <row r="22" spans="1:4" x14ac:dyDescent="0.3">
      <c r="A22" s="43"/>
      <c r="B22" s="43" t="s">
        <v>29</v>
      </c>
      <c r="C22" s="43" t="s">
        <v>30</v>
      </c>
      <c r="D22" s="43" t="s">
        <v>31</v>
      </c>
    </row>
    <row r="23" spans="1:4" x14ac:dyDescent="0.3">
      <c r="A23" s="43" t="s">
        <v>63</v>
      </c>
      <c r="B23" s="46">
        <v>210</v>
      </c>
      <c r="C23" s="46">
        <v>248</v>
      </c>
      <c r="D23" s="45">
        <v>5000</v>
      </c>
    </row>
    <row r="24" spans="1:4" x14ac:dyDescent="0.3">
      <c r="A24" s="43" t="s">
        <v>64</v>
      </c>
      <c r="B24" s="46">
        <v>10</v>
      </c>
      <c r="C24" s="46">
        <v>8</v>
      </c>
      <c r="D24" s="45">
        <v>8000</v>
      </c>
    </row>
    <row r="25" spans="1:4" x14ac:dyDescent="0.3">
      <c r="A25" s="43" t="s">
        <v>65</v>
      </c>
      <c r="B25" s="43">
        <v>2</v>
      </c>
      <c r="C25" s="43">
        <v>1</v>
      </c>
      <c r="D25" s="43">
        <v>2500</v>
      </c>
    </row>
    <row r="26" spans="1:4" x14ac:dyDescent="0.3">
      <c r="D26" s="43">
        <f>SUM(D23:D25)</f>
        <v>15500</v>
      </c>
    </row>
    <row r="27" spans="1:4" x14ac:dyDescent="0.3">
      <c r="A27" s="43" t="s">
        <v>35</v>
      </c>
      <c r="B27" s="43"/>
    </row>
    <row r="28" spans="1:4" x14ac:dyDescent="0.3">
      <c r="A28" s="43" t="s">
        <v>36</v>
      </c>
      <c r="B28" s="43"/>
    </row>
    <row r="30" spans="1:4" x14ac:dyDescent="0.3">
      <c r="A30" s="43" t="s">
        <v>37</v>
      </c>
      <c r="B30" s="43">
        <f>B28+D26+C20</f>
        <v>56358</v>
      </c>
    </row>
    <row r="34" spans="1:4" s="42" customFormat="1" x14ac:dyDescent="0.3">
      <c r="A34" s="42" t="s">
        <v>45</v>
      </c>
    </row>
    <row r="35" spans="1:4" x14ac:dyDescent="0.3">
      <c r="A35" s="42" t="s">
        <v>38</v>
      </c>
      <c r="B35" s="43" t="s">
        <v>25</v>
      </c>
      <c r="C35" s="43" t="s">
        <v>26</v>
      </c>
    </row>
    <row r="36" spans="1:4" x14ac:dyDescent="0.3">
      <c r="A36" s="43" t="s">
        <v>27</v>
      </c>
      <c r="B36" s="43">
        <v>167</v>
      </c>
      <c r="C36" s="43">
        <v>167</v>
      </c>
    </row>
    <row r="37" spans="1:4" x14ac:dyDescent="0.3">
      <c r="A37" s="43" t="s">
        <v>28</v>
      </c>
      <c r="B37" s="43">
        <v>72000</v>
      </c>
      <c r="C37" s="43">
        <f>B37*C36/B36</f>
        <v>72000</v>
      </c>
    </row>
    <row r="39" spans="1:4" x14ac:dyDescent="0.3">
      <c r="A39" s="43"/>
      <c r="B39" s="43" t="s">
        <v>29</v>
      </c>
      <c r="C39" s="43" t="s">
        <v>30</v>
      </c>
      <c r="D39" s="43" t="s">
        <v>31</v>
      </c>
    </row>
    <row r="40" spans="1:4" x14ac:dyDescent="0.3">
      <c r="A40" s="43" t="s">
        <v>68</v>
      </c>
      <c r="B40" s="51" t="s">
        <v>69</v>
      </c>
      <c r="C40" s="51" t="s">
        <v>69</v>
      </c>
      <c r="D40" s="45">
        <v>6000</v>
      </c>
    </row>
    <row r="41" spans="1:4" x14ac:dyDescent="0.3">
      <c r="A41" s="43" t="s">
        <v>66</v>
      </c>
      <c r="B41" s="46" t="s">
        <v>52</v>
      </c>
      <c r="C41" s="46" t="s">
        <v>52</v>
      </c>
      <c r="D41" s="45">
        <v>12000</v>
      </c>
    </row>
    <row r="42" spans="1:4" x14ac:dyDescent="0.3">
      <c r="A42" s="43" t="s">
        <v>67</v>
      </c>
      <c r="B42" s="43" t="s">
        <v>70</v>
      </c>
      <c r="C42" s="43" t="s">
        <v>70</v>
      </c>
      <c r="D42" s="43">
        <v>6000</v>
      </c>
    </row>
    <row r="43" spans="1:4" x14ac:dyDescent="0.3">
      <c r="D43" s="43">
        <f>SUM(D40:D42)</f>
        <v>24000</v>
      </c>
    </row>
    <row r="44" spans="1:4" x14ac:dyDescent="0.3">
      <c r="A44" s="43" t="s">
        <v>35</v>
      </c>
      <c r="B44" s="43"/>
    </row>
    <row r="45" spans="1:4" x14ac:dyDescent="0.3">
      <c r="A45" s="43" t="s">
        <v>36</v>
      </c>
      <c r="B45" s="43"/>
    </row>
    <row r="47" spans="1:4" x14ac:dyDescent="0.3">
      <c r="A47" s="43" t="s">
        <v>37</v>
      </c>
      <c r="B47" s="43">
        <f>B45+D43+C37</f>
        <v>96000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8EA2-3BCA-44D4-8F25-A905C1467FA4}">
  <dimension ref="A1:X25"/>
  <sheetViews>
    <sheetView topLeftCell="B1" workbookViewId="0">
      <selection activeCell="F26" sqref="F26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71</v>
      </c>
      <c r="B2" s="4"/>
      <c r="C2" s="4"/>
      <c r="D2" s="4"/>
      <c r="E2" s="5"/>
      <c r="F2" s="6" t="s">
        <v>3</v>
      </c>
      <c r="G2" s="12">
        <v>46142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23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184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23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184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3" spans="1:23" x14ac:dyDescent="0.3">
      <c r="I13" s="52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176000</v>
      </c>
      <c r="E15" s="31"/>
      <c r="F15" s="31">
        <f t="shared" ref="F15:K15" si="0">SUM(F16:F19)</f>
        <v>176000</v>
      </c>
      <c r="G15" s="31">
        <f t="shared" si="0"/>
        <v>53458</v>
      </c>
      <c r="H15" s="31">
        <f t="shared" si="0"/>
        <v>0</v>
      </c>
      <c r="I15" s="31">
        <f t="shared" si="0"/>
        <v>40250</v>
      </c>
      <c r="J15" s="31">
        <f t="shared" si="0"/>
        <v>0</v>
      </c>
      <c r="K15" s="31">
        <f t="shared" si="0"/>
        <v>269708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184</v>
      </c>
      <c r="F16" s="34">
        <f t="shared" ref="F16:F22" si="1">D16*E16/$C$5</f>
        <v>72000</v>
      </c>
      <c r="G16" s="34">
        <v>24000</v>
      </c>
      <c r="H16" s="34"/>
      <c r="I16" s="34">
        <v>17250</v>
      </c>
      <c r="J16" s="35"/>
      <c r="K16" s="36">
        <f t="shared" ref="K16:K22" si="2">SUM(F16:J16)</f>
        <v>113250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184</v>
      </c>
      <c r="F17" s="34">
        <f t="shared" si="1"/>
        <v>52000</v>
      </c>
      <c r="G17" s="34">
        <v>17500</v>
      </c>
      <c r="H17" s="34"/>
      <c r="I17" s="34">
        <v>17250</v>
      </c>
      <c r="J17" s="38"/>
      <c r="K17" s="39">
        <f t="shared" si="2"/>
        <v>86750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23</v>
      </c>
      <c r="D18" s="34">
        <v>52000</v>
      </c>
      <c r="E18" s="34">
        <v>184</v>
      </c>
      <c r="F18" s="34">
        <f t="shared" si="1"/>
        <v>52000</v>
      </c>
      <c r="G18" s="34">
        <v>11958</v>
      </c>
      <c r="H18" s="34"/>
      <c r="I18" s="34">
        <v>5750</v>
      </c>
      <c r="J18" s="34"/>
      <c r="K18" s="39">
        <f t="shared" si="2"/>
        <v>69708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  <row r="24" spans="1:24" ht="18" x14ac:dyDescent="0.35">
      <c r="B24" s="53" t="s">
        <v>72</v>
      </c>
    </row>
    <row r="25" spans="1:24" ht="27" customHeight="1" x14ac:dyDescent="0.3">
      <c r="B25" s="66" t="s">
        <v>73</v>
      </c>
      <c r="C25" s="66"/>
      <c r="D25" s="66"/>
    </row>
  </sheetData>
  <mergeCells count="1">
    <mergeCell ref="B25:D25"/>
  </mergeCells>
  <conditionalFormatting sqref="B15:B22">
    <cfRule type="duplicateValues" dxfId="1" priority="1"/>
  </conditionalFormatting>
  <hyperlinks>
    <hyperlink ref="B3" r:id="rId1" xr:uid="{AC493EFD-94FC-4921-A901-754BB86B7BC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C887-B326-41D0-BE64-BDEB4AC3EF9F}">
  <dimension ref="A1:D53"/>
  <sheetViews>
    <sheetView workbookViewId="0">
      <selection activeCell="B47" sqref="B47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  <col min="4" max="4" width="9.44140625" bestFit="1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184</v>
      </c>
      <c r="C3" s="43">
        <v>184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ht="15" thickBot="1" x14ac:dyDescent="0.35">
      <c r="A6" s="43"/>
      <c r="B6" s="43" t="s">
        <v>29</v>
      </c>
      <c r="C6" s="43" t="s">
        <v>30</v>
      </c>
      <c r="D6" s="43" t="s">
        <v>31</v>
      </c>
    </row>
    <row r="7" spans="1:4" ht="15" thickBot="1" x14ac:dyDescent="0.35">
      <c r="A7" s="55" t="s">
        <v>80</v>
      </c>
      <c r="B7" s="58">
        <v>350</v>
      </c>
      <c r="C7" s="63">
        <v>433</v>
      </c>
      <c r="D7" s="60">
        <v>2500</v>
      </c>
    </row>
    <row r="8" spans="1:4" ht="15" thickBot="1" x14ac:dyDescent="0.35">
      <c r="A8" s="56" t="s">
        <v>81</v>
      </c>
      <c r="B8" s="59">
        <v>10</v>
      </c>
      <c r="C8" s="63">
        <v>10</v>
      </c>
      <c r="D8" s="60">
        <v>2500</v>
      </c>
    </row>
    <row r="9" spans="1:4" ht="15" thickBot="1" x14ac:dyDescent="0.35">
      <c r="A9" s="57" t="s">
        <v>82</v>
      </c>
      <c r="B9" s="59">
        <v>15</v>
      </c>
      <c r="C9" s="63">
        <v>15</v>
      </c>
      <c r="D9" s="61">
        <v>5000</v>
      </c>
    </row>
    <row r="10" spans="1:4" ht="15" thickBot="1" x14ac:dyDescent="0.35">
      <c r="A10" s="57" t="s">
        <v>83</v>
      </c>
      <c r="B10" s="59">
        <v>8</v>
      </c>
      <c r="C10" s="63">
        <v>4</v>
      </c>
      <c r="D10" s="61">
        <f>C10/B10*5000</f>
        <v>2500</v>
      </c>
    </row>
    <row r="11" spans="1:4" ht="15" thickBot="1" x14ac:dyDescent="0.35">
      <c r="A11" s="57" t="s">
        <v>84</v>
      </c>
      <c r="B11" s="59">
        <v>5</v>
      </c>
      <c r="C11" s="63">
        <v>5</v>
      </c>
      <c r="D11" s="62">
        <v>2500</v>
      </c>
    </row>
    <row r="12" spans="1:4" ht="15" thickBot="1" x14ac:dyDescent="0.35">
      <c r="A12" s="57" t="s">
        <v>85</v>
      </c>
      <c r="B12" s="59">
        <v>5</v>
      </c>
      <c r="C12" s="63">
        <v>5</v>
      </c>
      <c r="D12" s="61">
        <v>2500</v>
      </c>
    </row>
    <row r="13" spans="1:4" ht="15" thickBot="1" x14ac:dyDescent="0.35">
      <c r="A13" s="57"/>
      <c r="D13" s="43">
        <f>SUM(D7:D12)</f>
        <v>17500</v>
      </c>
    </row>
    <row r="14" spans="1:4" x14ac:dyDescent="0.3">
      <c r="A14" s="43" t="s">
        <v>35</v>
      </c>
      <c r="B14" s="43"/>
    </row>
    <row r="15" spans="1:4" x14ac:dyDescent="0.3">
      <c r="A15" s="43" t="s">
        <v>36</v>
      </c>
      <c r="B15" s="43"/>
    </row>
    <row r="17" spans="1:4" x14ac:dyDescent="0.3">
      <c r="A17" s="43" t="s">
        <v>37</v>
      </c>
      <c r="B17" s="43">
        <f>B15+D13+C4</f>
        <v>69500</v>
      </c>
    </row>
    <row r="20" spans="1:4" s="42" customFormat="1" x14ac:dyDescent="0.3">
      <c r="A20" s="42" t="s">
        <v>44</v>
      </c>
    </row>
    <row r="21" spans="1:4" x14ac:dyDescent="0.3">
      <c r="A21" s="43"/>
      <c r="B21" s="43" t="s">
        <v>25</v>
      </c>
      <c r="C21" s="43" t="s">
        <v>26</v>
      </c>
    </row>
    <row r="22" spans="1:4" x14ac:dyDescent="0.3">
      <c r="A22" s="43" t="s">
        <v>27</v>
      </c>
      <c r="B22" s="43">
        <v>184</v>
      </c>
      <c r="C22" s="43">
        <v>184</v>
      </c>
    </row>
    <row r="23" spans="1:4" x14ac:dyDescent="0.3">
      <c r="A23" s="43" t="s">
        <v>28</v>
      </c>
      <c r="B23" s="43">
        <v>52000</v>
      </c>
      <c r="C23" s="43">
        <v>52000</v>
      </c>
    </row>
    <row r="25" spans="1:4" ht="15" thickBot="1" x14ac:dyDescent="0.35">
      <c r="A25" s="43"/>
      <c r="B25" s="43" t="s">
        <v>29</v>
      </c>
      <c r="C25" s="43" t="s">
        <v>30</v>
      </c>
      <c r="D25" s="43" t="s">
        <v>31</v>
      </c>
    </row>
    <row r="26" spans="1:4" ht="15" thickBot="1" x14ac:dyDescent="0.35">
      <c r="A26" s="55" t="s">
        <v>80</v>
      </c>
      <c r="B26" s="58">
        <v>350</v>
      </c>
      <c r="C26" s="63">
        <v>383</v>
      </c>
      <c r="D26" s="60">
        <v>2500</v>
      </c>
    </row>
    <row r="27" spans="1:4" ht="15" thickBot="1" x14ac:dyDescent="0.35">
      <c r="A27" s="56" t="s">
        <v>81</v>
      </c>
      <c r="B27" s="59">
        <v>10</v>
      </c>
      <c r="C27" s="63">
        <v>13</v>
      </c>
      <c r="D27" s="60">
        <v>2500</v>
      </c>
    </row>
    <row r="28" spans="1:4" ht="15" thickBot="1" x14ac:dyDescent="0.35">
      <c r="A28" s="57" t="s">
        <v>82</v>
      </c>
      <c r="B28" s="59">
        <v>15</v>
      </c>
      <c r="C28" s="63">
        <v>4</v>
      </c>
      <c r="D28" s="64">
        <f>C28/B28*5000</f>
        <v>1333.3333333333333</v>
      </c>
    </row>
    <row r="29" spans="1:4" ht="15" thickBot="1" x14ac:dyDescent="0.35">
      <c r="A29" s="57" t="s">
        <v>83</v>
      </c>
      <c r="B29" s="59">
        <v>8</v>
      </c>
      <c r="C29" s="63">
        <v>1</v>
      </c>
      <c r="D29" s="64">
        <f>C29/B29*5000</f>
        <v>625</v>
      </c>
    </row>
    <row r="30" spans="1:4" ht="15" thickBot="1" x14ac:dyDescent="0.35">
      <c r="A30" s="57" t="s">
        <v>84</v>
      </c>
      <c r="B30" s="59">
        <v>5</v>
      </c>
      <c r="C30" s="46">
        <v>5</v>
      </c>
      <c r="D30" s="62">
        <v>2500</v>
      </c>
    </row>
    <row r="31" spans="1:4" ht="15" thickBot="1" x14ac:dyDescent="0.35">
      <c r="A31" s="57" t="s">
        <v>85</v>
      </c>
      <c r="B31" s="59">
        <v>5</v>
      </c>
      <c r="C31" s="46">
        <v>5</v>
      </c>
      <c r="D31" s="61">
        <v>2500</v>
      </c>
    </row>
    <row r="32" spans="1:4" ht="15" thickBot="1" x14ac:dyDescent="0.35">
      <c r="A32" s="57"/>
      <c r="D32" s="65">
        <f>SUM(D26:D31)</f>
        <v>11958.333333333332</v>
      </c>
    </row>
    <row r="33" spans="1:4" x14ac:dyDescent="0.3">
      <c r="A33" s="43" t="s">
        <v>35</v>
      </c>
      <c r="B33" s="43"/>
    </row>
    <row r="34" spans="1:4" x14ac:dyDescent="0.3">
      <c r="A34" s="43" t="s">
        <v>36</v>
      </c>
      <c r="B34" s="43"/>
    </row>
    <row r="36" spans="1:4" x14ac:dyDescent="0.3">
      <c r="A36" s="43" t="s">
        <v>37</v>
      </c>
      <c r="B36" s="65">
        <f>B34+D32+C23</f>
        <v>63958.333333333328</v>
      </c>
    </row>
    <row r="40" spans="1:4" x14ac:dyDescent="0.3">
      <c r="A40" s="42" t="s">
        <v>45</v>
      </c>
      <c r="B40" s="42"/>
      <c r="C40" s="42"/>
      <c r="D40" s="42"/>
    </row>
    <row r="41" spans="1:4" s="42" customFormat="1" x14ac:dyDescent="0.3">
      <c r="A41" s="42" t="s">
        <v>38</v>
      </c>
      <c r="B41" s="43" t="s">
        <v>25</v>
      </c>
      <c r="C41" s="43" t="s">
        <v>26</v>
      </c>
      <c r="D41"/>
    </row>
    <row r="42" spans="1:4" x14ac:dyDescent="0.3">
      <c r="A42" s="43" t="s">
        <v>27</v>
      </c>
      <c r="B42" s="43">
        <v>184</v>
      </c>
      <c r="C42" s="43">
        <v>184</v>
      </c>
    </row>
    <row r="43" spans="1:4" x14ac:dyDescent="0.3">
      <c r="A43" s="43" t="s">
        <v>28</v>
      </c>
      <c r="B43" s="43">
        <v>72000</v>
      </c>
      <c r="C43" s="43">
        <f>B43*C42/B42</f>
        <v>72000</v>
      </c>
    </row>
    <row r="45" spans="1:4" x14ac:dyDescent="0.3">
      <c r="A45" s="43"/>
      <c r="B45" s="43" t="s">
        <v>29</v>
      </c>
      <c r="C45" s="43" t="s">
        <v>30</v>
      </c>
      <c r="D45" s="43" t="s">
        <v>31</v>
      </c>
    </row>
    <row r="46" spans="1:4" ht="57.6" x14ac:dyDescent="0.3">
      <c r="A46" s="54" t="s">
        <v>74</v>
      </c>
      <c r="B46" s="54" t="s">
        <v>75</v>
      </c>
      <c r="C46" s="54" t="s">
        <v>75</v>
      </c>
      <c r="D46" s="45">
        <v>12000</v>
      </c>
    </row>
    <row r="47" spans="1:4" ht="86.4" x14ac:dyDescent="0.3">
      <c r="A47" s="54" t="s">
        <v>76</v>
      </c>
      <c r="B47" s="54" t="s">
        <v>77</v>
      </c>
      <c r="C47" s="54" t="s">
        <v>77</v>
      </c>
      <c r="D47" s="45">
        <v>6000</v>
      </c>
    </row>
    <row r="48" spans="1:4" ht="57.6" x14ac:dyDescent="0.3">
      <c r="A48" s="54" t="s">
        <v>78</v>
      </c>
      <c r="B48" s="54" t="s">
        <v>79</v>
      </c>
      <c r="C48" s="54" t="s">
        <v>79</v>
      </c>
      <c r="D48" s="43">
        <v>6000</v>
      </c>
    </row>
    <row r="49" spans="1:4" x14ac:dyDescent="0.3">
      <c r="D49" s="43">
        <f>SUM(D46:D48)</f>
        <v>24000</v>
      </c>
    </row>
    <row r="50" spans="1:4" x14ac:dyDescent="0.3">
      <c r="A50" s="43" t="s">
        <v>35</v>
      </c>
      <c r="B50" s="43"/>
    </row>
    <row r="51" spans="1:4" x14ac:dyDescent="0.3">
      <c r="A51" s="43" t="s">
        <v>36</v>
      </c>
      <c r="B51" s="43"/>
    </row>
    <row r="53" spans="1:4" x14ac:dyDescent="0.3">
      <c r="A53" s="43" t="s">
        <v>37</v>
      </c>
      <c r="B53" s="43">
        <f>B51+D49+C43</f>
        <v>96000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0FF2-C272-45CB-8AA3-E4C9D88C9915}">
  <dimension ref="A1:X25"/>
  <sheetViews>
    <sheetView tabSelected="1" topLeftCell="B1" workbookViewId="0">
      <selection activeCell="F10" sqref="F10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71</v>
      </c>
      <c r="B2" s="4"/>
      <c r="C2" s="4"/>
      <c r="D2" s="4"/>
      <c r="E2" s="5"/>
      <c r="F2" s="6" t="s">
        <v>3</v>
      </c>
      <c r="G2" s="12">
        <v>46268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21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168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21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168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3" spans="1:23" x14ac:dyDescent="0.3">
      <c r="I13" s="52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176000</v>
      </c>
      <c r="E15" s="31"/>
      <c r="F15" s="31">
        <f t="shared" ref="F15:K15" si="0">SUM(F16:F19)</f>
        <v>176000</v>
      </c>
      <c r="G15" s="31">
        <f t="shared" si="0"/>
        <v>51500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227500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168</v>
      </c>
      <c r="F16" s="34">
        <f t="shared" ref="F16:F22" si="1">D16*E16/$C$5</f>
        <v>72000</v>
      </c>
      <c r="G16" s="34">
        <v>24000</v>
      </c>
      <c r="H16" s="34"/>
      <c r="I16" s="34"/>
      <c r="J16" s="35"/>
      <c r="K16" s="36">
        <f t="shared" ref="K16:K22" si="2">SUM(F16:J16)</f>
        <v>96000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168</v>
      </c>
      <c r="F17" s="34">
        <f t="shared" si="1"/>
        <v>52000</v>
      </c>
      <c r="G17" s="34">
        <v>18000</v>
      </c>
      <c r="H17" s="34"/>
      <c r="I17" s="34"/>
      <c r="J17" s="38"/>
      <c r="K17" s="39">
        <f t="shared" si="2"/>
        <v>70000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23</v>
      </c>
      <c r="D18" s="34">
        <v>52000</v>
      </c>
      <c r="E18" s="34">
        <v>168</v>
      </c>
      <c r="F18" s="34">
        <f t="shared" si="1"/>
        <v>52000</v>
      </c>
      <c r="G18" s="34">
        <v>9500</v>
      </c>
      <c r="H18" s="34"/>
      <c r="I18" s="34"/>
      <c r="J18" s="34"/>
      <c r="K18" s="39">
        <f t="shared" si="2"/>
        <v>61500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  <row r="24" spans="1:24" ht="18" x14ac:dyDescent="0.35">
      <c r="B24" s="53"/>
    </row>
    <row r="25" spans="1:24" ht="27" customHeight="1" x14ac:dyDescent="0.3">
      <c r="B25" s="66"/>
      <c r="C25" s="66"/>
      <c r="D25" s="66"/>
    </row>
  </sheetData>
  <mergeCells count="1">
    <mergeCell ref="B25:D25"/>
  </mergeCells>
  <conditionalFormatting sqref="B15:B22">
    <cfRule type="duplicateValues" dxfId="0" priority="1"/>
  </conditionalFormatting>
  <hyperlinks>
    <hyperlink ref="B3" r:id="rId1" xr:uid="{F9F587CB-A778-49BE-85E4-A3B8198B873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41AD-2463-48E4-8685-9AB01730280D}">
  <dimension ref="A1:D53"/>
  <sheetViews>
    <sheetView topLeftCell="A40" zoomScale="85" zoomScaleNormal="85" workbookViewId="0">
      <selection activeCell="F44" sqref="F44"/>
    </sheetView>
  </sheetViews>
  <sheetFormatPr defaultRowHeight="14.4" x14ac:dyDescent="0.3"/>
  <cols>
    <col min="1" max="1" width="33.109375" customWidth="1"/>
    <col min="2" max="2" width="24.77734375" customWidth="1"/>
    <col min="3" max="3" width="19.109375" customWidth="1"/>
    <col min="4" max="4" width="9.44140625" bestFit="1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168</v>
      </c>
      <c r="C3" s="43">
        <v>168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ht="15" thickBot="1" x14ac:dyDescent="0.35">
      <c r="A6" s="43"/>
      <c r="B6" s="43" t="s">
        <v>29</v>
      </c>
      <c r="C6" s="43" t="s">
        <v>30</v>
      </c>
      <c r="D6" s="43" t="s">
        <v>31</v>
      </c>
    </row>
    <row r="7" spans="1:4" ht="15" thickBot="1" x14ac:dyDescent="0.35">
      <c r="A7" s="55" t="s">
        <v>80</v>
      </c>
      <c r="B7" s="58">
        <v>350</v>
      </c>
      <c r="C7" s="63">
        <v>352</v>
      </c>
      <c r="D7" s="60">
        <v>2500</v>
      </c>
    </row>
    <row r="8" spans="1:4" ht="15" thickBot="1" x14ac:dyDescent="0.35">
      <c r="A8" s="56" t="s">
        <v>89</v>
      </c>
      <c r="B8" s="59">
        <v>10</v>
      </c>
      <c r="C8" s="63">
        <v>8</v>
      </c>
      <c r="D8" s="60">
        <f>7500*C8/B8*100%</f>
        <v>6000</v>
      </c>
    </row>
    <row r="9" spans="1:4" ht="15" thickBot="1" x14ac:dyDescent="0.35">
      <c r="A9" s="57" t="s">
        <v>90</v>
      </c>
      <c r="B9" s="59">
        <v>10</v>
      </c>
      <c r="C9" s="63">
        <v>9</v>
      </c>
      <c r="D9" s="61">
        <f>C9/B9*5000</f>
        <v>4500</v>
      </c>
    </row>
    <row r="10" spans="1:4" ht="15" thickBot="1" x14ac:dyDescent="0.35">
      <c r="A10" s="57" t="s">
        <v>84</v>
      </c>
      <c r="B10" s="59">
        <v>5</v>
      </c>
      <c r="C10" s="63">
        <v>5</v>
      </c>
      <c r="D10" s="62">
        <v>2500</v>
      </c>
    </row>
    <row r="11" spans="1:4" ht="15" thickBot="1" x14ac:dyDescent="0.35">
      <c r="A11" s="57" t="s">
        <v>85</v>
      </c>
      <c r="B11" s="59">
        <v>5</v>
      </c>
      <c r="C11" s="63">
        <v>5</v>
      </c>
      <c r="D11" s="61">
        <v>2500</v>
      </c>
    </row>
    <row r="12" spans="1:4" ht="15" thickBot="1" x14ac:dyDescent="0.35">
      <c r="A12" s="57"/>
      <c r="D12" s="43">
        <f>SUM(D7:D11)</f>
        <v>18000</v>
      </c>
    </row>
    <row r="13" spans="1:4" x14ac:dyDescent="0.3">
      <c r="A13" s="43" t="s">
        <v>35</v>
      </c>
      <c r="B13" s="43"/>
    </row>
    <row r="14" spans="1:4" x14ac:dyDescent="0.3">
      <c r="A14" s="43" t="s">
        <v>36</v>
      </c>
      <c r="B14" s="43"/>
    </row>
    <row r="16" spans="1:4" x14ac:dyDescent="0.3">
      <c r="A16" s="43" t="s">
        <v>37</v>
      </c>
      <c r="B16" s="43">
        <f>B14+D12+C4</f>
        <v>70000</v>
      </c>
    </row>
    <row r="19" spans="1:4" x14ac:dyDescent="0.3">
      <c r="A19" s="42" t="s">
        <v>44</v>
      </c>
      <c r="B19" s="42"/>
      <c r="C19" s="42"/>
      <c r="D19" s="42"/>
    </row>
    <row r="20" spans="1:4" s="42" customFormat="1" x14ac:dyDescent="0.3">
      <c r="A20" s="43"/>
      <c r="B20" s="43" t="s">
        <v>25</v>
      </c>
      <c r="C20" s="43" t="s">
        <v>26</v>
      </c>
      <c r="D20"/>
    </row>
    <row r="21" spans="1:4" x14ac:dyDescent="0.3">
      <c r="A21" s="43" t="s">
        <v>27</v>
      </c>
      <c r="B21" s="43">
        <v>168</v>
      </c>
      <c r="C21" s="43">
        <v>168</v>
      </c>
    </row>
    <row r="22" spans="1:4" x14ac:dyDescent="0.3">
      <c r="A22" s="43" t="s">
        <v>28</v>
      </c>
      <c r="B22" s="43">
        <v>52000</v>
      </c>
      <c r="C22" s="43">
        <v>52000</v>
      </c>
    </row>
    <row r="24" spans="1:4" x14ac:dyDescent="0.3">
      <c r="A24" s="43"/>
      <c r="B24" s="43" t="s">
        <v>29</v>
      </c>
      <c r="C24" s="43" t="s">
        <v>30</v>
      </c>
      <c r="D24" s="43" t="s">
        <v>31</v>
      </c>
    </row>
    <row r="25" spans="1:4" ht="15" thickBot="1" x14ac:dyDescent="0.35">
      <c r="A25" s="43"/>
      <c r="B25" s="43" t="s">
        <v>29</v>
      </c>
      <c r="C25" s="43" t="s">
        <v>30</v>
      </c>
      <c r="D25" s="43" t="s">
        <v>31</v>
      </c>
    </row>
    <row r="26" spans="1:4" ht="15" thickBot="1" x14ac:dyDescent="0.35">
      <c r="A26" s="55" t="s">
        <v>80</v>
      </c>
      <c r="B26" s="58">
        <v>350</v>
      </c>
      <c r="C26" s="63">
        <v>481</v>
      </c>
      <c r="D26" s="60">
        <v>2500</v>
      </c>
    </row>
    <row r="27" spans="1:4" ht="15" thickBot="1" x14ac:dyDescent="0.35">
      <c r="A27" s="56" t="s">
        <v>89</v>
      </c>
      <c r="B27" s="59">
        <v>10</v>
      </c>
      <c r="C27" s="63">
        <v>2</v>
      </c>
      <c r="D27" s="60">
        <f>7500*C27/B27*100%</f>
        <v>1500</v>
      </c>
    </row>
    <row r="28" spans="1:4" ht="15" thickBot="1" x14ac:dyDescent="0.35">
      <c r="A28" s="57" t="s">
        <v>90</v>
      </c>
      <c r="B28" s="59">
        <v>10</v>
      </c>
      <c r="C28" s="63">
        <v>1</v>
      </c>
      <c r="D28" s="61">
        <f>C28/B28*5000</f>
        <v>500</v>
      </c>
    </row>
    <row r="29" spans="1:4" ht="15" thickBot="1" x14ac:dyDescent="0.35">
      <c r="A29" s="57" t="s">
        <v>84</v>
      </c>
      <c r="B29" s="59">
        <v>5</v>
      </c>
      <c r="C29" s="63">
        <v>5</v>
      </c>
      <c r="D29" s="62">
        <v>2500</v>
      </c>
    </row>
    <row r="30" spans="1:4" ht="15" thickBot="1" x14ac:dyDescent="0.35">
      <c r="A30" s="57" t="s">
        <v>85</v>
      </c>
      <c r="B30" s="59">
        <v>5</v>
      </c>
      <c r="C30" s="63">
        <v>5</v>
      </c>
      <c r="D30" s="61">
        <v>2500</v>
      </c>
    </row>
    <row r="31" spans="1:4" ht="15" thickBot="1" x14ac:dyDescent="0.35">
      <c r="A31" s="57"/>
      <c r="D31" s="65">
        <f>SUM(D25:D30)</f>
        <v>9500</v>
      </c>
    </row>
    <row r="32" spans="1:4" x14ac:dyDescent="0.3">
      <c r="A32" s="43" t="s">
        <v>35</v>
      </c>
      <c r="B32" s="43"/>
    </row>
    <row r="33" spans="1:4" x14ac:dyDescent="0.3">
      <c r="A33" s="43" t="s">
        <v>36</v>
      </c>
      <c r="B33" s="43"/>
    </row>
    <row r="35" spans="1:4" x14ac:dyDescent="0.3">
      <c r="A35" s="43" t="s">
        <v>37</v>
      </c>
      <c r="B35" s="65">
        <f>B33+D31+C22</f>
        <v>61500</v>
      </c>
    </row>
    <row r="39" spans="1:4" x14ac:dyDescent="0.3">
      <c r="A39" s="42" t="s">
        <v>45</v>
      </c>
      <c r="B39" s="42"/>
      <c r="C39" s="42"/>
      <c r="D39" s="42"/>
    </row>
    <row r="40" spans="1:4" x14ac:dyDescent="0.3">
      <c r="A40" s="42" t="s">
        <v>38</v>
      </c>
      <c r="B40" s="43" t="s">
        <v>25</v>
      </c>
      <c r="C40" s="43" t="s">
        <v>26</v>
      </c>
    </row>
    <row r="41" spans="1:4" s="42" customFormat="1" x14ac:dyDescent="0.3">
      <c r="A41" s="43" t="s">
        <v>27</v>
      </c>
      <c r="B41" s="43">
        <v>168</v>
      </c>
      <c r="C41" s="43">
        <v>168</v>
      </c>
      <c r="D41"/>
    </row>
    <row r="42" spans="1:4" x14ac:dyDescent="0.3">
      <c r="A42" s="43" t="s">
        <v>28</v>
      </c>
      <c r="B42" s="43">
        <v>72000</v>
      </c>
      <c r="C42" s="43">
        <f>B42*C41/B41</f>
        <v>72000</v>
      </c>
    </row>
    <row r="44" spans="1:4" x14ac:dyDescent="0.3">
      <c r="A44" s="43"/>
      <c r="B44" s="43" t="s">
        <v>29</v>
      </c>
      <c r="C44" s="43" t="s">
        <v>30</v>
      </c>
      <c r="D44" s="43" t="s">
        <v>31</v>
      </c>
    </row>
    <row r="45" spans="1:4" ht="57.6" x14ac:dyDescent="0.3">
      <c r="A45" s="54" t="s">
        <v>74</v>
      </c>
      <c r="B45" s="54" t="s">
        <v>75</v>
      </c>
      <c r="C45" s="54" t="s">
        <v>75</v>
      </c>
      <c r="D45" s="45">
        <v>6000</v>
      </c>
    </row>
    <row r="46" spans="1:4" ht="86.4" x14ac:dyDescent="0.3">
      <c r="A46" s="54" t="s">
        <v>76</v>
      </c>
      <c r="B46" s="54" t="s">
        <v>77</v>
      </c>
      <c r="C46" s="54" t="s">
        <v>77</v>
      </c>
      <c r="D46" s="45">
        <v>6000</v>
      </c>
    </row>
    <row r="47" spans="1:4" ht="57.6" x14ac:dyDescent="0.3">
      <c r="A47" s="67" t="s">
        <v>86</v>
      </c>
      <c r="B47" s="54" t="s">
        <v>79</v>
      </c>
      <c r="C47" s="54" t="s">
        <v>79</v>
      </c>
      <c r="D47" s="43">
        <v>6000</v>
      </c>
    </row>
    <row r="48" spans="1:4" ht="115.2" x14ac:dyDescent="0.3">
      <c r="A48" s="67" t="s">
        <v>87</v>
      </c>
      <c r="B48" s="67" t="s">
        <v>88</v>
      </c>
      <c r="C48" s="67" t="s">
        <v>88</v>
      </c>
      <c r="D48" s="43">
        <v>6000</v>
      </c>
    </row>
    <row r="49" spans="1:4" x14ac:dyDescent="0.3">
      <c r="D49" s="43">
        <f>SUM(D45:D48)</f>
        <v>24000</v>
      </c>
    </row>
    <row r="50" spans="1:4" x14ac:dyDescent="0.3">
      <c r="A50" s="43" t="s">
        <v>35</v>
      </c>
      <c r="B50" s="43"/>
    </row>
    <row r="51" spans="1:4" x14ac:dyDescent="0.3">
      <c r="A51" s="43" t="s">
        <v>36</v>
      </c>
      <c r="B51" s="43"/>
    </row>
    <row r="53" spans="1:4" x14ac:dyDescent="0.3">
      <c r="A53" s="43" t="s">
        <v>37</v>
      </c>
      <c r="B53" s="43">
        <f>B51+D49+C42</f>
        <v>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апр2026</vt:lpstr>
      <vt:lpstr>апрель вспом</vt:lpstr>
      <vt:lpstr>май2026</vt:lpstr>
      <vt:lpstr>май вспом</vt:lpstr>
      <vt:lpstr>июнь2026</vt:lpstr>
      <vt:lpstr>июнь вспом</vt:lpstr>
      <vt:lpstr>июль2026</vt:lpstr>
      <vt:lpstr>июль вспом</vt:lpstr>
      <vt:lpstr>август2026</vt:lpstr>
      <vt:lpstr>август вспом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Дворяк Александра</dc:creator>
  <cp:lastModifiedBy>Блохина Елизавета</cp:lastModifiedBy>
  <cp:revision>1</cp:revision>
  <dcterms:created xsi:type="dcterms:W3CDTF">2026-04-24T02:50:40Z</dcterms:created>
  <dcterms:modified xsi:type="dcterms:W3CDTF">2026-09-03T06:47:04Z</dcterms:modified>
</cp:coreProperties>
</file>