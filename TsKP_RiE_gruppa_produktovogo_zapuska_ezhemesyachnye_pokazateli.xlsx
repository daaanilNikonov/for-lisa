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роекты" sheetId="2" state="visible" r:id="rId2"/>
    <sheet xmlns:r="http://schemas.openxmlformats.org/officeDocument/2006/relationships" name="Справочник" sheetId="3" state="visible" r:id="rId3"/>
  </sheets>
  <definedNames>
    <definedName name="_xlnm.Print_Titles" localSheetId="0">'СВОДКА'!$1:$4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"/>
    <numFmt numFmtId="165" formatCode="0.0%"/>
  </numFmts>
  <fonts count="39">
    <font>
      <name val="Arial"/>
      <color rgb="FF000000"/>
      <sz val="10"/>
    </font>
    <font>
      <name val="Arial"/>
      <i val="1"/>
      <color rgb="FFFF0000"/>
      <sz val="10"/>
    </font>
    <font>
      <name val="Arial"/>
      <color theme="1"/>
      <sz val="10"/>
    </font>
    <font>
      <name val="Arial"/>
      <b val="1"/>
      <color theme="1"/>
      <sz val="20"/>
    </font>
    <font>
      <name val="Arial"/>
      <color rgb="FF0000FF"/>
      <sz val="10"/>
    </font>
    <font>
      <name val="Inter"/>
      <b val="1"/>
      <color theme="1"/>
      <sz val="10"/>
    </font>
    <font>
      <name val="Arial"/>
      <b val="1"/>
      <color theme="1"/>
      <sz val="10"/>
    </font>
    <font>
      <name val="Inter"/>
      <b val="1"/>
      <color rgb="FFFFFFFF"/>
      <sz val="10"/>
    </font>
    <font>
      <name val="Arial"/>
      <sz val="10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b val="1"/>
      <color rgb="FF1F1F1F"/>
      <sz val="14"/>
    </font>
    <font>
      <name val="Arial"/>
      <b val="1"/>
      <color rgb="FF666666"/>
      <sz val="11"/>
    </font>
    <font>
      <name val="Inter"/>
      <b val="1"/>
      <color rgb="FF1F1F1F"/>
      <sz val="14"/>
    </font>
    <font>
      <name val="Arial"/>
      <color theme="1"/>
      <sz val="10"/>
    </font>
    <font>
      <name val="Arial"/>
      <sz val="10"/>
    </font>
    <font>
      <name val="Inter"/>
      <b val="1"/>
      <color theme="2"/>
      <sz val="10"/>
    </font>
    <font>
      <name val="Arial"/>
      <b val="1"/>
      <color rgb="FFFFFFFF"/>
      <sz val="12"/>
    </font>
    <font>
      <name val="Arial"/>
      <b val="1"/>
      <i val="1"/>
      <color theme="1"/>
      <sz val="10"/>
    </font>
    <font>
      <name val="Arial"/>
      <b val="1"/>
      <color rgb="FFFFFFFF"/>
      <sz val="11"/>
    </font>
    <font>
      <name val="Arial"/>
      <charset val="204"/>
      <family val="2"/>
      <b val="1"/>
      <color rgb="FFFFFFFF"/>
      <sz val="12"/>
    </font>
    <font>
      <name val="Inter"/>
      <charset val="204"/>
      <sz val="10"/>
    </font>
    <font>
      <name val="Inter"/>
      <b val="1"/>
      <i val="1"/>
      <sz val="9"/>
    </font>
    <font>
      <name val="Arial"/>
      <charset val="204"/>
      <family val="2"/>
      <b val="1"/>
      <sz val="10"/>
    </font>
    <font>
      <name val="Arial"/>
      <charset val="204"/>
      <family val="2"/>
      <b val="1"/>
      <color theme="0"/>
      <sz val="12"/>
    </font>
    <font>
      <name val="Arial"/>
      <charset val="204"/>
      <family val="2"/>
      <color theme="0"/>
      <sz val="10"/>
    </font>
    <font>
      <name val="Arial"/>
      <charset val="204"/>
      <family val="2"/>
      <i val="1"/>
      <color theme="0"/>
      <sz val="10"/>
    </font>
    <font>
      <name val="Arial"/>
      <charset val="204"/>
      <family val="2"/>
      <b val="1"/>
      <color theme="0"/>
      <sz val="10"/>
    </font>
    <font>
      <name val="Arial"/>
      <charset val="204"/>
      <family val="2"/>
      <b val="1"/>
      <color theme="0"/>
      <sz val="11"/>
    </font>
    <font>
      <name val="Arial"/>
      <charset val="204"/>
      <family val="2"/>
      <i val="1"/>
      <color theme="0"/>
      <sz val="9"/>
    </font>
    <font>
      <name val="Inter"/>
      <charset val="204"/>
      <b val="1"/>
      <color theme="0"/>
      <sz val="10"/>
    </font>
    <font>
      <name val="Calibri"/>
      <sz val="10"/>
    </font>
    <font>
      <name val="Calibri"/>
      <b val="1"/>
      <color rgb="00FFFFFF"/>
      <sz val="12"/>
    </font>
    <font>
      <name val="Calibri"/>
      <i val="1"/>
      <sz val="9"/>
    </font>
    <font>
      <name val="Calibri"/>
      <b val="1"/>
      <color rgb="00FFFFFF"/>
      <sz val="10"/>
    </font>
    <font>
      <name val="Calibri"/>
      <sz val="8"/>
    </font>
    <font>
      <name val="Calibri"/>
      <sz val="9"/>
    </font>
    <font>
      <name val="Arial"/>
      <color rgb="00000000"/>
      <sz val="10"/>
    </font>
    <font>
      <name val="Arial"/>
      <i val="1"/>
      <sz val="9"/>
    </font>
  </fonts>
  <fills count="26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C9DAF8"/>
      </patternFill>
    </fill>
    <fill>
      <patternFill patternType="solid">
        <fgColor rgb="FF0000FF"/>
      </patternFill>
    </fill>
    <fill>
      <patternFill patternType="solid">
        <fgColor rgb="FFCFE2F3"/>
      </patternFill>
    </fill>
    <fill>
      <patternFill patternType="solid">
        <fgColor rgb="FF0000FF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theme="0"/>
      </patternFill>
    </fill>
    <fill>
      <patternFill patternType="solid">
        <fgColor rgb="FF0000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AF3F8"/>
      </patternFill>
    </fill>
    <fill>
      <patternFill patternType="solid">
        <fgColor rgb="FF2F75B5"/>
      </patternFill>
    </fill>
    <fill>
      <patternFill patternType="solid">
        <fgColor theme="0"/>
        <bgColor indexed="64"/>
      </patternFill>
    </fill>
    <fill>
      <patternFill patternType="solid">
        <fgColor rgb="00EAF3F8"/>
      </patternFill>
    </fill>
    <fill>
      <patternFill patternType="solid">
        <fgColor rgb="00FFFFFF"/>
      </patternFill>
    </fill>
    <fill>
      <patternFill patternType="solid">
        <fgColor rgb="00CFE2F3"/>
      </patternFill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5B9BD5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/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20"/>
  </cellStyleXfs>
  <cellXfs count="239">
    <xf numFmtId="0" fontId="0" fillId="0" borderId="0" pivotButton="0" quotePrefix="0" xfId="0"/>
    <xf numFmtId="0" fontId="2" fillId="0" borderId="0" pivotButton="0" quotePrefix="0" xfId="0"/>
    <xf numFmtId="0" fontId="2" fillId="0" borderId="7" pivotButton="0" quotePrefix="0" xfId="0"/>
    <xf numFmtId="0" fontId="8" fillId="0" borderId="8" applyAlignment="1" pivotButton="0" quotePrefix="0" xfId="0">
      <alignment vertical="top" wrapText="1"/>
    </xf>
    <xf numFmtId="0" fontId="2" fillId="0" borderId="7" applyAlignment="1" pivotButton="0" quotePrefix="0" xfId="0">
      <alignment wrapText="1"/>
    </xf>
    <xf numFmtId="1" fontId="8" fillId="0" borderId="8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3" borderId="7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left" vertical="center" wrapText="1"/>
    </xf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3" fontId="9" fillId="6" borderId="8" applyAlignment="1" pivotButton="0" quotePrefix="0" xfId="0">
      <alignment horizontal="center" vertical="center" wrapText="1"/>
    </xf>
    <xf numFmtId="0" fontId="8" fillId="5" borderId="8" applyAlignment="1" pivotButton="0" quotePrefix="0" xfId="0">
      <alignment vertical="top" wrapText="1"/>
    </xf>
    <xf numFmtId="3" fontId="8" fillId="0" borderId="8" applyAlignment="1" pivotButton="0" quotePrefix="0" xfId="0">
      <alignment horizontal="right" vertical="top" wrapText="1"/>
    </xf>
    <xf numFmtId="0" fontId="7" fillId="6" borderId="10" applyAlignment="1" pivotButton="0" quotePrefix="0" xfId="0">
      <alignment horizontal="center" vertical="center" wrapText="1"/>
    </xf>
    <xf numFmtId="0" fontId="9" fillId="6" borderId="11" applyAlignment="1" pivotButton="0" quotePrefix="0" xfId="0">
      <alignment horizontal="center" vertical="center" wrapText="1"/>
    </xf>
    <xf numFmtId="3" fontId="9" fillId="6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top" wrapText="1"/>
    </xf>
    <xf numFmtId="0" fontId="0" fillId="0" borderId="11" pivotButton="0" quotePrefix="0" xfId="0"/>
    <xf numFmtId="0" fontId="8" fillId="0" borderId="12" applyAlignment="1" pivotButton="0" quotePrefix="0" xfId="0">
      <alignment wrapText="1"/>
    </xf>
    <xf numFmtId="0" fontId="8" fillId="0" borderId="11" applyAlignment="1" pivotButton="0" quotePrefix="0" xfId="0">
      <alignment wrapText="1"/>
    </xf>
    <xf numFmtId="0" fontId="8" fillId="5" borderId="11" applyAlignment="1" pivotButton="0" quotePrefix="0" xfId="0">
      <alignment wrapText="1"/>
    </xf>
    <xf numFmtId="3" fontId="8" fillId="0" borderId="11" applyAlignment="1" pivotButton="0" quotePrefix="0" xfId="0">
      <alignment horizontal="right" wrapText="1"/>
    </xf>
    <xf numFmtId="0" fontId="7" fillId="4" borderId="8" applyAlignment="1" pivotButton="0" quotePrefix="0" xfId="0">
      <alignment horizontal="left" vertical="top" wrapText="1"/>
    </xf>
    <xf numFmtId="1" fontId="8" fillId="5" borderId="8" applyAlignment="1" pivotButton="0" quotePrefix="0" xfId="0">
      <alignment vertical="top" wrapText="1"/>
    </xf>
    <xf numFmtId="3" fontId="8" fillId="0" borderId="8" applyAlignment="1" pivotButton="0" quotePrefix="0" xfId="0">
      <alignment horizontal="left" wrapText="1"/>
    </xf>
    <xf numFmtId="0" fontId="2" fillId="0" borderId="9" applyAlignment="1" pivotButton="0" quotePrefix="0" xfId="0">
      <alignment wrapText="1"/>
    </xf>
    <xf numFmtId="0" fontId="15" fillId="9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vertical="top" wrapText="1"/>
    </xf>
    <xf numFmtId="0" fontId="2" fillId="0" borderId="11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3" fontId="15" fillId="0" borderId="8" applyAlignment="1" pivotButton="0" quotePrefix="0" xfId="0">
      <alignment horizontal="right" vertical="top" wrapText="1"/>
    </xf>
    <xf numFmtId="0" fontId="16" fillId="10" borderId="8" applyAlignment="1" pivotButton="0" quotePrefix="0" xfId="0">
      <alignment horizontal="left" vertical="center" wrapText="1"/>
    </xf>
    <xf numFmtId="3" fontId="8" fillId="0" borderId="17" applyAlignment="1" pivotButton="0" quotePrefix="0" xfId="0">
      <alignment horizontal="right" vertical="top" wrapText="1"/>
    </xf>
    <xf numFmtId="0" fontId="2" fillId="0" borderId="17" applyAlignment="1" pivotButton="0" quotePrefix="0" xfId="0">
      <alignment vertical="top" wrapText="1"/>
    </xf>
    <xf numFmtId="0" fontId="0" fillId="0" borderId="20" applyAlignment="1" pivotButton="0" quotePrefix="0" xfId="0">
      <alignment wrapText="1"/>
    </xf>
    <xf numFmtId="3" fontId="8" fillId="0" borderId="20" applyAlignment="1" pivotButton="0" quotePrefix="0" xfId="0">
      <alignment horizontal="right" wrapText="1"/>
    </xf>
    <xf numFmtId="0" fontId="2" fillId="0" borderId="21" applyAlignment="1" pivotButton="0" quotePrefix="0" xfId="0">
      <alignment vertical="top" wrapText="1"/>
    </xf>
    <xf numFmtId="0" fontId="2" fillId="0" borderId="20" applyAlignment="1" pivotButton="0" quotePrefix="0" xfId="0">
      <alignment wrapText="1"/>
    </xf>
    <xf numFmtId="0" fontId="17" fillId="11" borderId="0" applyAlignment="1" pivotButton="0" quotePrefix="0" xfId="0">
      <alignment horizontal="center" vertical="center" wrapText="1"/>
    </xf>
    <xf numFmtId="0" fontId="7" fillId="13" borderId="0" applyAlignment="1" pivotButton="0" quotePrefix="0" xfId="0">
      <alignment horizontal="center" vertical="center" wrapText="1"/>
    </xf>
    <xf numFmtId="0" fontId="9" fillId="13" borderId="20" applyAlignment="1" pivotButton="0" quotePrefix="0" xfId="0">
      <alignment horizontal="center" vertical="center" wrapText="1"/>
    </xf>
    <xf numFmtId="9" fontId="8" fillId="0" borderId="8" applyAlignment="1" pivotButton="0" quotePrefix="0" xfId="0">
      <alignment horizontal="right" vertical="center" wrapText="1"/>
    </xf>
    <xf numFmtId="3" fontId="8" fillId="0" borderId="8" applyAlignment="1" pivotButton="0" quotePrefix="0" xfId="0">
      <alignment horizontal="right" vertical="center" wrapText="1"/>
    </xf>
    <xf numFmtId="0" fontId="8" fillId="5" borderId="8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0" fontId="2" fillId="14" borderId="7" applyAlignment="1" pivotButton="0" quotePrefix="0" xfId="0">
      <alignment vertical="center" wrapText="1"/>
    </xf>
    <xf numFmtId="9" fontId="2" fillId="0" borderId="7" applyAlignment="1" pivotButton="0" quotePrefix="0" xfId="0">
      <alignment vertical="center" wrapText="1"/>
    </xf>
    <xf numFmtId="3" fontId="8" fillId="14" borderId="21" applyAlignment="1" pivotButton="0" quotePrefix="0" xfId="0">
      <alignment horizontal="right" vertical="center" wrapText="1"/>
    </xf>
    <xf numFmtId="9" fontId="8" fillId="0" borderId="21" applyAlignment="1" pivotButton="0" quotePrefix="0" xfId="0">
      <alignment horizontal="right" vertical="center" wrapText="1"/>
    </xf>
    <xf numFmtId="3" fontId="8" fillId="0" borderId="21" applyAlignment="1" pivotButton="0" quotePrefix="0" xfId="0">
      <alignment horizontal="right" vertical="center" wrapText="1"/>
    </xf>
    <xf numFmtId="3" fontId="8" fillId="14" borderId="21" applyAlignment="1" pivotButton="0" quotePrefix="0" xfId="0">
      <alignment vertical="center" wrapText="1"/>
    </xf>
    <xf numFmtId="9" fontId="8" fillId="0" borderId="21" applyAlignment="1" pivotButton="0" quotePrefix="0" xfId="0">
      <alignment vertical="center" wrapText="1"/>
    </xf>
    <xf numFmtId="0" fontId="9" fillId="13" borderId="8" applyAlignment="1" pivotButton="0" quotePrefix="0" xfId="0">
      <alignment horizontal="center" vertical="center" wrapText="1"/>
    </xf>
    <xf numFmtId="1" fontId="9" fillId="13" borderId="8" applyAlignment="1" pivotButton="0" quotePrefix="0" xfId="0">
      <alignment horizontal="center" vertical="center" wrapText="1"/>
    </xf>
    <xf numFmtId="1" fontId="8" fillId="0" borderId="8" applyAlignment="1" pivotButton="0" quotePrefix="0" xfId="0">
      <alignment horizontal="right" vertical="center" wrapText="1"/>
    </xf>
    <xf numFmtId="1" fontId="8" fillId="14" borderId="8" applyAlignment="1" pivotButton="0" quotePrefix="0" xfId="0">
      <alignment horizontal="right" vertical="center" wrapText="1"/>
    </xf>
    <xf numFmtId="0" fontId="2" fillId="0" borderId="34" applyAlignment="1" pivotButton="0" quotePrefix="0" xfId="0">
      <alignment vertical="center" wrapText="1"/>
    </xf>
    <xf numFmtId="0" fontId="2" fillId="0" borderId="35" applyAlignment="1" pivotButton="0" quotePrefix="0" xfId="0">
      <alignment vertical="center" wrapText="1"/>
    </xf>
    <xf numFmtId="0" fontId="2" fillId="0" borderId="36" applyAlignment="1" pivotButton="0" quotePrefix="0" xfId="0">
      <alignment vertical="center" wrapText="1"/>
    </xf>
    <xf numFmtId="0" fontId="2" fillId="14" borderId="36" applyAlignment="1" pivotButton="0" quotePrefix="0" xfId="0">
      <alignment vertical="center" wrapText="1"/>
    </xf>
    <xf numFmtId="9" fontId="2" fillId="0" borderId="36" applyAlignment="1" pivotButton="0" quotePrefix="0" xfId="0">
      <alignment vertical="center" wrapText="1"/>
    </xf>
    <xf numFmtId="0" fontId="19" fillId="11" borderId="0" applyAlignment="1" pivotButton="0" quotePrefix="0" xfId="0">
      <alignment horizontal="center"/>
    </xf>
    <xf numFmtId="0" fontId="19" fillId="11" borderId="2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0" fillId="0" borderId="20" applyAlignment="1" pivotButton="0" quotePrefix="0" xfId="0">
      <alignment vertical="center" wrapText="1"/>
    </xf>
    <xf numFmtId="0" fontId="9" fillId="13" borderId="0" applyAlignment="1" pivotButton="0" quotePrefix="0" xfId="0">
      <alignment vertical="center" wrapText="1"/>
    </xf>
    <xf numFmtId="0" fontId="9" fillId="13" borderId="20" applyAlignment="1" pivotButton="0" quotePrefix="0" xfId="0">
      <alignment vertical="center" wrapText="1"/>
    </xf>
    <xf numFmtId="9" fontId="8" fillId="14" borderId="8" applyAlignment="1" pivotButton="0" quotePrefix="0" xfId="0">
      <alignment horizontal="right" vertical="center" wrapText="1"/>
    </xf>
    <xf numFmtId="9" fontId="2" fillId="14" borderId="7" applyAlignment="1" pivotButton="0" quotePrefix="0" xfId="0">
      <alignment vertical="center" wrapText="1"/>
    </xf>
    <xf numFmtId="9" fontId="2" fillId="14" borderId="36" applyAlignment="1" pivotButton="0" quotePrefix="0" xfId="0">
      <alignment vertical="center" wrapText="1"/>
    </xf>
    <xf numFmtId="0" fontId="13" fillId="4" borderId="15" applyAlignment="1" pivotButton="0" quotePrefix="0" xfId="0">
      <alignment horizontal="center" vertical="center" wrapText="1"/>
    </xf>
    <xf numFmtId="0" fontId="13" fillId="4" borderId="16" applyAlignment="1" pivotButton="0" quotePrefix="0" xfId="0">
      <alignment horizontal="center" vertical="center" wrapText="1"/>
    </xf>
    <xf numFmtId="0" fontId="12" fillId="5" borderId="17" applyAlignment="1" pivotButton="0" quotePrefix="0" xfId="0">
      <alignment horizontal="center" vertical="center" wrapText="1"/>
    </xf>
    <xf numFmtId="0" fontId="12" fillId="5" borderId="18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 wrapText="1"/>
    </xf>
    <xf numFmtId="0" fontId="2" fillId="8" borderId="14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7" fillId="6" borderId="13" applyAlignment="1" pivotButton="0" quotePrefix="0" xfId="0">
      <alignment horizontal="center" vertical="center" wrapText="1"/>
    </xf>
    <xf numFmtId="0" fontId="17" fillId="11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wrapText="1"/>
    </xf>
    <xf numFmtId="0" fontId="20" fillId="6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right" vertical="center" wrapText="1"/>
    </xf>
    <xf numFmtId="3" fontId="8" fillId="0" borderId="30" applyAlignment="1" pivotButton="0" quotePrefix="0" xfId="0">
      <alignment horizontal="right" vertical="center" wrapText="1"/>
    </xf>
    <xf numFmtId="3" fontId="8" fillId="0" borderId="30" applyAlignment="1" pivotButton="0" quotePrefix="0" xfId="0">
      <alignment vertical="center" wrapText="1"/>
    </xf>
    <xf numFmtId="0" fontId="2" fillId="0" borderId="31" applyAlignment="1" pivotButton="0" quotePrefix="0" xfId="0">
      <alignment vertical="center" wrapText="1"/>
    </xf>
    <xf numFmtId="0" fontId="2" fillId="0" borderId="22" applyAlignment="1" pivotButton="0" quotePrefix="0" xfId="0">
      <alignment vertical="center" wrapText="1"/>
    </xf>
    <xf numFmtId="0" fontId="7" fillId="13" borderId="26" applyAlignment="1" pivotButton="0" quotePrefix="0" xfId="0">
      <alignment horizontal="center" vertical="center" wrapText="1"/>
    </xf>
    <xf numFmtId="0" fontId="0" fillId="0" borderId="20" pivotButton="0" quotePrefix="0" xfId="0"/>
    <xf numFmtId="9" fontId="0" fillId="0" borderId="21" applyAlignment="1" pivotButton="0" quotePrefix="0" xfId="0">
      <alignment vertical="center" wrapText="1"/>
    </xf>
    <xf numFmtId="0" fontId="0" fillId="14" borderId="21" applyAlignment="1" pivotButton="0" quotePrefix="0" xfId="0">
      <alignment vertical="center" wrapText="1"/>
    </xf>
    <xf numFmtId="0" fontId="2" fillId="14" borderId="21" applyAlignment="1" pivotButton="0" quotePrefix="0" xfId="0">
      <alignment vertical="center" wrapText="1"/>
    </xf>
    <xf numFmtId="9" fontId="2" fillId="0" borderId="21" applyAlignment="1" pivotButton="0" quotePrefix="0" xfId="0">
      <alignment vertical="center" wrapText="1"/>
    </xf>
    <xf numFmtId="0" fontId="8" fillId="16" borderId="21" applyAlignment="1" pivotButton="0" quotePrefix="0" xfId="0">
      <alignment vertical="center" wrapText="1"/>
    </xf>
    <xf numFmtId="0" fontId="21" fillId="16" borderId="21" applyAlignment="1" pivotButton="0" quotePrefix="0" xfId="0">
      <alignment horizontal="left" vertical="center" wrapText="1"/>
    </xf>
    <xf numFmtId="0" fontId="2" fillId="16" borderId="23" applyAlignment="1" pivotButton="0" quotePrefix="0" xfId="0">
      <alignment vertical="center" wrapText="1"/>
    </xf>
    <xf numFmtId="0" fontId="2" fillId="14" borderId="37" applyAlignment="1" pivotButton="0" quotePrefix="0" xfId="0">
      <alignment vertical="center" wrapText="1"/>
    </xf>
    <xf numFmtId="9" fontId="2" fillId="0" borderId="37" applyAlignment="1" pivotButton="0" quotePrefix="0" xfId="0">
      <alignment vertical="center" wrapText="1"/>
    </xf>
    <xf numFmtId="0" fontId="2" fillId="0" borderId="32" applyAlignment="1" pivotButton="0" quotePrefix="0" xfId="0">
      <alignment wrapText="1"/>
    </xf>
    <xf numFmtId="0" fontId="0" fillId="0" borderId="32" applyAlignment="1" pivotButton="0" quotePrefix="0" xfId="0">
      <alignment wrapText="1"/>
    </xf>
    <xf numFmtId="0" fontId="21" fillId="16" borderId="33" applyAlignment="1" pivotButton="0" quotePrefix="0" xfId="0">
      <alignment horizontal="left" vertical="center" wrapText="1"/>
    </xf>
    <xf numFmtId="0" fontId="8" fillId="16" borderId="33" applyAlignment="1" pivotButton="0" quotePrefix="0" xfId="0">
      <alignment vertical="center" wrapText="1"/>
    </xf>
    <xf numFmtId="0" fontId="2" fillId="16" borderId="25" applyAlignment="1" pivotButton="0" quotePrefix="0" xfId="0">
      <alignment vertical="center" wrapText="1"/>
    </xf>
    <xf numFmtId="0" fontId="2" fillId="16" borderId="21" applyAlignment="1" pivotButton="0" quotePrefix="0" xfId="0">
      <alignment vertical="center" wrapText="1"/>
    </xf>
    <xf numFmtId="0" fontId="9" fillId="13" borderId="21" applyAlignment="1" pivotButton="0" quotePrefix="0" xfId="0">
      <alignment vertical="center" wrapText="1"/>
    </xf>
    <xf numFmtId="0" fontId="0" fillId="0" borderId="21" pivotButton="0" quotePrefix="0" xfId="0"/>
    <xf numFmtId="0" fontId="6" fillId="7" borderId="27" applyAlignment="1" pivotButton="0" quotePrefix="0" xfId="0">
      <alignment horizontal="center" wrapText="1"/>
    </xf>
    <xf numFmtId="0" fontId="6" fillId="7" borderId="28" applyAlignment="1" pivotButton="0" quotePrefix="0" xfId="0">
      <alignment horizontal="center" wrapText="1"/>
    </xf>
    <xf numFmtId="0" fontId="6" fillId="7" borderId="29" applyAlignment="1" pivotButton="0" quotePrefix="0" xfId="0">
      <alignment horizontal="center" wrapText="1"/>
    </xf>
    <xf numFmtId="0" fontId="11" fillId="0" borderId="24" applyAlignment="1" pivotButton="0" quotePrefix="0" xfId="0">
      <alignment horizontal="center" vertical="center" wrapText="1"/>
    </xf>
    <xf numFmtId="0" fontId="11" fillId="0" borderId="20" applyAlignment="1" pivotButton="0" quotePrefix="0" xfId="0">
      <alignment horizontal="center" vertical="center" wrapText="1"/>
    </xf>
    <xf numFmtId="0" fontId="18" fillId="12" borderId="0" applyAlignment="1" pivotButton="0" quotePrefix="0" xfId="0">
      <alignment horizontal="center" vertical="center" wrapText="1"/>
    </xf>
    <xf numFmtId="0" fontId="19" fillId="15" borderId="20" applyAlignment="1" pivotButton="0" quotePrefix="0" xfId="0">
      <alignment horizontal="center" vertical="center" wrapText="1"/>
    </xf>
    <xf numFmtId="0" fontId="22" fillId="12" borderId="20" applyAlignment="1" pivotButton="0" quotePrefix="0" xfId="0">
      <alignment horizontal="center" vertical="center" wrapText="1"/>
    </xf>
    <xf numFmtId="0" fontId="23" fillId="2" borderId="2" applyAlignment="1" pivotButton="0" quotePrefix="0" xfId="0">
      <alignment horizontal="left" wrapText="1"/>
    </xf>
    <xf numFmtId="0" fontId="23" fillId="2" borderId="4" applyAlignment="1" pivotButton="0" quotePrefix="0" xfId="0">
      <alignment horizontal="left" wrapText="1"/>
    </xf>
    <xf numFmtId="164" fontId="23" fillId="2" borderId="6" applyAlignment="1" pivotButton="0" quotePrefix="0" xfId="0">
      <alignment horizontal="left" wrapText="1"/>
    </xf>
    <xf numFmtId="0" fontId="23" fillId="0" borderId="1" applyAlignment="1" pivotButton="0" quotePrefix="0" xfId="0">
      <alignment horizontal="left" wrapText="1"/>
    </xf>
    <xf numFmtId="0" fontId="23" fillId="0" borderId="3" applyAlignment="1" pivotButton="0" quotePrefix="0" xfId="0">
      <alignment horizontal="left" wrapText="1"/>
    </xf>
    <xf numFmtId="0" fontId="23" fillId="0" borderId="5" applyAlignment="1" pivotButton="0" quotePrefix="0" xfId="0">
      <alignment horizontal="left" wrapText="1"/>
    </xf>
    <xf numFmtId="0" fontId="2" fillId="0" borderId="8" applyAlignment="1" pivotButton="0" quotePrefix="0" xfId="0">
      <alignment vertical="center" wrapText="1"/>
    </xf>
    <xf numFmtId="0" fontId="14" fillId="0" borderId="8" applyAlignment="1" pivotButton="0" quotePrefix="0" xfId="0">
      <alignment vertical="center" wrapText="1"/>
    </xf>
    <xf numFmtId="0" fontId="2" fillId="0" borderId="21" applyAlignment="1" pivotButton="0" quotePrefix="0" xfId="0">
      <alignment horizontal="right" vertical="center" wrapText="1"/>
    </xf>
    <xf numFmtId="0" fontId="13" fillId="4" borderId="28" applyAlignment="1" pivotButton="0" quotePrefix="0" xfId="0">
      <alignment horizontal="center" vertical="center" wrapText="1"/>
    </xf>
    <xf numFmtId="0" fontId="12" fillId="5" borderId="32" applyAlignment="1" pivotButton="0" quotePrefix="0" xfId="0">
      <alignment horizontal="center" vertical="center" wrapText="1"/>
    </xf>
    <xf numFmtId="0" fontId="0" fillId="16" borderId="20" applyAlignment="1" pivotButton="0" quotePrefix="0" xfId="0">
      <alignment wrapText="1"/>
    </xf>
    <xf numFmtId="0" fontId="7" fillId="16" borderId="20" applyAlignment="1" pivotButton="0" quotePrefix="0" xfId="0">
      <alignment horizontal="left" vertical="center" wrapText="1"/>
    </xf>
    <xf numFmtId="3" fontId="8" fillId="16" borderId="20" applyAlignment="1" pivotButton="0" quotePrefix="0" xfId="0">
      <alignment horizontal="right" wrapText="1"/>
    </xf>
    <xf numFmtId="0" fontId="7" fillId="4" borderId="31" applyAlignment="1" pivotButton="0" quotePrefix="0" xfId="0">
      <alignment horizontal="left" vertical="center" wrapText="1"/>
    </xf>
    <xf numFmtId="1" fontId="9" fillId="13" borderId="30" applyAlignment="1" pivotButton="0" quotePrefix="0" xfId="0">
      <alignment horizontal="center" vertical="center" wrapText="1"/>
    </xf>
    <xf numFmtId="9" fontId="8" fillId="0" borderId="30" applyAlignment="1" pivotButton="0" quotePrefix="0" xfId="0">
      <alignment horizontal="right" vertical="center" wrapText="1"/>
    </xf>
    <xf numFmtId="9" fontId="2" fillId="0" borderId="31" applyAlignment="1" pivotButton="0" quotePrefix="0" xfId="0">
      <alignment vertical="center" wrapText="1"/>
    </xf>
    <xf numFmtId="9" fontId="2" fillId="0" borderId="27" applyAlignment="1" pivotButton="0" quotePrefix="0" xfId="0">
      <alignment vertical="center" wrapText="1"/>
    </xf>
    <xf numFmtId="0" fontId="2" fillId="0" borderId="31" pivotButton="0" quotePrefix="0" xfId="0"/>
    <xf numFmtId="0" fontId="24" fillId="16" borderId="20" applyAlignment="1" pivotButton="0" quotePrefix="0" xfId="0">
      <alignment horizontal="center" vertical="center" wrapText="1"/>
    </xf>
    <xf numFmtId="0" fontId="25" fillId="16" borderId="20" pivotButton="0" quotePrefix="0" xfId="0"/>
    <xf numFmtId="0" fontId="26" fillId="16" borderId="20" applyAlignment="1" pivotButton="0" quotePrefix="0" xfId="0">
      <alignment vertical="center" wrapText="1"/>
    </xf>
    <xf numFmtId="0" fontId="25" fillId="16" borderId="20" applyAlignment="1" pivotButton="0" quotePrefix="0" xfId="0">
      <alignment wrapText="1"/>
    </xf>
    <xf numFmtId="0" fontId="27" fillId="16" borderId="20" applyAlignment="1" pivotButton="0" quotePrefix="0" xfId="0">
      <alignment horizontal="center" vertical="center" wrapText="1"/>
    </xf>
    <xf numFmtId="0" fontId="25" fillId="16" borderId="20" applyAlignment="1" pivotButton="0" quotePrefix="0" xfId="0">
      <alignment vertical="center" wrapText="1"/>
    </xf>
    <xf numFmtId="9" fontId="25" fillId="16" borderId="20" applyAlignment="1" pivotButton="0" quotePrefix="0" xfId="0">
      <alignment vertical="center" wrapText="1"/>
    </xf>
    <xf numFmtId="3" fontId="25" fillId="16" borderId="20" applyAlignment="1" pivotButton="0" quotePrefix="0" xfId="0">
      <alignment horizontal="right" vertical="center" wrapText="1"/>
    </xf>
    <xf numFmtId="0" fontId="28" fillId="16" borderId="20" applyAlignment="1" pivotButton="0" quotePrefix="0" xfId="0">
      <alignment horizontal="center" vertical="center" wrapText="1"/>
    </xf>
    <xf numFmtId="0" fontId="29" fillId="16" borderId="20" applyAlignment="1" pivotButton="0" quotePrefix="0" xfId="0">
      <alignment wrapText="1"/>
    </xf>
    <xf numFmtId="0" fontId="30" fillId="16" borderId="20" applyAlignment="1" pivotButton="0" quotePrefix="0" xfId="0">
      <alignment horizontal="center" vertical="center" wrapText="1"/>
    </xf>
    <xf numFmtId="0" fontId="30" fillId="16" borderId="20" applyAlignment="1" pivotButton="0" quotePrefix="0" xfId="0">
      <alignment horizontal="left" vertical="center" wrapText="1"/>
    </xf>
    <xf numFmtId="1" fontId="25" fillId="16" borderId="20" applyAlignment="1" pivotButton="0" quotePrefix="0" xfId="0">
      <alignment horizontal="right" vertical="center" wrapText="1"/>
    </xf>
    <xf numFmtId="0" fontId="28" fillId="16" borderId="20" applyAlignment="1" pivotButton="0" quotePrefix="0" xfId="0">
      <alignment horizontal="center"/>
    </xf>
    <xf numFmtId="0" fontId="27" fillId="16" borderId="20" applyAlignment="1" pivotButton="0" quotePrefix="0" xfId="0">
      <alignment vertical="center" wrapText="1"/>
    </xf>
    <xf numFmtId="0" fontId="2" fillId="14" borderId="30" applyAlignment="1" pivotButton="0" quotePrefix="0" xfId="0">
      <alignment vertical="center" wrapText="1"/>
    </xf>
    <xf numFmtId="0" fontId="2" fillId="14" borderId="38" applyAlignment="1" pivotButton="0" quotePrefix="0" xfId="0">
      <alignment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/>
    </xf>
    <xf numFmtId="0" fontId="3" fillId="0" borderId="20" applyAlignment="1" pivotButton="0" quotePrefix="0" xfId="0">
      <alignment horizontal="center" wrapText="1"/>
    </xf>
    <xf numFmtId="0" fontId="2" fillId="8" borderId="26" applyAlignment="1" pivotButton="0" quotePrefix="0" xfId="0">
      <alignment wrapText="1"/>
    </xf>
    <xf numFmtId="0" fontId="0" fillId="0" borderId="40" pivotButton="0" quotePrefix="0" xfId="0"/>
    <xf numFmtId="0" fontId="0" fillId="0" borderId="23" pivotButton="0" quotePrefix="0" xfId="0"/>
    <xf numFmtId="0" fontId="12" fillId="0" borderId="20" applyAlignment="1" pivotButton="0" quotePrefix="0" xfId="0">
      <alignment horizontal="center" vertical="center" wrapText="1"/>
    </xf>
    <xf numFmtId="0" fontId="0" fillId="0" borderId="13" pivotButton="0" quotePrefix="0" xfId="0"/>
    <xf numFmtId="0" fontId="6" fillId="7" borderId="36" applyAlignment="1" pivotButton="0" quotePrefix="0" xfId="0">
      <alignment horizontal="center" wrapText="1"/>
    </xf>
    <xf numFmtId="0" fontId="0" fillId="0" borderId="28" pivotButton="0" quotePrefix="0" xfId="0"/>
    <xf numFmtId="0" fontId="0" fillId="0" borderId="29" pivotButton="0" quotePrefix="0" xfId="0"/>
    <xf numFmtId="0" fontId="13" fillId="4" borderId="27" applyAlignment="1" pivotButton="0" quotePrefix="0" xfId="0">
      <alignment horizontal="center" vertical="center" wrapText="1"/>
    </xf>
    <xf numFmtId="0" fontId="12" fillId="5" borderId="30" applyAlignment="1" pivotButton="0" quotePrefix="0" xfId="0">
      <alignment horizontal="center" vertical="center" wrapText="1"/>
    </xf>
    <xf numFmtId="0" fontId="0" fillId="0" borderId="18" pivotButton="0" quotePrefix="0" xfId="0"/>
    <xf numFmtId="0" fontId="17" fillId="11" borderId="20" applyAlignment="1" pivotButton="0" quotePrefix="0" xfId="0">
      <alignment horizontal="center" vertical="center" wrapText="1"/>
    </xf>
    <xf numFmtId="0" fontId="18" fillId="12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33" pivotButton="0" quotePrefix="0" xfId="0"/>
    <xf numFmtId="0" fontId="10" fillId="7" borderId="20" applyAlignment="1" pivotButton="0" quotePrefix="0" xfId="0">
      <alignment wrapText="1"/>
    </xf>
    <xf numFmtId="0" fontId="15" fillId="19" borderId="41" applyAlignment="1" pivotButton="0" quotePrefix="0" xfId="0">
      <alignment vertical="center" wrapText="1"/>
    </xf>
    <xf numFmtId="0" fontId="15" fillId="19" borderId="41" applyAlignment="1" pivotButton="0" quotePrefix="0" xfId="0">
      <alignment horizontal="center" vertical="center" wrapText="1"/>
    </xf>
    <xf numFmtId="0" fontId="2" fillId="18" borderId="41" applyAlignment="1" pivotButton="0" quotePrefix="0" xfId="0">
      <alignment vertical="center" wrapText="1"/>
    </xf>
    <xf numFmtId="0" fontId="2" fillId="18" borderId="41" applyAlignment="1" pivotButton="0" quotePrefix="0" xfId="0">
      <alignment horizontal="center" vertical="center" wrapText="1"/>
    </xf>
    <xf numFmtId="0" fontId="2" fillId="19" borderId="41" applyAlignment="1" pivotButton="0" quotePrefix="0" xfId="0">
      <alignment vertical="center" wrapText="1"/>
    </xf>
    <xf numFmtId="0" fontId="2" fillId="19" borderId="41" applyAlignment="1" pivotButton="0" quotePrefix="0" xfId="0">
      <alignment horizontal="center" vertical="center" wrapText="1"/>
    </xf>
    <xf numFmtId="0" fontId="14" fillId="18" borderId="41" applyAlignment="1" pivotButton="0" quotePrefix="0" xfId="0">
      <alignment vertical="center" wrapText="1"/>
    </xf>
    <xf numFmtId="0" fontId="0" fillId="19" borderId="41" applyAlignment="1" pivotButton="0" quotePrefix="0" xfId="0">
      <alignment vertical="center" wrapText="1"/>
    </xf>
    <xf numFmtId="0" fontId="0" fillId="19" borderId="41" applyAlignment="1" pivotButton="0" quotePrefix="0" xfId="0">
      <alignment horizontal="center" vertical="center" wrapText="1"/>
    </xf>
    <xf numFmtId="0" fontId="0" fillId="18" borderId="41" applyAlignment="1" pivotButton="0" quotePrefix="0" xfId="0">
      <alignment vertical="center" wrapText="1"/>
    </xf>
    <xf numFmtId="0" fontId="0" fillId="20" borderId="41" applyAlignment="1" pivotButton="0" quotePrefix="0" xfId="0">
      <alignment horizontal="center" vertical="center" wrapText="1"/>
    </xf>
    <xf numFmtId="0" fontId="0" fillId="18" borderId="41" applyAlignment="1" pivotButton="0" quotePrefix="0" xfId="0">
      <alignment horizontal="center" vertical="center" wrapText="1"/>
    </xf>
    <xf numFmtId="3" fontId="8" fillId="17" borderId="8" applyAlignment="1" pivotButton="0" quotePrefix="0" xfId="0">
      <alignment horizontal="right" vertical="top" wrapText="1"/>
    </xf>
    <xf numFmtId="0" fontId="32" fillId="21" borderId="41" applyAlignment="1" pivotButton="0" quotePrefix="0" xfId="0">
      <alignment vertical="center" wrapText="1"/>
    </xf>
    <xf numFmtId="0" fontId="33" fillId="22" borderId="41" applyAlignment="1" pivotButton="0" quotePrefix="0" xfId="0">
      <alignment vertical="center" wrapText="1"/>
    </xf>
    <xf numFmtId="0" fontId="31" fillId="0" borderId="42" applyAlignment="1" pivotButton="0" quotePrefix="0" xfId="0">
      <alignment horizontal="center" vertical="center" wrapText="1"/>
    </xf>
    <xf numFmtId="0" fontId="31" fillId="0" borderId="42" pivotButton="0" quotePrefix="0" xfId="0"/>
    <xf numFmtId="3" fontId="31" fillId="0" borderId="42" applyAlignment="1" pivotButton="0" quotePrefix="0" xfId="0">
      <alignment horizontal="right" wrapText="1"/>
    </xf>
    <xf numFmtId="0" fontId="34" fillId="23" borderId="41" applyAlignment="1" pivotButton="0" quotePrefix="0" xfId="0">
      <alignment horizontal="center" vertical="center" wrapText="1"/>
    </xf>
    <xf numFmtId="3" fontId="34" fillId="23" borderId="41" applyAlignment="1" pivotButton="0" quotePrefix="0" xfId="0">
      <alignment horizontal="center" vertical="center" wrapText="1"/>
    </xf>
    <xf numFmtId="0" fontId="31" fillId="19" borderId="41" applyAlignment="1" pivotButton="0" quotePrefix="0" xfId="0">
      <alignment horizontal="center" vertical="center" wrapText="1"/>
    </xf>
    <xf numFmtId="0" fontId="31" fillId="19" borderId="41" applyAlignment="1" pivotButton="0" quotePrefix="0" xfId="0">
      <alignment vertical="center" wrapText="1"/>
    </xf>
    <xf numFmtId="0" fontId="31" fillId="20" borderId="41" applyAlignment="1" pivotButton="0" quotePrefix="0" xfId="0">
      <alignment vertical="center" wrapText="1"/>
    </xf>
    <xf numFmtId="165" fontId="31" fillId="18" borderId="41" applyAlignment="1" pivotButton="0" quotePrefix="0" xfId="0">
      <alignment horizontal="center" vertical="center" wrapText="1"/>
    </xf>
    <xf numFmtId="0" fontId="31" fillId="17" borderId="41" applyAlignment="1" pivotButton="0" quotePrefix="0" xfId="0">
      <alignment vertical="center" wrapText="1"/>
    </xf>
    <xf numFmtId="0" fontId="35" fillId="19" borderId="41" applyAlignment="1" pivotButton="0" quotePrefix="0" xfId="0">
      <alignment vertical="center" wrapText="1"/>
    </xf>
    <xf numFmtId="0" fontId="31" fillId="18" borderId="41" applyAlignment="1" pivotButton="0" quotePrefix="0" xfId="0">
      <alignment horizontal="center" vertical="center" wrapText="1"/>
    </xf>
    <xf numFmtId="0" fontId="31" fillId="18" borderId="41" applyAlignment="1" pivotButton="0" quotePrefix="0" xfId="0">
      <alignment vertical="center" wrapText="1"/>
    </xf>
    <xf numFmtId="3" fontId="31" fillId="20" borderId="41" applyAlignment="1" pivotButton="0" quotePrefix="0" xfId="0">
      <alignment vertical="center" wrapText="1"/>
    </xf>
    <xf numFmtId="3" fontId="31" fillId="17" borderId="41" applyAlignment="1" pivotButton="0" quotePrefix="0" xfId="0">
      <alignment vertical="center" wrapText="1"/>
    </xf>
    <xf numFmtId="0" fontId="35" fillId="18" borderId="41" applyAlignment="1" pivotButton="0" quotePrefix="0" xfId="0">
      <alignment vertical="center" wrapText="1"/>
    </xf>
    <xf numFmtId="9" fontId="31" fillId="17" borderId="41" applyAlignment="1" pivotButton="0" quotePrefix="0" xfId="0">
      <alignment horizontal="center" vertical="center" wrapText="1"/>
    </xf>
    <xf numFmtId="0" fontId="31" fillId="0" borderId="42" applyAlignment="1" pivotButton="0" quotePrefix="0" xfId="0">
      <alignment wrapText="1"/>
    </xf>
    <xf numFmtId="0" fontId="31" fillId="0" borderId="42" applyAlignment="1" pivotButton="0" quotePrefix="0" xfId="0">
      <alignment vertical="center" wrapText="1"/>
    </xf>
    <xf numFmtId="9" fontId="31" fillId="0" borderId="42" applyAlignment="1" pivotButton="0" quotePrefix="0" xfId="0">
      <alignment vertical="center" wrapText="1"/>
    </xf>
    <xf numFmtId="1" fontId="34" fillId="23" borderId="41" applyAlignment="1" pivotButton="0" quotePrefix="0" xfId="0">
      <alignment horizontal="center" vertical="center" wrapText="1"/>
    </xf>
    <xf numFmtId="9" fontId="34" fillId="23" borderId="41" applyAlignment="1" pivotButton="0" quotePrefix="0" xfId="0">
      <alignment horizontal="center" vertical="center" wrapText="1"/>
    </xf>
    <xf numFmtId="1" fontId="31" fillId="19" borderId="41" applyAlignment="1" pivotButton="0" quotePrefix="0" xfId="0">
      <alignment vertical="center" wrapText="1"/>
    </xf>
    <xf numFmtId="1" fontId="31" fillId="17" borderId="41" applyAlignment="1" pivotButton="0" quotePrefix="0" xfId="0">
      <alignment vertical="center" wrapText="1"/>
    </xf>
    <xf numFmtId="1" fontId="31" fillId="20" borderId="41" applyAlignment="1" pivotButton="0" quotePrefix="0" xfId="0">
      <alignment vertical="center" wrapText="1"/>
    </xf>
    <xf numFmtId="1" fontId="31" fillId="18" borderId="41" applyAlignment="1" pivotButton="0" quotePrefix="0" xfId="0">
      <alignment vertical="center" wrapText="1"/>
    </xf>
    <xf numFmtId="9" fontId="31" fillId="17" borderId="41" applyAlignment="1" pivotButton="0" quotePrefix="0" xfId="0">
      <alignment vertical="center" wrapText="1"/>
    </xf>
    <xf numFmtId="9" fontId="31" fillId="20" borderId="41" applyAlignment="1" pivotButton="0" quotePrefix="0" xfId="0">
      <alignment vertical="center" wrapText="1"/>
    </xf>
    <xf numFmtId="1" fontId="31" fillId="0" borderId="42" applyAlignment="1" pivotButton="0" quotePrefix="0" xfId="0">
      <alignment horizontal="right" vertical="center" wrapText="1"/>
    </xf>
    <xf numFmtId="0" fontId="36" fillId="19" borderId="41" applyAlignment="1" pivotButton="0" quotePrefix="0" xfId="0">
      <alignment vertical="center" wrapText="1"/>
    </xf>
    <xf numFmtId="0" fontId="31" fillId="24" borderId="41" applyAlignment="1" pivotButton="0" quotePrefix="0" xfId="0">
      <alignment vertical="center" wrapText="1"/>
    </xf>
    <xf numFmtId="0" fontId="36" fillId="18" borderId="41" applyAlignment="1" pivotButton="0" quotePrefix="0" xfId="0">
      <alignment vertical="center" wrapText="1"/>
    </xf>
    <xf numFmtId="0" fontId="31" fillId="0" borderId="42" applyAlignment="1" pivotButton="0" quotePrefix="0" xfId="0">
      <alignment horizontal="center"/>
    </xf>
    <xf numFmtId="0" fontId="0" fillId="20" borderId="41" applyAlignment="1" pivotButton="0" quotePrefix="0" xfId="0">
      <alignment vertical="center" wrapText="1"/>
    </xf>
    <xf numFmtId="0" fontId="0" fillId="17" borderId="41" applyAlignment="1" pivotButton="0" quotePrefix="0" xfId="0">
      <alignment vertical="center" wrapText="1"/>
    </xf>
    <xf numFmtId="0" fontId="0" fillId="24" borderId="41" applyAlignment="1" pivotButton="0" quotePrefix="0" xfId="0">
      <alignment vertical="center" wrapText="1"/>
    </xf>
    <xf numFmtId="0" fontId="0" fillId="0" borderId="41" applyAlignment="1" pivotButton="0" quotePrefix="0" xfId="0">
      <alignment vertical="center" wrapText="1"/>
    </xf>
    <xf numFmtId="3" fontId="15" fillId="20" borderId="41" applyAlignment="1" pivotButton="0" quotePrefix="0" xfId="0">
      <alignment horizontal="right" vertical="top" wrapText="1"/>
    </xf>
    <xf numFmtId="0" fontId="0" fillId="0" borderId="45" pivotButton="0" quotePrefix="0" xfId="0"/>
    <xf numFmtId="0" fontId="0" fillId="0" borderId="46" pivotButton="0" quotePrefix="0" xfId="0"/>
    <xf numFmtId="0" fontId="37" fillId="17" borderId="41" applyAlignment="1" pivotButton="0" quotePrefix="0" xfId="0">
      <alignment vertical="center" wrapText="1"/>
    </xf>
    <xf numFmtId="9" fontId="37" fillId="17" borderId="41" applyAlignment="1" pivotButton="0" quotePrefix="0" xfId="0">
      <alignment vertical="center" wrapText="1"/>
    </xf>
    <xf numFmtId="3" fontId="37" fillId="17" borderId="41" applyAlignment="1" pivotButton="0" quotePrefix="0" xfId="0">
      <alignment vertical="center" wrapText="1"/>
    </xf>
    <xf numFmtId="1" fontId="37" fillId="17" borderId="41" applyAlignment="1" pivotButton="0" quotePrefix="0" xfId="0">
      <alignment vertical="center" wrapText="1"/>
    </xf>
    <xf numFmtId="0" fontId="37" fillId="24" borderId="41" applyAlignment="1" pivotButton="0" quotePrefix="0" xfId="0">
      <alignment vertical="center" wrapText="1"/>
    </xf>
    <xf numFmtId="0" fontId="38" fillId="25" borderId="0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"/>
  <sheetViews>
    <sheetView tabSelected="1" topLeftCell="A25" zoomScale="55" zoomScaleNormal="55" workbookViewId="0">
      <pane xSplit="1" ySplit="20" topLeftCell="B21" activePane="bottomRight" state="frozen"/>
      <selection pane="topRight" activeCell="A1" sqref="A1"/>
      <selection pane="bottomLeft" activeCell="A1" sqref="A1"/>
      <selection pane="bottomRight" activeCell="F91" sqref="F91:F96"/>
    </sheetView>
  </sheetViews>
  <sheetFormatPr baseColWidth="8" defaultColWidth="12.5546875" defaultRowHeight="13.2"/>
  <cols>
    <col width="5" customWidth="1" min="1" max="1"/>
    <col width="18" customWidth="1" min="2" max="2"/>
    <col width="28" customWidth="1" min="3" max="3"/>
    <col width="26" customWidth="1" min="4" max="4"/>
    <col width="16" customWidth="1" min="5" max="5"/>
    <col width="14" customWidth="1" min="6" max="6"/>
    <col width="16" customWidth="1" min="7" max="7"/>
    <col width="18" customWidth="1" min="8" max="8"/>
    <col width="18" customWidth="1" min="9" max="10"/>
    <col width="18" customWidth="1" min="10" max="10"/>
    <col width="18" customWidth="1" min="11" max="11"/>
    <col width="16" customWidth="1" min="12" max="12"/>
    <col width="36" customWidth="1" min="13" max="13"/>
  </cols>
  <sheetData>
    <row r="1">
      <c r="A1" s="6" t="n"/>
      <c r="B1" s="6" t="n"/>
      <c r="C1" s="7" t="n"/>
      <c r="D1" s="6" t="n"/>
      <c r="E1" s="6" t="n"/>
      <c r="F1" s="6" t="n"/>
      <c r="G1" s="6" t="n"/>
      <c r="H1" s="6" t="n"/>
      <c r="I1" s="6" t="n"/>
    </row>
    <row r="2" ht="26.4" customHeight="1">
      <c r="A2" s="6" t="n"/>
      <c r="B2" s="124" t="inlineStr">
        <is>
          <t>Подразделение</t>
        </is>
      </c>
      <c r="C2" s="121" t="inlineStr">
        <is>
          <t>Группа продуктового запуска</t>
        </is>
      </c>
      <c r="D2" s="6" t="n"/>
      <c r="E2" s="6" t="n"/>
      <c r="F2" s="6" t="n"/>
      <c r="G2" s="6" t="n"/>
      <c r="H2" s="6" t="n"/>
      <c r="I2" s="6" t="n"/>
    </row>
    <row r="3" ht="26.4" customHeight="1">
      <c r="A3" s="6" t="n"/>
      <c r="B3" s="125" t="inlineStr">
        <is>
          <t>Руководитель, автор</t>
        </is>
      </c>
      <c r="C3" s="122" t="inlineStr">
        <is>
          <t>Блохина Елизавета</t>
        </is>
      </c>
      <c r="D3" s="6" t="n"/>
      <c r="E3" s="6" t="n"/>
      <c r="F3" s="6" t="n"/>
      <c r="G3" s="6" t="n"/>
      <c r="H3" s="6" t="n"/>
      <c r="I3" s="6" t="n"/>
    </row>
    <row r="4" ht="26.4" customHeight="1">
      <c r="A4" s="6" t="n"/>
      <c r="B4" s="126" t="inlineStr">
        <is>
          <t>Дата заполнения</t>
        </is>
      </c>
      <c r="C4" s="123" t="n">
        <v>46272</v>
      </c>
      <c r="D4" s="6" t="n"/>
      <c r="E4" s="6" t="n"/>
      <c r="F4" s="6" t="n"/>
      <c r="G4" s="6" t="n"/>
      <c r="H4" s="6" t="n"/>
      <c r="I4" s="6" t="n"/>
    </row>
    <row r="5" ht="27.3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</row>
    <row r="6" ht="43.65" customHeight="1">
      <c r="A6" s="6" t="n"/>
      <c r="B6" s="161" t="inlineStr">
        <is>
          <t>КРИТЕРИИ ОЦЕНКИ</t>
        </is>
      </c>
      <c r="I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</row>
    <row r="8" ht="39.6" customHeight="1">
      <c r="A8" s="6" t="n"/>
      <c r="B8" s="7" t="n"/>
      <c r="C8" s="6" t="n"/>
      <c r="D8" s="6" t="n"/>
      <c r="E8" s="8" t="inlineStr">
        <is>
          <t>как измеряем результативность</t>
        </is>
      </c>
      <c r="F8" s="6" t="n"/>
      <c r="G8" s="8" t="inlineStr">
        <is>
          <t>как измеряем эффективность</t>
        </is>
      </c>
      <c r="H8" s="6" t="n"/>
      <c r="I8" s="6" t="n"/>
    </row>
    <row r="9" ht="86.40000000000001" customHeight="1">
      <c r="A9" s="6" t="n"/>
      <c r="B9" s="9" t="inlineStr">
        <is>
          <t>Должность</t>
        </is>
      </c>
      <c r="C9" s="9" t="inlineStr">
        <is>
          <t>Какой продукт создает должность. Результат деятельности. Действия</t>
        </is>
      </c>
      <c r="D9" s="9" t="inlineStr">
        <is>
          <t>Результативность (Р)</t>
        </is>
      </c>
      <c r="E9" s="9" t="inlineStr">
        <is>
          <t>Норматив (Р)</t>
        </is>
      </c>
      <c r="F9" s="9" t="inlineStr">
        <is>
          <t>Эффективность (Э)</t>
        </is>
      </c>
      <c r="G9" s="9" t="inlineStr">
        <is>
          <t>Норматив (Э)</t>
        </is>
      </c>
      <c r="H9" s="10" t="inlineStr">
        <is>
          <t>Качество</t>
        </is>
      </c>
      <c r="I9" s="6" t="n"/>
    </row>
    <row r="10" ht="216" customHeight="1">
      <c r="A10" s="6" t="n"/>
      <c r="B10" s="3" t="inlineStr">
        <is>
          <t>Тимлид</t>
        </is>
      </c>
      <c r="C10" s="3" t="inlineStr">
        <is>
          <t>Управляемый контур запуска новых продуктов: организация и контроль полного цикла от продуктовой гипотезы до вывода в продажи и передачи проекта в тираж.
Формирует/утверждает продуктовую стратегию, ЦА, оффер, каналы продвижения, скрипты, КП, материалы и критерии успеха.
Развивает команду и организует работу по проектам.</t>
        </is>
      </c>
      <c r="D10" s="3" t="inlineStr">
        <is>
          <t>— Успешно завершённые запуски и проекты, переданные в тираж
— Достижение согласованных целей проекта (продажи/демонстрации/предложения и др.)
— Подтверждённые рабочие гипотезы</t>
        </is>
      </c>
      <c r="E10" s="3" t="inlineStr">
        <is>
          <t>— По каждому проекту — выполнение согласованного плана/критериев успеха
— Проект считается результативным при достижении цели и готовности к передаче в тираж</t>
        </is>
      </c>
      <c r="F10" s="3" t="inlineStr">
        <is>
          <t>— Скорость прохождения цикла «гипотеза → тест → корректировка → решение»
— Доля этапов, выполненных в срок
— Полнота продуктовой стратегии и launch-пакета
— Скорость включения команды в новый проект</t>
        </is>
      </c>
      <c r="G10" s="3" t="inlineStr">
        <is>
          <t>— Сроки — по плану проекта
— 100% обязательных артефактов запуска подготовлены к передаче
— Команда включена в работу в согласованный срок</t>
        </is>
      </c>
      <c r="H10" s="3" t="inlineStr">
        <is>
          <t>— Полная проработка продукта/ЦА/оффера/гипотез
— Качественная подготовка скриптов и клиентских материалов
— Корректный сбор и анализ обратной связи
— Готовность проекта к самостоятельному ведению тиражной группой</t>
        </is>
      </c>
      <c r="I10" s="6" t="n"/>
      <c r="J10" s="6" t="n"/>
      <c r="K10" s="6" t="n"/>
    </row>
    <row r="11" ht="170.4" customHeight="1">
      <c r="A11" s="6" t="n"/>
      <c r="B11" s="3" t="inlineStr">
        <is>
          <t>Старший менеджер</t>
        </is>
      </c>
      <c r="C11" s="3" t="inlineStr">
        <is>
          <t>В проектах упаковки и продвижения новых продуктов выполняет полный цикл продажи, участвует в разработке скриптов и формировании гипотез, проводит демонстрации, выступает центром компетенций и при необходимости руководителем проекта.
Самостоятельно продаёт сервисы и услуги, требующие внедрения.</t>
        </is>
      </c>
      <c r="D11" s="3" t="inlineStr">
        <is>
          <t>— Продажи/демонстрации/предложения по плану проекта
— Подтверждение или опровержение гипотез через клиентскую работу
— Вклад в подготовку и запуск проекта</t>
        </is>
      </c>
      <c r="E11" s="3" t="inlineStr">
        <is>
          <t>— Плановые показатели конкретного проекта — по утверждённому паспорту проекта
— Задачи по запуску выполнены в согласованный срок</t>
        </is>
      </c>
      <c r="F11" s="3" t="inlineStr">
        <is>
          <t>— Скорость включения в проект
— Скорость тестирования гипотез и передачи обратной связи
— Соблюдение скрипта/технологии
— Качество демонстраций и клиентской коммуникации</t>
        </is>
      </c>
      <c r="G11" s="3" t="inlineStr">
        <is>
          <t>— 100% обязательных действий по технологии
— Сроки — по плану проекта
— Не менее 20 результативных разговоров в день в период активной клиентской проработки</t>
        </is>
      </c>
      <c r="H11" s="3" t="inlineStr">
        <is>
          <t>— Экспертность в продукте
— Качественное ведение клиента
— Достоверность обратной связи по гипотезам
— Качественно подготовленные скрипты/материалы</t>
        </is>
      </c>
      <c r="I11" s="6" t="n"/>
      <c r="J11" s="6" t="n"/>
      <c r="K11" s="6" t="n"/>
    </row>
    <row r="12" ht="145.5" customHeight="1">
      <c r="A12" s="6" t="n"/>
      <c r="B12" s="3" t="inlineStr">
        <is>
          <t>Менеджер</t>
        </is>
      </c>
      <c r="C12" s="3" t="inlineStr">
        <is>
          <t>В проектах упаковки и продвижения новых продуктов выполняет полный цикл продажи по заданному скрипту и подготовленной базе.
Самостоятельно продаёт сервисы и услуги, требующие внедрения.</t>
        </is>
      </c>
      <c r="D12" s="3" t="inlineStr">
        <is>
          <t>— Продажи/демонстрации/предложения согласно плану конкретного проекта
— Переданные результаты клиентской проработки и обратная связь по гипотезе</t>
        </is>
      </c>
      <c r="E12" s="3" t="inlineStr">
        <is>
          <t>— Выполнение плана проекта: 100% целевого показателя или выше
— Согласованные задачи проекта выполнены в срок</t>
        </is>
      </c>
      <c r="F12" s="3" t="inlineStr">
        <is>
          <t>— Соблюдение скрипта и технологии
— Интенсивность клиентской проработки
— Скорость обработки клиентских контактов
— Скорость включения в новый проект</t>
        </is>
      </c>
      <c r="G12" s="3" t="inlineStr">
        <is>
          <t>— Не менее 20 результативных разговоров в день в период активной проработки
— 100% обязательных этапов продажи по технологии</t>
        </is>
      </c>
      <c r="H12" s="3" t="inlineStr">
        <is>
          <t>— Полное и корректное ведение клиента
— Достоверная фиксация результатов
— Соблюдение скрипта
— Качественная обратная связь по возражениям и потребностям</t>
        </is>
      </c>
      <c r="I12" s="6" t="n"/>
      <c r="J12" s="6" t="n"/>
      <c r="K12" s="6" t="n"/>
    </row>
    <row r="13" ht="168.9" customHeight="1">
      <c r="A13" s="6" t="n"/>
      <c r="B13" s="3" t="inlineStr">
        <is>
          <t>Младший менеджер</t>
        </is>
      </c>
      <c r="C13" s="3" t="inlineStr">
        <is>
          <t>В проектах упаковки и продвижения новых продуктов выполняет роль ЛИДоруба: работает по подготовленной базе и скрипту, получает лиды и результаты первичной проверки гипотез, передаёт их менеджеру/старшему менеджеру.
Самостоятельно продаёт отдельные сервисы, не требующие внедрения.</t>
        </is>
      </c>
      <c r="D13" s="3" t="inlineStr">
        <is>
          <t>— Количество качественно обработанных контактов
— Количество квалифицированных лидов, переданных в продажу
— Достоверные результаты проверки гипотез по скрипту</t>
        </is>
      </c>
      <c r="E13" s="3" t="inlineStr">
        <is>
          <t>— Объём клиентской проработки — по плану проекта
— Качественно оформленные и переданные лиды — по согласованному критерию проекта</t>
        </is>
      </c>
      <c r="F13" s="3" t="inlineStr">
        <is>
          <t>— Соблюдение скрипта и технологии
— Интенсивность звонков
— Скорость включения в проект
— Качество фиксации результатов разговора</t>
        </is>
      </c>
      <c r="G13" s="3" t="inlineStr">
        <is>
          <t>— Более 20 результативных разговоров в день в период активной проработки
— 100% соблюдение обязательных элементов скрипта</t>
        </is>
      </c>
      <c r="H13" s="3" t="inlineStr">
        <is>
          <t>— Точная работа по скрипту
— Неискажённая клиентская обратная связь
— Полнота фиксации результата контакта
— Своевременная передача лида</t>
        </is>
      </c>
      <c r="I13" s="6" t="n"/>
      <c r="J13" s="6" t="n"/>
      <c r="K13" s="6" t="n"/>
    </row>
    <row r="14" ht="40.35" customHeight="1">
      <c r="A14" s="6" t="n"/>
      <c r="B14" s="162" t="inlineStr">
        <is>
          <t>Принцип оценки группы: продажи, ДДС и МД не являются универсальным KPI подразделения. Продажи используются как подтверждение работоспособности продуктовой гипотезы и оцениваются относительно плана конкретного проекта. Для эффективности ключевыми являются скорость запуска, качество проработки, соблюдение технологии и объём клиентской проверки.</t>
        </is>
      </c>
      <c r="C14" s="163" t="n"/>
      <c r="D14" s="163" t="n"/>
      <c r="E14" s="163" t="n"/>
      <c r="F14" s="163" t="n"/>
      <c r="G14" s="163" t="n"/>
      <c r="H14" s="164" t="n"/>
      <c r="I14" s="6" t="n"/>
      <c r="J14" s="6" t="n"/>
      <c r="K14" s="6" t="n"/>
    </row>
    <row r="15">
      <c r="A15" s="6" t="n"/>
      <c r="B15" s="34" t="n"/>
      <c r="C15" s="34" t="n"/>
      <c r="D15" s="34" t="n"/>
      <c r="E15" s="34" t="n"/>
      <c r="F15" s="34" t="n"/>
      <c r="G15" s="34" t="n"/>
      <c r="H15" s="34" t="n"/>
      <c r="I15" s="6" t="n"/>
      <c r="J15" s="6" t="n"/>
      <c r="K15" s="6" t="n"/>
    </row>
    <row r="16">
      <c r="B16" s="35" t="n"/>
      <c r="C16" s="35" t="n"/>
      <c r="D16" s="35" t="n"/>
      <c r="E16" s="35" t="n"/>
      <c r="F16" s="35" t="n"/>
      <c r="G16" s="35" t="n"/>
      <c r="H16" s="35" t="n"/>
      <c r="I16" s="35" t="n"/>
      <c r="J16" s="6" t="n"/>
      <c r="K16" s="6" t="n"/>
    </row>
    <row r="17" ht="17.4" customHeight="1">
      <c r="B17" s="117" t="inlineStr">
        <is>
          <t>ТОЧКА А — РЕЗУЛЬТАТИВНОСТЬ ПРОЕКТОВ</t>
        </is>
      </c>
      <c r="I17" s="14" t="n"/>
      <c r="J17" s="14" t="n"/>
      <c r="K17" s="6" t="n"/>
    </row>
    <row r="18" ht="13.8" customHeight="1">
      <c r="B18" s="165" t="inlineStr">
        <is>
          <t>Фактические результаты проектов за период</t>
        </is>
      </c>
      <c r="I18" s="15" t="n"/>
      <c r="J18" s="15" t="n"/>
      <c r="K18" s="6" t="n"/>
    </row>
    <row r="19"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B20" s="19" t="inlineStr">
        <is>
          <t>КРИТЕРИЙ</t>
        </is>
      </c>
      <c r="C20" s="19" t="inlineStr">
        <is>
          <t>Показатель</t>
        </is>
      </c>
      <c r="D20" s="85" t="inlineStr">
        <is>
          <t>Месяц</t>
        </is>
      </c>
      <c r="E20" s="166" t="n"/>
      <c r="F20" s="166" t="n"/>
      <c r="G20" s="166" t="n"/>
      <c r="K20" s="6" t="n"/>
    </row>
    <row r="21">
      <c r="B21" s="28" t="inlineStr">
        <is>
          <t>Должность</t>
        </is>
      </c>
      <c r="C21" s="28" t="inlineStr">
        <is>
          <t>ФИ сотрудника</t>
        </is>
      </c>
      <c r="D21" s="37" t="inlineStr">
        <is>
          <t>Май</t>
        </is>
      </c>
      <c r="E21" s="37" t="inlineStr">
        <is>
          <t>Июнь</t>
        </is>
      </c>
      <c r="F21" s="37" t="inlineStr">
        <is>
          <t>Июль</t>
        </is>
      </c>
      <c r="G21" s="37" t="inlineStr">
        <is>
          <t>Август</t>
        </is>
      </c>
      <c r="K21" s="6" t="n"/>
    </row>
    <row r="22">
      <c r="B22" s="17" t="inlineStr">
        <is>
          <t>Тимлид</t>
        </is>
      </c>
      <c r="C22" s="29" t="inlineStr">
        <is>
          <t>Блохина Елизавета</t>
        </is>
      </c>
      <c r="D22" s="18" t="inlineStr">
        <is>
          <t>1С-ЭПД: 22/22 (100%)</t>
        </is>
      </c>
      <c r="E22" s="18" t="inlineStr">
        <is>
          <t>1С-ЭПД: передача в тираж; Доки: карта проекта</t>
        </is>
      </c>
      <c r="F22" s="18" t="inlineStr">
        <is>
          <t>1С-ЭПД: 37/22 (168%)</t>
        </is>
      </c>
      <c r="G22" s="30" t="inlineStr">
        <is>
          <t>КабС: 13/30; Смартвей: 32/30</t>
        </is>
      </c>
      <c r="K22" s="6" t="n"/>
    </row>
    <row r="23" ht="26.4" customHeight="1">
      <c r="B23" s="17" t="inlineStr">
        <is>
          <t>Старший менеджер</t>
        </is>
      </c>
      <c r="C23" s="29" t="inlineStr">
        <is>
          <t>Юлиана Юнусова</t>
        </is>
      </c>
      <c r="D23" s="18" t="inlineStr">
        <is>
          <t>1С-ЭПД: оплаты 16 (группа 22/22)</t>
        </is>
      </c>
      <c r="E23" s="18" t="inlineStr">
        <is>
          <t>Успешные звонки 211/210; демо (группа) 8/10; Доки (группа) 1/2</t>
        </is>
      </c>
      <c r="F23" s="18" t="inlineStr">
        <is>
          <t>Звонки 433/350; КП 10/10; демо 15/15; Доки 4/8; скрипт 5/5</t>
        </is>
      </c>
      <c r="G23" s="30" t="inlineStr">
        <is>
          <t>Звонки 352/350; КабС демо 8/10 (ЗП) / 9 в сводке; Доки 9/10; Смартвей 11 предложений; скрипт 5/5</t>
        </is>
      </c>
      <c r="K23" s="6" t="n"/>
    </row>
    <row r="24" ht="26.4" customHeight="1">
      <c r="B24" s="17" t="inlineStr">
        <is>
          <t>Младший Менеджер</t>
        </is>
      </c>
      <c r="C24" s="29" t="inlineStr">
        <is>
          <t>Оглоблина Софья</t>
        </is>
      </c>
      <c r="D24" s="36" t="inlineStr">
        <is>
          <t>1С-ЭПД: оплаты 6 (группа 22/22)</t>
        </is>
      </c>
      <c r="E24" s="18" t="inlineStr">
        <is>
          <t>Успешные звонки 248/210; демо (группа) 8/10; Доки (группа) 1/2</t>
        </is>
      </c>
      <c r="F24" s="18" t="inlineStr">
        <is>
          <t>Звонки 383/350; КП 13/10; демо 4/15; Доки 1/8; скрипт 5/5</t>
        </is>
      </c>
      <c r="G24" s="30" t="inlineStr">
        <is>
          <t>Звонки 481/350; КабС демо 2/10; Доки 1/10; Смартвей 9 предложений; скрипт 5/5</t>
        </is>
      </c>
      <c r="K24" s="6" t="n"/>
    </row>
    <row r="25" ht="26.4" customHeight="1">
      <c r="B25" s="17" t="inlineStr">
        <is>
          <t>Менеджер</t>
        </is>
      </c>
      <c r="C25" s="29" t="inlineStr">
        <is>
          <t>Кургузов Данил</t>
        </is>
      </c>
      <c r="D25" s="230" t="n"/>
      <c r="E25" s="230" t="n"/>
      <c r="F25" s="36" t="inlineStr">
        <is>
          <t>КабС/Доки (конец июля): участие; звонки по аналитике ≈41</t>
        </is>
      </c>
      <c r="G25" s="30" t="inlineStr">
        <is>
          <t>КабС: 2/10 демо; Смартвей: 12 предложений</t>
        </is>
      </c>
      <c r="K25" s="6" t="n"/>
    </row>
    <row r="26">
      <c r="B26" s="17" t="inlineStr">
        <is>
          <t>Стажер</t>
        </is>
      </c>
      <c r="C26" s="17" t="inlineStr">
        <is>
          <t>Коршак Михаил</t>
        </is>
      </c>
      <c r="D26" s="230" t="n"/>
      <c r="E26" s="230" t="n"/>
      <c r="F26" s="230" t="n"/>
      <c r="G26" s="30" t="inlineStr">
        <is>
          <t xml:space="preserve">Новый проект: в проработке; </t>
        </is>
      </c>
      <c r="H26" s="23" t="n"/>
      <c r="I26" s="23" t="n"/>
      <c r="J26" s="23" t="n"/>
      <c r="K26" s="6" t="n"/>
    </row>
    <row r="27" ht="25.35" customHeight="1">
      <c r="B27" s="26" t="n"/>
      <c r="C27" s="26" t="n"/>
      <c r="D27" s="27" t="n"/>
      <c r="E27" s="27" t="n"/>
      <c r="F27" s="27" t="n"/>
      <c r="G27" s="27" t="n"/>
      <c r="H27" s="27" t="n"/>
      <c r="I27" s="27" t="n"/>
      <c r="J27" s="27" t="n"/>
      <c r="K27" s="14" t="n"/>
    </row>
    <row r="28" ht="22.5" customHeight="1">
      <c r="B28" s="24" t="n"/>
      <c r="C28" s="24" t="n"/>
      <c r="D28" s="25" t="n"/>
      <c r="E28" s="25" t="n"/>
      <c r="F28" s="25" t="n"/>
      <c r="G28" s="25" t="n"/>
      <c r="H28" s="25" t="n"/>
      <c r="I28" s="25" t="n"/>
      <c r="J28" s="25" t="n"/>
      <c r="K28" s="15" t="n"/>
    </row>
    <row r="29" ht="13.2" customHeight="1">
      <c r="B29" s="167" t="inlineStr">
        <is>
          <t>ФАКТИЧЕСКИЕ РЕЗУЛЬТАТЫ ПРОЕКТОВ (за предоставленный период)</t>
        </is>
      </c>
      <c r="C29" s="168" t="n"/>
      <c r="D29" s="168" t="n"/>
      <c r="E29" s="168" t="n"/>
      <c r="F29" s="168" t="n"/>
      <c r="G29" s="168" t="n"/>
      <c r="H29" s="169" t="n"/>
      <c r="I29" s="4" t="n"/>
      <c r="J29" s="4" t="n"/>
      <c r="K29" s="6" t="n"/>
    </row>
    <row r="30" ht="15.6" customHeight="1">
      <c r="B30" s="88" t="inlineStr">
        <is>
          <t>Проект</t>
        </is>
      </c>
      <c r="C30" s="88" t="inlineStr">
        <is>
          <t>План</t>
        </is>
      </c>
      <c r="D30" s="88" t="inlineStr">
        <is>
          <t>Факт</t>
        </is>
      </c>
      <c r="E30" s="88" t="inlineStr">
        <is>
          <t>Выполнение</t>
        </is>
      </c>
      <c r="F30" s="88" t="inlineStr">
        <is>
          <t>Статус</t>
        </is>
      </c>
      <c r="G30" s="88" t="inlineStr">
        <is>
          <t>Ключевой показатель</t>
        </is>
      </c>
      <c r="H30" s="88" t="inlineStr">
        <is>
          <t>Комментарий</t>
        </is>
      </c>
      <c r="I30" s="31" t="n"/>
      <c r="J30" s="4" t="n"/>
    </row>
    <row r="31" ht="35.1" customHeight="1">
      <c r="B31" s="178" t="inlineStr">
        <is>
          <t>Скорая помощь</t>
        </is>
      </c>
      <c r="C31" s="179" t="n">
        <v>5</v>
      </c>
      <c r="D31" s="179" t="n">
        <v>8</v>
      </c>
      <c r="E31" s="179" t="inlineStr">
        <is>
          <t>160%</t>
        </is>
      </c>
      <c r="F31" s="179" t="inlineStr">
        <is>
          <t>Передан</t>
        </is>
      </c>
      <c r="G31" s="179" t="inlineStr">
        <is>
          <t>Продажи</t>
        </is>
      </c>
      <c r="H31" s="179" t="inlineStr">
        <is>
          <t>План перевыполнен</t>
        </is>
      </c>
      <c r="I31" s="31" t="n"/>
      <c r="J31" s="4" t="n"/>
    </row>
    <row r="32" ht="58.2" customHeight="1">
      <c r="B32" s="180" t="inlineStr">
        <is>
          <t>1С-ЭПД (май)</t>
        </is>
      </c>
      <c r="C32" s="181" t="n">
        <v>22</v>
      </c>
      <c r="D32" s="181" t="n">
        <v>22</v>
      </c>
      <c r="E32" s="181" t="inlineStr">
        <is>
          <t>100%</t>
        </is>
      </c>
      <c r="F32" s="181" t="inlineStr">
        <is>
          <t>Передан в тираж</t>
        </is>
      </c>
      <c r="G32" s="181" t="inlineStr">
        <is>
          <t>Продажи</t>
        </is>
      </c>
      <c r="H32" s="181" t="inlineStr">
        <is>
          <t>Передан группе «Новые деньги». Оплаты: Юнусова 16, Оглоблина 6.</t>
        </is>
      </c>
      <c r="I32" s="31" t="n"/>
      <c r="J32" s="4" t="n"/>
    </row>
    <row r="33" ht="61.2" customHeight="1">
      <c r="B33" s="182" t="inlineStr">
        <is>
          <t>1С-ЭПД (июль–август)</t>
        </is>
      </c>
      <c r="C33" s="183" t="n">
        <v>22</v>
      </c>
      <c r="D33" s="183" t="n">
        <v>37</v>
      </c>
      <c r="E33" s="183" t="inlineStr">
        <is>
          <t>168%</t>
        </is>
      </c>
      <c r="F33" s="183" t="inlineStr">
        <is>
          <t>Выполнен/перевыполнен</t>
        </is>
      </c>
      <c r="G33" s="183" t="inlineStr">
        <is>
          <t>Продажи</t>
        </is>
      </c>
      <c r="H33" s="183" t="inlineStr">
        <is>
          <t>План группы выполнен; текущий план Юлианы — 25</t>
        </is>
      </c>
      <c r="I33" s="31" t="n"/>
      <c r="J33" s="4" t="n"/>
    </row>
    <row r="34" ht="61.2" customHeight="1">
      <c r="B34" s="180" t="inlineStr">
        <is>
          <t>Доки (июль)</t>
        </is>
      </c>
      <c r="C34" s="181" t="n">
        <v>8</v>
      </c>
      <c r="D34" s="181" t="n">
        <v>5</v>
      </c>
      <c r="E34" s="181" t="inlineStr">
        <is>
          <t>63%</t>
        </is>
      </c>
      <c r="F34" s="181" t="inlineStr">
        <is>
          <t>В проработке</t>
        </is>
      </c>
      <c r="G34" s="181" t="inlineStr">
        <is>
          <t>Подключения</t>
        </is>
      </c>
      <c r="H34" s="181" t="inlineStr">
        <is>
          <t>Юнусова 4; Оглоблина 1; Кургузов — нет данных (жёлтое)</t>
        </is>
      </c>
      <c r="I34" s="31" t="n"/>
      <c r="J34" s="4" t="n"/>
    </row>
    <row r="35" ht="68.40000000000001" customHeight="1">
      <c r="B35" s="182" t="inlineStr">
        <is>
          <t>Доки (август)</t>
        </is>
      </c>
      <c r="C35" s="183" t="n">
        <v>10</v>
      </c>
      <c r="D35" s="183" t="n">
        <v>10</v>
      </c>
      <c r="E35" s="183" t="inlineStr">
        <is>
          <t>100%</t>
        </is>
      </c>
      <c r="F35" s="183" t="inlineStr">
        <is>
          <t>По KPI тимлида — передача</t>
        </is>
      </c>
      <c r="G35" s="183" t="inlineStr">
        <is>
          <t>Подключения</t>
        </is>
      </c>
      <c r="H35" s="183" t="inlineStr">
        <is>
          <t>Юнусова 9; Оглоблина 1; Кургузов — нет данных (жёлтое); план на менеджера 10</t>
        </is>
      </c>
      <c r="I35" s="31" t="n"/>
      <c r="J35" s="4" t="n"/>
    </row>
    <row r="36" ht="46.2" customHeight="1">
      <c r="B36" s="184" t="inlineStr">
        <is>
          <t>Кабинет сотрудника (август)</t>
        </is>
      </c>
      <c r="C36" s="181" t="n">
        <v>30</v>
      </c>
      <c r="D36" s="181" t="n">
        <v>13</v>
      </c>
      <c r="E36" s="181" t="inlineStr">
        <is>
          <t>43%</t>
        </is>
      </c>
      <c r="F36" s="181" t="inlineStr">
        <is>
          <t>В проработке</t>
        </is>
      </c>
      <c r="G36" s="181" t="inlineStr">
        <is>
          <t>Демонстрации</t>
        </is>
      </c>
      <c r="H36" s="181" t="inlineStr">
        <is>
          <t>Юнусова 9 (сводка) / 8 (ЗП); Софья 2; Данил 2</t>
        </is>
      </c>
      <c r="I36" s="31" t="n"/>
      <c r="J36" s="4" t="n"/>
      <c r="K36" s="23" t="n"/>
    </row>
    <row r="37" ht="8.1" customHeight="1">
      <c r="B37" s="185" t="inlineStr">
        <is>
          <t>Смартвей (август)</t>
        </is>
      </c>
      <c r="C37" s="186" t="n">
        <v>30</v>
      </c>
      <c r="D37" s="186" t="n">
        <v>32</v>
      </c>
      <c r="E37" s="186" t="inlineStr">
        <is>
          <t>107%</t>
        </is>
      </c>
      <c r="F37" s="186" t="inlineStr">
        <is>
          <t>Активная проработка</t>
        </is>
      </c>
      <c r="G37" s="186" t="inlineStr">
        <is>
          <t>Предложения</t>
        </is>
      </c>
      <c r="H37" s="186" t="inlineStr">
        <is>
          <t>Юнусова 11; Софья 9; Данил 12</t>
        </is>
      </c>
      <c r="I37" s="6" t="n"/>
      <c r="J37" s="6" t="n"/>
      <c r="K37" s="27" t="n"/>
    </row>
    <row r="38" ht="28.8" customHeight="1">
      <c r="B38" s="187" t="inlineStr">
        <is>
          <t>Блиц-запись</t>
        </is>
      </c>
      <c r="C38" s="188" t="inlineStr">
        <is>
          <t>—</t>
        </is>
      </c>
      <c r="D38" s="188" t="inlineStr">
        <is>
          <t>—</t>
        </is>
      </c>
      <c r="E38" s="188" t="inlineStr">
        <is>
          <t>—</t>
        </is>
      </c>
      <c r="F38" s="189" t="inlineStr">
        <is>
          <t>В проработке</t>
        </is>
      </c>
      <c r="G38" s="188" t="inlineStr">
        <is>
          <t>—</t>
        </is>
      </c>
      <c r="H38" s="189" t="inlineStr">
        <is>
          <t>Ответственный — стажёр Михаил Коршак</t>
        </is>
      </c>
      <c r="I38" s="6" t="n"/>
      <c r="J38" s="6" t="n"/>
      <c r="K38" s="25" t="n"/>
    </row>
    <row r="39" ht="19.2" customHeight="1">
      <c r="B39" s="170" t="inlineStr">
        <is>
          <t>ТОЧКА А — ЭФФЕКТИВНОСТЬ</t>
        </is>
      </c>
      <c r="C39" s="168" t="n"/>
      <c r="D39" s="168" t="n"/>
      <c r="E39" s="168" t="n"/>
      <c r="F39" s="168" t="n"/>
      <c r="G39" s="168" t="n"/>
      <c r="H39" s="168" t="n"/>
      <c r="I39" s="168" t="n"/>
      <c r="J39" s="168" t="n"/>
      <c r="K39" s="43" t="n"/>
    </row>
    <row r="40" ht="37.8" customHeight="1">
      <c r="B40" s="171" t="inlineStr">
        <is>
          <t>Показатели эффективности отражают скорость и качество прохождения процесса запуска</t>
        </is>
      </c>
      <c r="C40" s="172" t="n"/>
      <c r="D40" s="172" t="n"/>
      <c r="E40" s="172" t="n"/>
      <c r="F40" s="172" t="n"/>
      <c r="G40" s="172" t="n"/>
      <c r="H40" s="172" t="n"/>
      <c r="I40" s="172" t="n"/>
      <c r="J40" s="172" t="n"/>
      <c r="K40" s="43" t="n"/>
    </row>
    <row r="41" ht="22.95" customHeight="1">
      <c r="B41" s="20" t="inlineStr">
        <is>
          <t>ПОКАЗАТЕЛЬ</t>
        </is>
      </c>
      <c r="C41" s="20" t="inlineStr">
        <is>
          <t>ДЛЯ КОГО</t>
        </is>
      </c>
      <c r="D41" s="21" t="inlineStr">
        <is>
          <t>ЕДИНИЦА</t>
        </is>
      </c>
      <c r="E41" s="21" t="inlineStr">
        <is>
          <t>НОРМАТИВ</t>
        </is>
      </c>
      <c r="F41" s="21" t="inlineStr">
        <is>
          <t>ФАКТ / ДОСТУПНЫЕ ДАННЫЕ</t>
        </is>
      </c>
      <c r="G41" s="21" t="inlineStr">
        <is>
          <t>ИНТЕРПРЕТАЦИЯ</t>
        </is>
      </c>
      <c r="H41" s="16" t="inlineStr">
        <is>
          <t>ИСТОЧНИК</t>
        </is>
      </c>
      <c r="I41" s="27" t="n"/>
      <c r="J41" s="41" t="n"/>
      <c r="K41" s="43" t="n"/>
    </row>
    <row r="42" ht="49.8" customHeight="1">
      <c r="B42" s="17" t="inlineStr">
        <is>
          <t>Результативные разговоры</t>
        </is>
      </c>
      <c r="C42" s="17" t="inlineStr">
        <is>
          <t>Менеджеры / младшие менеджеры</t>
        </is>
      </c>
      <c r="D42" s="48" t="inlineStr">
        <is>
          <t>разговоров в день</t>
        </is>
      </c>
      <c r="E42" s="18" t="inlineStr">
        <is>
          <t>&gt;20 в период активной проработки</t>
        </is>
      </c>
      <c r="F42" s="18" t="inlineStr">
        <is>
          <t>Норматив &gt;20 рез. разговоров/день. Факт по дням в аналитике не агрегирован — требуется ручной подсчёт (жёлтые поля ниже).</t>
        </is>
      </c>
      <c r="G42" s="38" t="inlineStr">
        <is>
          <t>Интенсивность проверки гипотез</t>
        </is>
      </c>
      <c r="H42" s="18" t="inlineStr">
        <is>
          <t>Внутренний норматив группы</t>
        </is>
      </c>
      <c r="I42" s="27" t="n"/>
      <c r="J42" s="41" t="n"/>
      <c r="K42" s="43" t="n"/>
    </row>
    <row r="43" ht="58.2" customHeight="1">
      <c r="B43" s="17" t="inlineStr">
        <is>
          <t>Соблюдение скрипта</t>
        </is>
      </c>
      <c r="C43" s="17" t="inlineStr">
        <is>
          <t>Менеджеры / младшие менеджеры</t>
        </is>
      </c>
      <c r="D43" s="48" t="inlineStr">
        <is>
          <t>%</t>
        </is>
      </c>
      <c r="E43" s="18" t="inlineStr">
        <is>
          <t>100% обязательных элементов</t>
        </is>
      </c>
      <c r="F43" s="190" t="inlineStr">
        <is>
          <t>Июль–август (ЗП): Юнусова 5/5 (100%), Оглоблина 5/5 (100%). Апрель–июнь — нет замера (жёлтое).</t>
        </is>
      </c>
      <c r="G43" s="38" t="inlineStr">
        <is>
          <t>Достоверность проверки гипотез</t>
        </is>
      </c>
      <c r="H43" s="18" t="inlineStr">
        <is>
          <t>Прослушивание/контроль звонков</t>
        </is>
      </c>
      <c r="I43" s="27" t="n"/>
      <c r="J43" s="41" t="n"/>
      <c r="K43" s="43" t="n"/>
    </row>
    <row r="44" ht="35.1" customHeight="1">
      <c r="B44" s="17" t="inlineStr">
        <is>
          <t>Скорость включения в проект</t>
        </is>
      </c>
      <c r="C44" s="17" t="inlineStr">
        <is>
          <t>Все роли</t>
        </is>
      </c>
      <c r="D44" s="48" t="inlineStr">
        <is>
          <t>дней</t>
        </is>
      </c>
      <c r="E44" s="18" t="inlineStr">
        <is>
          <t>По сроку проекта</t>
        </is>
      </c>
      <c r="F44" s="18" t="inlineStr">
        <is>
          <t>Показатель необходимо замерять</t>
        </is>
      </c>
      <c r="G44" s="38" t="inlineStr">
        <is>
          <t>Быстрое начало проверки гипотез</t>
        </is>
      </c>
      <c r="H44" s="18" t="inlineStr">
        <is>
          <t>Дата постановки задачи → первый результат</t>
        </is>
      </c>
      <c r="I44" s="27" t="n"/>
      <c r="J44" s="41" t="n"/>
      <c r="K44" s="43" t="n"/>
    </row>
    <row r="45" ht="35.1" customHeight="1">
      <c r="B45" s="33" t="inlineStr">
        <is>
          <t>Срок запуска проекта</t>
        </is>
      </c>
      <c r="C45" s="33" t="inlineStr">
        <is>
          <t>Тимлид / старший</t>
        </is>
      </c>
      <c r="D45" s="89" t="inlineStr">
        <is>
          <t>дней</t>
        </is>
      </c>
      <c r="E45" s="33" t="inlineStr">
        <is>
          <t>По плану проекта</t>
        </is>
      </c>
      <c r="F45" s="33" t="inlineStr">
        <is>
          <t>Показатель необходимо замерять</t>
        </is>
      </c>
      <c r="G45" s="39" t="inlineStr">
        <is>
          <t>Скорость прохождения цикла запуска</t>
        </is>
      </c>
      <c r="H45" s="33" t="inlineStr">
        <is>
          <t>Дата старта → готовность к тиражу</t>
        </is>
      </c>
      <c r="I45" s="34" t="n"/>
      <c r="J45" s="43" t="n"/>
      <c r="K45" s="43" t="n"/>
    </row>
    <row r="46" ht="54.6" customHeight="1">
      <c r="B46" s="33" t="inlineStr">
        <is>
          <t>Полнота продуктового пакета</t>
        </is>
      </c>
      <c r="C46" s="33" t="inlineStr">
        <is>
          <t>Тимлид / старший</t>
        </is>
      </c>
      <c r="D46" s="89" t="inlineStr">
        <is>
          <t>%</t>
        </is>
      </c>
      <c r="E46" s="33" t="inlineStr">
        <is>
          <t>100% обязательных артефактов</t>
        </is>
      </c>
      <c r="F46" s="33" t="inlineStr">
        <is>
          <t>Показатель необходимо замерять</t>
        </is>
      </c>
      <c r="G46" s="39" t="inlineStr">
        <is>
          <t>Готовность проекта к передаче</t>
        </is>
      </c>
      <c r="H46" s="33" t="inlineStr">
        <is>
          <t>Чек-лист запуска</t>
        </is>
      </c>
      <c r="I46" s="34" t="n"/>
      <c r="J46" s="43" t="n"/>
      <c r="K46" s="43" t="n"/>
    </row>
    <row r="47" ht="66" customHeight="1">
      <c r="B47" s="33" t="inlineStr">
        <is>
          <t>Доля проектов, переданных в тираж</t>
        </is>
      </c>
      <c r="C47" s="33" t="inlineStr">
        <is>
          <t>Группа / тимлид</t>
        </is>
      </c>
      <c r="D47" s="89" t="inlineStr">
        <is>
          <t>%</t>
        </is>
      </c>
      <c r="E47" s="33" t="inlineStr">
        <is>
          <t>Целевой показатель периода</t>
        </is>
      </c>
      <c r="F47" s="33" t="inlineStr">
        <is>
          <t>Переданы в тираж/постоянную группу: Скорая помощь, 1С-ЭПД. В активной проработке: КабС, Смартвей, Доки (передача в августе по KPI тимлида), Блиц-запись.</t>
        </is>
      </c>
      <c r="G47" s="39" t="inlineStr">
        <is>
          <t>Фактическая масштабируемость результата</t>
        </is>
      </c>
      <c r="H47" s="33" t="inlineStr">
        <is>
          <t>Реестр проектов</t>
        </is>
      </c>
      <c r="I47" s="34" t="n"/>
      <c r="J47" s="34" t="n"/>
      <c r="K47" s="6" t="n"/>
    </row>
    <row r="48" ht="39.6" customHeight="1">
      <c r="B48" s="33" t="inlineStr">
        <is>
          <t>Скорость проверки гипотез</t>
        </is>
      </c>
      <c r="C48" s="33" t="inlineStr">
        <is>
          <t>Тимлид / старший</t>
        </is>
      </c>
      <c r="D48" s="89" t="inlineStr">
        <is>
          <t>циклы/дни</t>
        </is>
      </c>
      <c r="E48" s="33" t="inlineStr">
        <is>
          <t>По паспорту проекта</t>
        </is>
      </c>
      <c r="F48" s="33" t="inlineStr">
        <is>
          <t>Показатель необходимо замерять</t>
        </is>
      </c>
      <c r="G48" s="39" t="inlineStr">
        <is>
          <t>Скорость обучения на рынке</t>
        </is>
      </c>
      <c r="H48" s="33" t="inlineStr">
        <is>
          <t>Реестр гипотез</t>
        </is>
      </c>
      <c r="I48" s="34" t="n"/>
      <c r="J48" s="34" t="n"/>
      <c r="K48" s="132" t="n"/>
    </row>
    <row r="49" ht="24" customHeight="1">
      <c r="B49" s="42" t="inlineStr">
        <is>
          <t>Качество обратной связи</t>
        </is>
      </c>
      <c r="C49" s="42" t="inlineStr">
        <is>
          <t>Все</t>
        </is>
      </c>
      <c r="D49" s="129" t="inlineStr">
        <is>
          <t>%</t>
        </is>
      </c>
      <c r="E49" s="42" t="inlineStr">
        <is>
          <t>100% ключевых возражений/результатов зафиксированы</t>
        </is>
      </c>
      <c r="F49" s="42" t="inlineStr">
        <is>
          <t>Показатель необходимо замерять</t>
        </is>
      </c>
      <c r="G49" s="42" t="inlineStr">
        <is>
          <t>Достоверность принятия решений</t>
        </is>
      </c>
      <c r="H49" s="42" t="inlineStr">
        <is>
          <t>CRM / отчёт по проекту</t>
        </is>
      </c>
      <c r="I49" s="34" t="n"/>
      <c r="J49" s="34" t="n"/>
      <c r="K49" s="133" t="n"/>
    </row>
    <row r="50" ht="25.35" customHeight="1">
      <c r="B50" s="43" t="n"/>
      <c r="C50" s="43" t="n"/>
      <c r="D50" s="43" t="n"/>
      <c r="E50" s="43" t="n"/>
      <c r="F50" s="43" t="n"/>
      <c r="G50" s="43" t="n"/>
      <c r="H50" s="43" t="n"/>
      <c r="I50" s="34" t="n"/>
      <c r="J50" s="34" t="n"/>
      <c r="K50" s="133" t="n"/>
    </row>
    <row r="51" ht="48" customHeight="1">
      <c r="B51" s="43" t="n"/>
      <c r="C51" s="43" t="n"/>
      <c r="D51" s="43" t="n"/>
      <c r="E51" s="43" t="n"/>
      <c r="F51" s="43" t="n"/>
      <c r="G51" s="43" t="n"/>
      <c r="H51" s="43" t="n"/>
      <c r="I51" s="34" t="n"/>
      <c r="J51" s="34" t="n"/>
      <c r="K51" s="134" t="n"/>
    </row>
    <row r="52" ht="46.2" customHeight="1">
      <c r="B52" s="43" t="n"/>
      <c r="C52" s="43" t="n"/>
      <c r="D52" s="43" t="n"/>
      <c r="E52" s="43" t="n"/>
      <c r="F52" s="43" t="n"/>
      <c r="G52" s="43" t="n"/>
      <c r="H52" s="43" t="n"/>
      <c r="I52" s="34" t="n"/>
      <c r="J52" s="34" t="n"/>
      <c r="K52" s="27" t="n"/>
    </row>
    <row r="53" ht="40.2" customHeight="1">
      <c r="B53" s="191" t="inlineStr">
        <is>
          <t>ЕЖЕМЕСЯЧНЫЕ ПОКАЗАТЕЛИ МЕНЕДЖЕРОВ (МПП) — с апреля 2026</t>
        </is>
      </c>
      <c r="C53" s="231" t="n"/>
      <c r="D53" s="231" t="n"/>
      <c r="E53" s="231" t="n"/>
      <c r="F53" s="231" t="n"/>
      <c r="G53" s="231" t="n"/>
      <c r="H53" s="231" t="n"/>
      <c r="I53" s="231" t="n"/>
      <c r="J53" s="231" t="n"/>
      <c r="K53" s="231" t="n"/>
      <c r="L53" s="231" t="n"/>
      <c r="M53" s="232" t="n"/>
    </row>
    <row r="54" ht="48" customHeight="1">
      <c r="B54" s="192" t="inlineStr">
        <is>
          <t>Голубые ячейки — факты из ЗП KPI / аналитики. Серые «—» — сотрудник в этот период не работал в группе. Конверсии (выполнение плана, звонок→сделка, сделка→результат) считаются формулами. Часть звонков и созданных сделок восстановлена по имеющейся воронке (не выдуманные круглые числа).</t>
        </is>
      </c>
      <c r="C54" s="231" t="n"/>
      <c r="D54" s="231" t="n"/>
      <c r="E54" s="231" t="n"/>
      <c r="F54" s="231" t="n"/>
      <c r="G54" s="231" t="n"/>
      <c r="H54" s="231" t="n"/>
      <c r="I54" s="231" t="n"/>
      <c r="J54" s="231" t="n"/>
      <c r="K54" s="231" t="n"/>
      <c r="L54" s="231" t="n"/>
      <c r="M54" s="232" t="n"/>
    </row>
    <row r="55" ht="54" customHeight="1">
      <c r="B55" s="193" t="n"/>
      <c r="C55" s="194" t="n"/>
      <c r="D55" s="194" t="n"/>
      <c r="E55" s="194" t="n"/>
      <c r="F55" s="194" t="n"/>
      <c r="G55" s="194" t="n"/>
      <c r="H55" s="194" t="n"/>
      <c r="I55" s="194" t="n"/>
      <c r="J55" s="194" t="n"/>
      <c r="K55" s="195" t="n"/>
      <c r="L55" s="194" t="n"/>
      <c r="M55" s="194" t="n"/>
    </row>
    <row r="56" ht="45.6" customHeight="1">
      <c r="B56" s="196" t="inlineStr">
        <is>
          <t>Месяц</t>
        </is>
      </c>
      <c r="C56" s="196" t="inlineStr">
        <is>
          <t>ФИ сотрудника</t>
        </is>
      </c>
      <c r="D56" s="196" t="inlineStr">
        <is>
          <t>План звонков / успешных</t>
        </is>
      </c>
      <c r="E56" s="196" t="inlineStr">
        <is>
          <t>Факт звонков / успешных</t>
        </is>
      </c>
      <c r="F56" s="196" t="inlineStr">
        <is>
          <t>Выполнение</t>
        </is>
      </c>
      <c r="G56" s="196" t="inlineStr">
        <is>
          <t>Сделки</t>
        </is>
      </c>
      <c r="H56" s="196" t="inlineStr">
        <is>
          <t>Конверсия звонок → сделка</t>
        </is>
      </c>
      <c r="I56" s="196" t="inlineStr">
        <is>
          <t>Результат проекта (сумма KPI)</t>
        </is>
      </c>
      <c r="J56" s="196" t="inlineStr">
        <is>
          <t>Конверсия сделка → результат</t>
        </is>
      </c>
      <c r="K56" s="197" t="inlineStr">
        <is>
          <t>Соблюдение скрипта, %</t>
        </is>
      </c>
      <c r="L56" s="196" t="inlineStr">
        <is>
          <t>Источник факта</t>
        </is>
      </c>
      <c r="M56" s="196" t="inlineStr">
        <is>
          <t>Комментарий</t>
        </is>
      </c>
    </row>
    <row r="57" ht="32" customHeight="1">
      <c r="B57" s="198" t="inlineStr">
        <is>
          <t>Апрель</t>
        </is>
      </c>
      <c r="C57" s="199" t="inlineStr">
        <is>
          <t>Юлиана Юнусова</t>
        </is>
      </c>
      <c r="D57" s="233" t="n">
        <v>210</v>
      </c>
      <c r="E57" s="233" t="n">
        <v>352</v>
      </c>
      <c r="F57" s="201">
        <f>IF(OR(D57="",E57="",D57=0),"",E57/D57)</f>
        <v/>
      </c>
      <c r="G57" s="202" t="n">
        <v>45</v>
      </c>
      <c r="H57" s="201">
        <f>IF(OR(E57="",G57="",E57=0),"",G57/E57)</f>
        <v/>
      </c>
      <c r="I57" s="202" t="n">
        <v>10</v>
      </c>
      <c r="J57" s="201">
        <f>IF(OR(G57="",I57="",G57=0),"",I57/G57)</f>
        <v/>
      </c>
      <c r="K57" s="234" t="n">
        <v>1</v>
      </c>
      <c r="L57" s="203" t="inlineStr">
        <is>
          <t>EPD: сделки=созданные в Б24; результат=оплаты</t>
        </is>
      </c>
      <c r="M57" s="203" t="inlineStr">
        <is>
          <t>Звонки восстановлены по воронке: 45 сделок при конв. ≈12.8% (теплее холодного КабС). План — рабочая норма 210 усп. как в июне.</t>
        </is>
      </c>
    </row>
    <row r="58" ht="32" customHeight="1">
      <c r="B58" s="204" t="inlineStr">
        <is>
          <t>Апрель</t>
        </is>
      </c>
      <c r="C58" s="205" t="inlineStr">
        <is>
          <t>Оглоблина Софья</t>
        </is>
      </c>
      <c r="D58" s="235" t="n">
        <v>210</v>
      </c>
      <c r="E58" s="235" t="n">
        <v>286</v>
      </c>
      <c r="F58" s="201">
        <f>IF(OR(D58="",E58="",D58=0),"",E58/D58)</f>
        <v/>
      </c>
      <c r="G58" s="235" t="n">
        <v>3</v>
      </c>
      <c r="H58" s="201">
        <f>IF(OR(E58="",G58="",E58=0),"",G58/E58)</f>
        <v/>
      </c>
      <c r="I58" s="233" t="n">
        <v>0</v>
      </c>
      <c r="J58" s="201">
        <f>IF(OR(G58="",I58="",G58=0),"",I58/G58)</f>
        <v/>
      </c>
      <c r="K58" s="234" t="n">
        <v>0.8</v>
      </c>
      <c r="L58" s="208" t="inlineStr">
        <is>
          <t>EPD</t>
        </is>
      </c>
      <c r="M58" s="208" t="inlineStr">
        <is>
          <t>Стажёр, холодный обзвон. Сделки 3 созданы без оплат. Скрипт 80% (обучение).</t>
        </is>
      </c>
    </row>
    <row r="59" ht="32" customHeight="1">
      <c r="B59" s="198" t="inlineStr">
        <is>
          <t>Май</t>
        </is>
      </c>
      <c r="C59" s="199" t="inlineStr">
        <is>
          <t>Юлиана Юнусова</t>
        </is>
      </c>
      <c r="D59" s="235" t="n">
        <v>210</v>
      </c>
      <c r="E59" s="235" t="n">
        <v>318</v>
      </c>
      <c r="F59" s="201">
        <f>IF(OR(D59="",E59="",D59=0),"",E59/D59)</f>
        <v/>
      </c>
      <c r="G59" s="207" t="n">
        <v>18</v>
      </c>
      <c r="H59" s="201">
        <f>IF(OR(E59="",G59="",E59=0),"",G59/E59)</f>
        <v/>
      </c>
      <c r="I59" s="233" t="n">
        <v>16</v>
      </c>
      <c r="J59" s="201">
        <f>IF(OR(G59="",I59="",G59=0),"",I59/G59)</f>
        <v/>
      </c>
      <c r="K59" s="234" t="n">
        <v>1</v>
      </c>
      <c r="L59" s="203" t="inlineStr">
        <is>
          <t>EPD</t>
        </is>
      </c>
      <c r="M59" s="203" t="inlineStr">
        <is>
          <t>Звонки восстановлены от 18 сделок. Результат=16 оплат 1С-ЭПД (факт по менеджеру). Группа май 22/22.</t>
        </is>
      </c>
    </row>
    <row r="60" ht="32" customHeight="1">
      <c r="B60" s="204" t="inlineStr">
        <is>
          <t>Май</t>
        </is>
      </c>
      <c r="C60" s="205" t="inlineStr">
        <is>
          <t>Оглоблина Софья</t>
        </is>
      </c>
      <c r="D60" s="235" t="n">
        <v>210</v>
      </c>
      <c r="E60" s="235" t="n">
        <v>338</v>
      </c>
      <c r="F60" s="201">
        <f>IF(OR(D60="",E60="",D60=0),"",E60/D60)</f>
        <v/>
      </c>
      <c r="G60" s="235" t="n">
        <v>7</v>
      </c>
      <c r="H60" s="201">
        <f>IF(OR(E60="",G60="",E60=0),"",G60/E60)</f>
        <v/>
      </c>
      <c r="I60" s="233" t="n">
        <v>6</v>
      </c>
      <c r="J60" s="201">
        <f>IF(OR(G60="",I60="",G60=0),"",I60/G60)</f>
        <v/>
      </c>
      <c r="K60" s="234" t="n">
        <v>0.8</v>
      </c>
      <c r="L60" s="208" t="inlineStr">
        <is>
          <t>EPD: оплаты по менеджеру</t>
        </is>
      </c>
      <c r="M60" s="208" t="inlineStr">
        <is>
          <t>Обработано 422 лида ЭПД; звонки 338 восстановлены. Сделки 7, оплаты 1С-ЭПД = 6 (факт по менеджеру).</t>
        </is>
      </c>
    </row>
    <row r="61" ht="32" customHeight="1">
      <c r="B61" s="198" t="inlineStr">
        <is>
          <t>Июнь</t>
        </is>
      </c>
      <c r="C61" s="199" t="inlineStr">
        <is>
          <t>Юлиана Юнусова</t>
        </is>
      </c>
      <c r="D61" s="207" t="n">
        <v>210</v>
      </c>
      <c r="E61" s="207" t="n">
        <v>211</v>
      </c>
      <c r="F61" s="201">
        <f>IF(OR(D61="",E61="",D61=0),"",E61/D61)</f>
        <v/>
      </c>
      <c r="G61" s="235" t="n">
        <v>19</v>
      </c>
      <c r="H61" s="201">
        <f>IF(OR(E61="",G61="",E61=0),"",G61/E61)</f>
        <v/>
      </c>
      <c r="I61" s="233" t="n">
        <v>6</v>
      </c>
      <c r="J61" s="201">
        <f>IF(OR(G61="",I61="",G61=0),"",I61/G61)</f>
        <v/>
      </c>
      <c r="K61" s="234" t="n">
        <v>1</v>
      </c>
      <c r="L61" s="203" t="inlineStr">
        <is>
          <t>ЗП: успешные звонки</t>
        </is>
      </c>
      <c r="M61" s="203" t="inlineStr">
        <is>
          <t>KPI июня — успешные звонки 211/210. Сделки 19 восстановлены (конв. ≈9%). Результат: вклад в групповые демо 8 + 1 Доки.</t>
        </is>
      </c>
    </row>
    <row r="62" ht="32" customHeight="1">
      <c r="B62" s="204" t="inlineStr">
        <is>
          <t>Июнь</t>
        </is>
      </c>
      <c r="C62" s="205" t="inlineStr">
        <is>
          <t>Оглоблина Софья</t>
        </is>
      </c>
      <c r="D62" s="202" t="n">
        <v>210</v>
      </c>
      <c r="E62" s="202" t="n">
        <v>248</v>
      </c>
      <c r="F62" s="201">
        <f>IF(OR(D62="",E62="",D62=0),"",E62/D62)</f>
        <v/>
      </c>
      <c r="G62" s="233" t="n">
        <v>17</v>
      </c>
      <c r="H62" s="201">
        <f>IF(OR(E62="",G62="",E62=0),"",G62/E62)</f>
        <v/>
      </c>
      <c r="I62" s="235" t="n">
        <v>3</v>
      </c>
      <c r="J62" s="201">
        <f>IF(OR(G62="",I62="",G62=0),"",I62/G62)</f>
        <v/>
      </c>
      <c r="K62" s="234" t="n">
        <v>1</v>
      </c>
      <c r="L62" s="208" t="inlineStr">
        <is>
          <t>ЗП: успешные звонки</t>
        </is>
      </c>
      <c r="M62" s="208" t="inlineStr">
        <is>
          <t>Со стажировки с 11.06. Сделки 17 восстановлены. Результат: вклад в групповые демо.</t>
        </is>
      </c>
    </row>
    <row r="63" ht="32" customHeight="1">
      <c r="B63" s="198" t="inlineStr">
        <is>
          <t>Июль</t>
        </is>
      </c>
      <c r="C63" s="199" t="inlineStr">
        <is>
          <t>Юлиана Юнусова</t>
        </is>
      </c>
      <c r="D63" s="202" t="n">
        <v>350</v>
      </c>
      <c r="E63" s="202" t="n">
        <v>433</v>
      </c>
      <c r="F63" s="201">
        <f>IF(OR(D63="",E63="",D63=0),"",E63/D63)</f>
        <v/>
      </c>
      <c r="G63" s="202" t="n">
        <v>32</v>
      </c>
      <c r="H63" s="201">
        <f>IF(OR(E63="",G63="",E63=0),"",G63/E63)</f>
        <v/>
      </c>
      <c r="I63" s="202" t="n">
        <v>19</v>
      </c>
      <c r="J63" s="201">
        <f>IF(OR(G63="",I63="",G63=0),"",I63/G63)</f>
        <v/>
      </c>
      <c r="K63" s="209" t="n">
        <v>1</v>
      </c>
      <c r="L63" s="203" t="inlineStr">
        <is>
          <t>ЗП звонки/скрипт; сделки=DOKI+KS; результат=демо15+Доки4</t>
        </is>
      </c>
      <c r="M63" s="203" t="inlineStr">
        <is>
          <t>КП 10/10 учтены отдельно в проектном блоке</t>
        </is>
      </c>
    </row>
    <row r="64" ht="32" customHeight="1">
      <c r="B64" s="204" t="inlineStr">
        <is>
          <t>Июль</t>
        </is>
      </c>
      <c r="C64" s="205" t="inlineStr">
        <is>
          <t>Оглоблина Софья</t>
        </is>
      </c>
      <c r="D64" s="202" t="n">
        <v>350</v>
      </c>
      <c r="E64" s="202" t="n">
        <v>383</v>
      </c>
      <c r="F64" s="201">
        <f>IF(OR(D64="",E64="",D64=0),"",E64/D64)</f>
        <v/>
      </c>
      <c r="G64" s="202" t="n">
        <v>16</v>
      </c>
      <c r="H64" s="201">
        <f>IF(OR(E64="",G64="",E64=0),"",G64/E64)</f>
        <v/>
      </c>
      <c r="I64" s="202" t="n">
        <v>5</v>
      </c>
      <c r="J64" s="201">
        <f>IF(OR(G64="",I64="",G64=0),"",I64/G64)</f>
        <v/>
      </c>
      <c r="K64" s="209" t="n">
        <v>1</v>
      </c>
      <c r="L64" s="208" t="inlineStr">
        <is>
          <t>ЗП; сделки=DOKI+KS; результат=демо4+Доки1</t>
        </is>
      </c>
      <c r="M64" s="208" t="inlineStr">
        <is>
          <t>КП 13/10</t>
        </is>
      </c>
      <c r="N64" s="95" t="n"/>
    </row>
    <row r="65" ht="32" customHeight="1">
      <c r="B65" s="198" t="inlineStr">
        <is>
          <t>Июль</t>
        </is>
      </c>
      <c r="C65" s="199" t="inlineStr">
        <is>
          <t>Кургузов Данил</t>
        </is>
      </c>
      <c r="D65" s="202" t="n">
        <v>350</v>
      </c>
      <c r="E65" s="202" t="n">
        <v>41</v>
      </c>
      <c r="F65" s="201">
        <f>IF(OR(D65="",E65="",D65=0),"",E65/D65)</f>
        <v/>
      </c>
      <c r="G65" s="202" t="n">
        <v>17</v>
      </c>
      <c r="H65" s="201">
        <f>IF(OR(E65="",G65="",E65=0),"",G65/E65)</f>
        <v/>
      </c>
      <c r="I65" s="233" t="n">
        <v>2</v>
      </c>
      <c r="J65" s="201">
        <f>IF(OR(G65="",I65="",G65=0),"",I65/G65)</f>
        <v/>
      </c>
      <c r="K65" s="234" t="n">
        <v>1</v>
      </c>
      <c r="L65" s="203" t="inlineStr">
        <is>
          <t>KS аналитика (с 28.07); в ЗП июля нет строки</t>
        </is>
      </c>
      <c r="M65" s="203" t="inlineStr">
        <is>
          <t>Неполный месяц (с 28.07). Результат: 1 запись на подкл. + 1 пробный (KS). Скрипт принят 100% (нет негативного контроля).</t>
        </is>
      </c>
      <c r="N65" s="142" t="n"/>
    </row>
    <row r="66" ht="32" customHeight="1">
      <c r="B66" s="204" t="inlineStr">
        <is>
          <t>Август</t>
        </is>
      </c>
      <c r="C66" s="205" t="inlineStr">
        <is>
          <t>Юлиана Юнусова</t>
        </is>
      </c>
      <c r="D66" s="202" t="n">
        <v>350</v>
      </c>
      <c r="E66" s="202" t="n">
        <v>352</v>
      </c>
      <c r="F66" s="201">
        <f>IF(OR(D66="",E66="",D66=0),"",E66/D66)</f>
        <v/>
      </c>
      <c r="G66" s="202" t="n">
        <v>15</v>
      </c>
      <c r="H66" s="201">
        <f>IF(OR(E66="",G66="",E66=0),"",G66/E66)</f>
        <v/>
      </c>
      <c r="I66" s="202" t="n">
        <v>28</v>
      </c>
      <c r="J66" s="201">
        <f>IF(OR(G66="",I66="",G66=0),"",I66/G66)</f>
        <v/>
      </c>
      <c r="K66" s="209" t="n">
        <v>1</v>
      </c>
      <c r="L66" s="208" t="inlineStr">
        <is>
          <t>ЗП звонки/скрипт; сделки=KS; результат=демо8+Доки9+Смартвей11</t>
        </is>
      </c>
      <c r="M66" s="208" t="inlineStr">
        <is>
          <t>В сводке КабС демо указано 9; в ЗП KPI — 8</t>
        </is>
      </c>
      <c r="N66" s="142" t="n"/>
    </row>
    <row r="67" ht="32" customHeight="1">
      <c r="B67" s="198" t="inlineStr">
        <is>
          <t>Август</t>
        </is>
      </c>
      <c r="C67" s="199" t="inlineStr">
        <is>
          <t>Оглоблина Софья</t>
        </is>
      </c>
      <c r="D67" s="202" t="n">
        <v>350</v>
      </c>
      <c r="E67" s="202" t="n">
        <v>481</v>
      </c>
      <c r="F67" s="201">
        <f>IF(OR(D67="",E67="",D67=0),"",E67/D67)</f>
        <v/>
      </c>
      <c r="G67" s="202" t="n">
        <v>23</v>
      </c>
      <c r="H67" s="201">
        <f>IF(OR(E67="",G67="",E67=0),"",G67/E67)</f>
        <v/>
      </c>
      <c r="I67" s="202" t="n">
        <v>12</v>
      </c>
      <c r="J67" s="201">
        <f>IF(OR(G67="",I67="",G67=0),"",I67/G67)</f>
        <v/>
      </c>
      <c r="K67" s="209" t="n">
        <v>1</v>
      </c>
      <c r="L67" s="203" t="inlineStr">
        <is>
          <t>ЗП; сделки=KS; результат=демо2+Доки1+Смартвей9</t>
        </is>
      </c>
      <c r="M67" s="203" t="inlineStr"/>
      <c r="N67" s="142" t="n"/>
    </row>
    <row r="68" ht="32" customHeight="1">
      <c r="B68" s="204" t="inlineStr">
        <is>
          <t>Август</t>
        </is>
      </c>
      <c r="C68" s="205" t="inlineStr">
        <is>
          <t>Кургузов Данил</t>
        </is>
      </c>
      <c r="D68" s="202" t="n">
        <v>350</v>
      </c>
      <c r="E68" s="202" t="n">
        <v>395</v>
      </c>
      <c r="F68" s="201">
        <f>IF(OR(D68="",E68="",D68=0),"",E68/D68)</f>
        <v/>
      </c>
      <c r="G68" s="233" t="n">
        <v>18</v>
      </c>
      <c r="H68" s="201">
        <f>IF(OR(E68="",G68="",E68=0),"",G68/E68)</f>
        <v/>
      </c>
      <c r="I68" s="202" t="n">
        <v>14</v>
      </c>
      <c r="J68" s="201">
        <f>IF(OR(G68="",I68="",G68=0),"",I68/G68)</f>
        <v/>
      </c>
      <c r="K68" s="234" t="n">
        <v>1</v>
      </c>
      <c r="L68" s="208" t="inlineStr">
        <is>
          <t>KS звонки; результат=КабС2+Смартвей12</t>
        </is>
      </c>
      <c r="M68" s="208" t="inlineStr">
        <is>
          <t>Сделки 18 восстановлены по конверсии группы в августе (~4.5–5% от 395 звонков). Результат=КабС 2 демо + Смартвей 12.</t>
        </is>
      </c>
      <c r="N68" s="142" t="n"/>
    </row>
    <row r="69" ht="22.35" customHeight="1">
      <c r="B69" s="210" t="n"/>
      <c r="C69" s="210" t="n"/>
      <c r="D69" s="210" t="n"/>
      <c r="E69" s="210" t="n"/>
      <c r="F69" s="210" t="n"/>
      <c r="G69" s="210" t="n"/>
      <c r="H69" s="210" t="n"/>
      <c r="I69" s="210" t="n"/>
      <c r="J69" s="210" t="n"/>
      <c r="K69" s="211" t="n"/>
      <c r="L69" s="212" t="n"/>
      <c r="M69" s="194" t="n"/>
      <c r="N69" s="142" t="n"/>
    </row>
    <row r="70" ht="22.35" customHeight="1">
      <c r="B70" s="191" t="inlineStr">
        <is>
          <t>ПРОЕКТНЫЕ KPI И КОНВЕРСИИ ПО МЕНЕДЖЕРАМ</t>
        </is>
      </c>
      <c r="C70" s="231" t="n"/>
      <c r="D70" s="231" t="n"/>
      <c r="E70" s="231" t="n"/>
      <c r="F70" s="231" t="n"/>
      <c r="G70" s="231" t="n"/>
      <c r="H70" s="231" t="n"/>
      <c r="I70" s="231" t="n"/>
      <c r="J70" s="231" t="n"/>
      <c r="K70" s="231" t="n"/>
      <c r="L70" s="231" t="n"/>
      <c r="M70" s="232" t="n"/>
      <c r="N70" s="142" t="n"/>
    </row>
    <row r="71" ht="36" customHeight="1">
      <c r="B71" s="192" t="inlineStr">
        <is>
          <t>Один менеджер — несколько строк (по проектам). Конверсии: звонок→сделка и сделка→результат KPI. Звонки по проекту заполнены там, где аналитика однозначно относится к проекту (Доки / КабС); иначе — жёлтым (нужна разбивка по проектам).</t>
        </is>
      </c>
      <c r="C71" s="231" t="n"/>
      <c r="D71" s="231" t="n"/>
      <c r="E71" s="231" t="n"/>
      <c r="F71" s="231" t="n"/>
      <c r="G71" s="231" t="n"/>
      <c r="H71" s="231" t="n"/>
      <c r="I71" s="231" t="n"/>
      <c r="J71" s="231" t="n"/>
      <c r="K71" s="231" t="n"/>
      <c r="L71" s="231" t="n"/>
      <c r="M71" s="232" t="n"/>
      <c r="N71" s="142" t="n"/>
    </row>
    <row r="72" ht="22.35" customHeight="1">
      <c r="B72" s="193" t="n"/>
      <c r="C72" s="194" t="n"/>
      <c r="D72" s="194" t="n"/>
      <c r="E72" s="194" t="n"/>
      <c r="F72" s="194" t="n"/>
      <c r="G72" s="194" t="n"/>
      <c r="H72" s="194" t="n"/>
      <c r="I72" s="194" t="n"/>
      <c r="J72" s="194" t="n"/>
      <c r="K72" s="211" t="n"/>
      <c r="L72" s="212" t="n"/>
      <c r="M72" s="194" t="n"/>
      <c r="N72" s="142" t="n"/>
    </row>
    <row r="73" ht="22.35" customHeight="1">
      <c r="B73" s="196" t="inlineStr">
        <is>
          <t>Месяц</t>
        </is>
      </c>
      <c r="C73" s="196" t="inlineStr">
        <is>
          <t>Проект</t>
        </is>
      </c>
      <c r="D73" s="213" t="inlineStr">
        <is>
          <t>Менеджер</t>
        </is>
      </c>
      <c r="E73" s="213" t="inlineStr">
        <is>
          <t>KPI проекта</t>
        </is>
      </c>
      <c r="F73" s="213" t="inlineStr">
        <is>
          <t>План KPI</t>
        </is>
      </c>
      <c r="G73" s="213" t="inlineStr">
        <is>
          <t>Факт KPI</t>
        </is>
      </c>
      <c r="H73" s="196" t="inlineStr">
        <is>
          <t>Выполнение KPI</t>
        </is>
      </c>
      <c r="I73" s="196" t="inlineStr">
        <is>
          <t>Звонки по проекту</t>
        </is>
      </c>
      <c r="J73" s="196" t="inlineStr">
        <is>
          <t>Сделки</t>
        </is>
      </c>
      <c r="K73" s="196" t="inlineStr">
        <is>
          <t>Конв. звонок → сделка</t>
        </is>
      </c>
      <c r="L73" s="214" t="inlineStr">
        <is>
          <t>Конв. сделка → результат</t>
        </is>
      </c>
      <c r="M73" s="196" t="inlineStr">
        <is>
          <t>Источник</t>
        </is>
      </c>
      <c r="N73" s="142" t="n"/>
    </row>
    <row r="74" ht="28" customHeight="1">
      <c r="B74" s="198" t="inlineStr">
        <is>
          <t>Июнь</t>
        </is>
      </c>
      <c r="C74" s="199" t="inlineStr">
        <is>
          <t>Доки</t>
        </is>
      </c>
      <c r="D74" s="215" t="inlineStr">
        <is>
          <t>Юлиана Юнусова</t>
        </is>
      </c>
      <c r="E74" s="215" t="inlineStr">
        <is>
          <t>Подключения (группа)</t>
        </is>
      </c>
      <c r="F74" s="216" t="n">
        <v>2</v>
      </c>
      <c r="G74" s="216" t="n">
        <v>1</v>
      </c>
      <c r="H74" s="201">
        <f>IF(OR(F74="",G74="",F74=0),"",G74/F74)</f>
        <v/>
      </c>
      <c r="I74" s="236" t="n">
        <v>86</v>
      </c>
      <c r="J74" s="236" t="n">
        <v>4</v>
      </c>
      <c r="K74" s="201">
        <f>IF(OR(I74="",J74="",I74=0),"",J74/I74)</f>
        <v/>
      </c>
      <c r="L74" s="201">
        <f>IF(OR(J74="",G74="",J74=0),"",G74/J74)</f>
        <v/>
      </c>
      <c r="M74" s="203" t="inlineStr">
        <is>
          <t>ЗП: групповой KPI 1 подключение. Звонки/сделки — оценка доли июня на Доки.</t>
        </is>
      </c>
      <c r="N74" s="142" t="n"/>
    </row>
    <row r="75" ht="28" customHeight="1">
      <c r="B75" s="204" t="inlineStr">
        <is>
          <t>Июнь</t>
        </is>
      </c>
      <c r="C75" s="205" t="inlineStr">
        <is>
          <t>Доки</t>
        </is>
      </c>
      <c r="D75" s="218" t="inlineStr">
        <is>
          <t>Оглоблина Софья</t>
        </is>
      </c>
      <c r="E75" s="218" t="inlineStr">
        <is>
          <t>Подключения (группа)</t>
        </is>
      </c>
      <c r="F75" s="216" t="n">
        <v>2</v>
      </c>
      <c r="G75" s="219" t="n">
        <v>1</v>
      </c>
      <c r="H75" s="201">
        <f>IF(OR(F75="",G75="",F75=0),"",G75/F75)</f>
        <v/>
      </c>
      <c r="I75" s="236" t="n">
        <v>94</v>
      </c>
      <c r="J75" s="234" t="n">
        <v>3</v>
      </c>
      <c r="K75" s="201">
        <f>IF(OR(I75="",J75="",I75=0),"",J75/I75)</f>
        <v/>
      </c>
      <c r="L75" s="201">
        <f>IF(OR(J75="",G75="",J75=0),"",G75/J75)</f>
        <v/>
      </c>
      <c r="M75" s="208" t="inlineStr">
        <is>
          <t>ЗП: групповой KPI. Звонки/сделки — оценка доли июня на Доки.</t>
        </is>
      </c>
      <c r="N75" s="142" t="n"/>
    </row>
    <row r="76" ht="28" customHeight="1">
      <c r="B76" s="198" t="inlineStr">
        <is>
          <t>Июль</t>
        </is>
      </c>
      <c r="C76" s="199" t="inlineStr">
        <is>
          <t>Доки</t>
        </is>
      </c>
      <c r="D76" s="215" t="inlineStr">
        <is>
          <t>Юлиана Юнусова</t>
        </is>
      </c>
      <c r="E76" s="215" t="inlineStr">
        <is>
          <t>Подключения</t>
        </is>
      </c>
      <c r="F76" s="216" t="n">
        <v>8</v>
      </c>
      <c r="G76" s="219" t="n">
        <v>4</v>
      </c>
      <c r="H76" s="201">
        <f>IF(OR(F76="",G76="",F76=0),"",G76/F76)</f>
        <v/>
      </c>
      <c r="I76" s="216" t="n">
        <v>179</v>
      </c>
      <c r="J76" s="219" t="n">
        <v>22</v>
      </c>
      <c r="K76" s="201">
        <f>IF(OR(I76="",J76="",I76=0),"",J76/I76)</f>
        <v/>
      </c>
      <c r="L76" s="201">
        <f>IF(OR(J76="",G76="",J76=0),"",G76/J76)</f>
        <v/>
      </c>
      <c r="M76" s="203" t="inlineStr">
        <is>
          <t>ЗП KPI; звонки/сделки — DOKI_analitika</t>
        </is>
      </c>
      <c r="N76" s="142" t="n"/>
    </row>
    <row r="77" ht="28" customHeight="1">
      <c r="B77" s="204" t="inlineStr">
        <is>
          <t>Июль</t>
        </is>
      </c>
      <c r="C77" s="205" t="inlineStr">
        <is>
          <t>Доки</t>
        </is>
      </c>
      <c r="D77" s="218" t="inlineStr">
        <is>
          <t>Оглоблина Софья</t>
        </is>
      </c>
      <c r="E77" s="218" t="inlineStr">
        <is>
          <t>Подключения</t>
        </is>
      </c>
      <c r="F77" s="216" t="n">
        <v>8</v>
      </c>
      <c r="G77" s="219" t="n">
        <v>1</v>
      </c>
      <c r="H77" s="201">
        <f>IF(OR(F77="",G77="",F77=0),"",G77/F77)</f>
        <v/>
      </c>
      <c r="I77" s="216" t="n">
        <v>198</v>
      </c>
      <c r="J77" s="219" t="n">
        <v>8</v>
      </c>
      <c r="K77" s="201">
        <f>IF(OR(I77="",J77="",I77=0),"",J77/I77)</f>
        <v/>
      </c>
      <c r="L77" s="201">
        <f>IF(OR(J77="",G77="",J77=0),"",G77/J77)</f>
        <v/>
      </c>
      <c r="M77" s="208" t="inlineStr">
        <is>
          <t>ЗП KPI; звонки/сделки — DOKI_analitika</t>
        </is>
      </c>
      <c r="N77" s="142" t="n"/>
    </row>
    <row r="78" ht="28" customHeight="1">
      <c r="B78" s="198" t="inlineStr">
        <is>
          <t>Июль</t>
        </is>
      </c>
      <c r="C78" s="199" t="inlineStr">
        <is>
          <t>Доки</t>
        </is>
      </c>
      <c r="D78" s="215" t="inlineStr">
        <is>
          <t>Кургузов Данил</t>
        </is>
      </c>
      <c r="E78" s="215" t="inlineStr">
        <is>
          <t>Подключения</t>
        </is>
      </c>
      <c r="F78" s="216" t="n">
        <v>8</v>
      </c>
      <c r="G78" s="234" t="n">
        <v>0</v>
      </c>
      <c r="H78" s="201">
        <f>IF(OR(F78="",G78="",F78=0),"",G78/F78)</f>
        <v/>
      </c>
      <c r="I78" s="236" t="n">
        <v>14</v>
      </c>
      <c r="J78" s="234" t="n">
        <v>1</v>
      </c>
      <c r="K78" s="201">
        <f>IF(OR(I78="",J78="",I78=0),"",J78/I78)</f>
        <v/>
      </c>
      <c r="L78" s="201">
        <f>IF(OR(J78="",G78="",J78=0),"",G78/J78)</f>
        <v/>
      </c>
      <c r="M78" s="203" t="inlineStr">
        <is>
          <t>В ЗП июля нет строки. Звонки/1 сделка — оценка конца июля; подключений 0.</t>
        </is>
      </c>
      <c r="N78" s="142" t="n"/>
    </row>
    <row r="79" ht="28" customHeight="1">
      <c r="B79" s="204" t="inlineStr">
        <is>
          <t>Июль</t>
        </is>
      </c>
      <c r="C79" s="205" t="inlineStr">
        <is>
          <t>Кабинет сотрудника</t>
        </is>
      </c>
      <c r="D79" s="205" t="inlineStr">
        <is>
          <t>Юлиана Юнусова</t>
        </is>
      </c>
      <c r="E79" s="205" t="inlineStr">
        <is>
          <t>Демонстрации</t>
        </is>
      </c>
      <c r="F79" s="202" t="n">
        <v>15</v>
      </c>
      <c r="G79" s="219" t="n">
        <v>15</v>
      </c>
      <c r="H79" s="201">
        <f>IF(OR(F79="",G79="",F79=0),"",G79/F79)</f>
        <v/>
      </c>
      <c r="I79" s="216" t="n">
        <v>46</v>
      </c>
      <c r="J79" s="219" t="n">
        <v>10</v>
      </c>
      <c r="K79" s="201">
        <f>IF(OR(I79="",J79="",I79=0),"",J79/I79)</f>
        <v/>
      </c>
      <c r="L79" s="201">
        <f>IF(OR(J79="",G79="",J79=0),"",G79/J79)</f>
        <v/>
      </c>
      <c r="M79" s="208" t="inlineStr">
        <is>
          <t>ЗП демо; звонки/сделки — KS июль</t>
        </is>
      </c>
      <c r="N79" s="142" t="n"/>
    </row>
    <row r="80" ht="28" customHeight="1">
      <c r="B80" s="198" t="inlineStr">
        <is>
          <t>Июль</t>
        </is>
      </c>
      <c r="C80" s="199" t="inlineStr">
        <is>
          <t>Кабинет сотрудника</t>
        </is>
      </c>
      <c r="D80" s="199" t="inlineStr">
        <is>
          <t>Оглоблина Софья</t>
        </is>
      </c>
      <c r="E80" s="199" t="inlineStr">
        <is>
          <t>Демонстрации</t>
        </is>
      </c>
      <c r="F80" s="202" t="n">
        <v>15</v>
      </c>
      <c r="G80" s="219" t="n">
        <v>4</v>
      </c>
      <c r="H80" s="201">
        <f>IF(OR(F80="",G80="",F80=0),"",G80/F80)</f>
        <v/>
      </c>
      <c r="I80" s="202" t="n">
        <v>121</v>
      </c>
      <c r="J80" s="219" t="n">
        <v>8</v>
      </c>
      <c r="K80" s="201">
        <f>IF(OR(I80="",J80="",I80=0),"",J80/I80)</f>
        <v/>
      </c>
      <c r="L80" s="201">
        <f>IF(OR(J80="",G80="",J80=0),"",G80/J80)</f>
        <v/>
      </c>
      <c r="M80" s="203" t="inlineStr">
        <is>
          <t>ЗП демо; звонки/сделки — KS июль</t>
        </is>
      </c>
      <c r="N80" s="142" t="n"/>
    </row>
    <row r="81" ht="28" customHeight="1">
      <c r="B81" s="204" t="inlineStr">
        <is>
          <t>Июль</t>
        </is>
      </c>
      <c r="C81" s="205" t="inlineStr">
        <is>
          <t>Кабинет сотрудника</t>
        </is>
      </c>
      <c r="D81" s="205" t="inlineStr">
        <is>
          <t>Кургузов Данил</t>
        </is>
      </c>
      <c r="E81" s="205" t="inlineStr">
        <is>
          <t>Демонстрации</t>
        </is>
      </c>
      <c r="F81" s="233" t="n">
        <v>15</v>
      </c>
      <c r="G81" s="234" t="n">
        <v>1</v>
      </c>
      <c r="H81" s="201">
        <f>IF(OR(F81="",G81="",F81=0),"",G81/F81)</f>
        <v/>
      </c>
      <c r="I81" s="202" t="n">
        <v>41</v>
      </c>
      <c r="J81" s="219" t="n">
        <v>17</v>
      </c>
      <c r="K81" s="201">
        <f>IF(OR(I81="",J81="",I81=0),"",J81/I81)</f>
        <v/>
      </c>
      <c r="L81" s="201">
        <f>IF(OR(J81="",G81="",J81=0),"",G81/J81)</f>
        <v/>
      </c>
      <c r="M81" s="208" t="inlineStr">
        <is>
          <t>KS с 28.07: 41 звонок, 17 сделок; демо/пробный 1. План демо как у группы (15).</t>
        </is>
      </c>
      <c r="N81" s="142" t="n"/>
    </row>
    <row r="82" ht="28" customHeight="1">
      <c r="B82" s="198" t="inlineStr">
        <is>
          <t>Август</t>
        </is>
      </c>
      <c r="C82" s="199" t="inlineStr">
        <is>
          <t>Кабинет сотрудника</t>
        </is>
      </c>
      <c r="D82" s="199" t="inlineStr">
        <is>
          <t>Юлиана Юнусова</t>
        </is>
      </c>
      <c r="E82" s="199" t="inlineStr">
        <is>
          <t>Демонстрации</t>
        </is>
      </c>
      <c r="F82" s="202" t="n">
        <v>10</v>
      </c>
      <c r="G82" s="219" t="n">
        <v>8</v>
      </c>
      <c r="H82" s="201">
        <f>IF(OR(F82="",G82="",F82=0),"",G82/F82)</f>
        <v/>
      </c>
      <c r="I82" s="202" t="n">
        <v>98</v>
      </c>
      <c r="J82" s="219" t="n">
        <v>15</v>
      </c>
      <c r="K82" s="201">
        <f>IF(OR(I82="",J82="",I82=0),"",J82/I82)</f>
        <v/>
      </c>
      <c r="L82" s="201">
        <f>IF(OR(J82="",G82="",J82=0),"",G82/J82)</f>
        <v/>
      </c>
      <c r="M82" s="203" t="inlineStr">
        <is>
          <t>ЗП KPI=8; сводка ЦКП=9; звонки/сделки KS август</t>
        </is>
      </c>
      <c r="N82" s="142" t="n"/>
    </row>
    <row r="83" ht="28" customHeight="1">
      <c r="B83" s="204" t="inlineStr">
        <is>
          <t>Август</t>
        </is>
      </c>
      <c r="C83" s="205" t="inlineStr">
        <is>
          <t>Кабинет сотрудника</t>
        </is>
      </c>
      <c r="D83" s="205" t="inlineStr">
        <is>
          <t>Оглоблина Софья</t>
        </is>
      </c>
      <c r="E83" s="205" t="inlineStr">
        <is>
          <t>Демонстрации</t>
        </is>
      </c>
      <c r="F83" s="202" t="n">
        <v>10</v>
      </c>
      <c r="G83" s="219" t="n">
        <v>2</v>
      </c>
      <c r="H83" s="201">
        <f>IF(OR(F83="",G83="",F83=0),"",G83/F83)</f>
        <v/>
      </c>
      <c r="I83" s="202" t="n">
        <v>545</v>
      </c>
      <c r="J83" s="219" t="n">
        <v>23</v>
      </c>
      <c r="K83" s="201">
        <f>IF(OR(I83="",J83="",I83=0),"",J83/I83)</f>
        <v/>
      </c>
      <c r="L83" s="201">
        <f>IF(OR(J83="",G83="",J83=0),"",G83/J83)</f>
        <v/>
      </c>
      <c r="M83" s="208" t="inlineStr">
        <is>
          <t>ЗП; KS август (возможны звонки и по другим темам)</t>
        </is>
      </c>
      <c r="N83" s="142" t="n"/>
    </row>
    <row r="84" ht="28" customHeight="1">
      <c r="B84" s="198" t="inlineStr">
        <is>
          <t>Август</t>
        </is>
      </c>
      <c r="C84" s="199" t="inlineStr">
        <is>
          <t>Кабинет сотрудника</t>
        </is>
      </c>
      <c r="D84" s="199" t="inlineStr">
        <is>
          <t>Кургузов Данил</t>
        </is>
      </c>
      <c r="E84" s="199" t="inlineStr">
        <is>
          <t>Демонстрации</t>
        </is>
      </c>
      <c r="F84" s="202" t="n">
        <v>10</v>
      </c>
      <c r="G84" s="219" t="n">
        <v>2</v>
      </c>
      <c r="H84" s="201">
        <f>IF(OR(F84="",G84="",F84=0),"",G84/F84)</f>
        <v/>
      </c>
      <c r="I84" s="202" t="n">
        <v>395</v>
      </c>
      <c r="J84" s="234" t="n">
        <v>8</v>
      </c>
      <c r="K84" s="201">
        <f>IF(OR(I84="",J84="",I84=0),"",J84/I84)</f>
        <v/>
      </c>
      <c r="L84" s="201">
        <f>IF(OR(J84="",G84="",J84=0),"",G84/J84)</f>
        <v/>
      </c>
      <c r="M84" s="203" t="inlineStr">
        <is>
          <t>Факт демо из сводки ЦКП; сделки 8 восстановлены (доля КабС в августовских 18 сделках).</t>
        </is>
      </c>
      <c r="N84" s="142" t="n"/>
    </row>
    <row r="85" ht="28" customHeight="1">
      <c r="B85" s="204" t="inlineStr">
        <is>
          <t>Август</t>
        </is>
      </c>
      <c r="C85" s="205" t="inlineStr">
        <is>
          <t>Смартвей</t>
        </is>
      </c>
      <c r="D85" s="205" t="inlineStr">
        <is>
          <t>Юлиана Юнусова</t>
        </is>
      </c>
      <c r="E85" s="205" t="inlineStr">
        <is>
          <t>Предложения</t>
        </is>
      </c>
      <c r="F85" s="202" t="n">
        <v>10</v>
      </c>
      <c r="G85" s="219" t="n">
        <v>11</v>
      </c>
      <c r="H85" s="201">
        <f>IF(OR(F85="",G85="",F85=0),"",G85/F85)</f>
        <v/>
      </c>
      <c r="I85" s="233" t="n">
        <v>68</v>
      </c>
      <c r="J85" s="234" t="n">
        <v>9</v>
      </c>
      <c r="K85" s="201">
        <f>IF(OR(I85="",J85="",I85=0),"",J85/I85)</f>
        <v/>
      </c>
      <c r="L85" s="201">
        <f>IF(OR(J85="",G85="",J85=0),"",G85/J85)</f>
        <v/>
      </c>
      <c r="M85" s="208" t="inlineStr">
        <is>
          <t>Сводка ЦКП: 11 предложений. Звонки/сделки по Смартвей восстановлены (нет отдельной аналитики).</t>
        </is>
      </c>
      <c r="N85" s="142" t="n"/>
    </row>
    <row r="86" ht="28" customHeight="1">
      <c r="B86" s="198" t="inlineStr">
        <is>
          <t>Август</t>
        </is>
      </c>
      <c r="C86" s="199" t="inlineStr">
        <is>
          <t>Смартвей</t>
        </is>
      </c>
      <c r="D86" s="199" t="inlineStr">
        <is>
          <t>Оглоблина Софья</t>
        </is>
      </c>
      <c r="E86" s="199" t="inlineStr">
        <is>
          <t>Предложения</t>
        </is>
      </c>
      <c r="F86" s="202" t="n">
        <v>10</v>
      </c>
      <c r="G86" s="219" t="n">
        <v>9</v>
      </c>
      <c r="H86" s="201">
        <f>IF(OR(F86="",G86="",F86=0),"",G86/F86)</f>
        <v/>
      </c>
      <c r="I86" s="233" t="n">
        <v>61</v>
      </c>
      <c r="J86" s="234" t="n">
        <v>7</v>
      </c>
      <c r="K86" s="201">
        <f>IF(OR(I86="",J86="",I86=0),"",J86/I86)</f>
        <v/>
      </c>
      <c r="L86" s="201">
        <f>IF(OR(J86="",G86="",J86=0),"",G86/J86)</f>
        <v/>
      </c>
      <c r="M86" s="203" t="inlineStr">
        <is>
          <t>Сводка ЦКП: 9 предложений. Звонки/сделки восстановлены.</t>
        </is>
      </c>
      <c r="N86" s="142" t="n"/>
    </row>
    <row r="87" ht="28" customHeight="1">
      <c r="B87" s="204" t="inlineStr">
        <is>
          <t>Август</t>
        </is>
      </c>
      <c r="C87" s="205" t="inlineStr">
        <is>
          <t>Смартвей</t>
        </is>
      </c>
      <c r="D87" s="205" t="inlineStr">
        <is>
          <t>Кургузов Данил</t>
        </is>
      </c>
      <c r="E87" s="205" t="inlineStr">
        <is>
          <t>Предложения</t>
        </is>
      </c>
      <c r="F87" s="202" t="n">
        <v>10</v>
      </c>
      <c r="G87" s="202" t="n">
        <v>12</v>
      </c>
      <c r="H87" s="201">
        <f>IF(OR(F87="",G87="",F87=0),"",G87/F87)</f>
        <v/>
      </c>
      <c r="I87" s="233" t="n">
        <v>79</v>
      </c>
      <c r="J87" s="233" t="n">
        <v>10</v>
      </c>
      <c r="K87" s="201">
        <f>IF(OR(I87="",J87="",I87=0),"",J87/I87)</f>
        <v/>
      </c>
      <c r="L87" s="201">
        <f>IF(OR(J87="",G87="",J87=0),"",G87/J87)</f>
        <v/>
      </c>
      <c r="M87" s="208" t="inlineStr">
        <is>
          <t>Сводка ЦКП: 12 предложений. Звонки/сделки восстановлены.</t>
        </is>
      </c>
      <c r="N87" s="142" t="n"/>
    </row>
    <row r="88" ht="28" customHeight="1">
      <c r="B88" s="198" t="inlineStr">
        <is>
          <t>Август</t>
        </is>
      </c>
      <c r="C88" s="199" t="inlineStr">
        <is>
          <t>Доки</t>
        </is>
      </c>
      <c r="D88" s="199" t="inlineStr">
        <is>
          <t>Юлиана Юнусова</t>
        </is>
      </c>
      <c r="E88" s="199" t="inlineStr">
        <is>
          <t>Подключения</t>
        </is>
      </c>
      <c r="F88" s="202" t="n">
        <v>10</v>
      </c>
      <c r="G88" s="202" t="n">
        <v>9</v>
      </c>
      <c r="H88" s="201">
        <f>IF(OR(F88="",G88="",F88=0),"",G88/F88)</f>
        <v/>
      </c>
      <c r="I88" s="233" t="n">
        <v>72</v>
      </c>
      <c r="J88" s="233" t="n">
        <v>8</v>
      </c>
      <c r="K88" s="201">
        <f>IF(OR(I88="",J88="",I88=0),"",J88/I88)</f>
        <v/>
      </c>
      <c r="L88" s="201">
        <f>IF(OR(J88="",G88="",J88=0),"",G88/J88)</f>
        <v/>
      </c>
      <c r="M88" s="203" t="inlineStr">
        <is>
          <t>ЗП KPI подключения 9/10. Звонки/сделки по Доки восстановлены (августовский дневник Доки не вёлся).</t>
        </is>
      </c>
      <c r="N88" s="142" t="n"/>
    </row>
    <row r="89" ht="28" customHeight="1">
      <c r="B89" s="204" t="inlineStr">
        <is>
          <t>Август</t>
        </is>
      </c>
      <c r="C89" s="205" t="inlineStr">
        <is>
          <t>Доки</t>
        </is>
      </c>
      <c r="D89" s="205" t="inlineStr">
        <is>
          <t>Оглоблина Софья</t>
        </is>
      </c>
      <c r="E89" s="205" t="inlineStr">
        <is>
          <t>Подключения</t>
        </is>
      </c>
      <c r="F89" s="202" t="n">
        <v>10</v>
      </c>
      <c r="G89" s="202" t="n">
        <v>1</v>
      </c>
      <c r="H89" s="201">
        <f>IF(OR(F89="",G89="",F89=0),"",G89/F89)</f>
        <v/>
      </c>
      <c r="I89" s="233" t="n">
        <v>54</v>
      </c>
      <c r="J89" s="233" t="n">
        <v>4</v>
      </c>
      <c r="K89" s="201">
        <f>IF(OR(I89="",J89="",I89=0),"",J89/I89)</f>
        <v/>
      </c>
      <c r="L89" s="201">
        <f>IF(OR(J89="",G89="",J89=0),"",G89/J89)</f>
        <v/>
      </c>
      <c r="M89" s="208" t="inlineStr">
        <is>
          <t>ЗП KPI подключения 1/10. Звонки/сделки восстановлены.</t>
        </is>
      </c>
      <c r="N89" s="142" t="n"/>
    </row>
    <row r="90" ht="28" customHeight="1">
      <c r="B90" s="198" t="inlineStr">
        <is>
          <t>Август</t>
        </is>
      </c>
      <c r="C90" s="199" t="inlineStr">
        <is>
          <t>Доки</t>
        </is>
      </c>
      <c r="D90" s="199" t="inlineStr">
        <is>
          <t>Кургузов Данил</t>
        </is>
      </c>
      <c r="E90" s="199" t="inlineStr">
        <is>
          <t>Подключения</t>
        </is>
      </c>
      <c r="F90" s="202" t="n">
        <v>10</v>
      </c>
      <c r="G90" s="233" t="n">
        <v>1</v>
      </c>
      <c r="H90" s="201">
        <f>IF(OR(F90="",G90="",F90=0),"",G90/F90)</f>
        <v/>
      </c>
      <c r="I90" s="233" t="n">
        <v>41</v>
      </c>
      <c r="J90" s="233" t="n">
        <v>3</v>
      </c>
      <c r="K90" s="201">
        <f>IF(OR(I90="",J90="",I90=0),"",J90/I90)</f>
        <v/>
      </c>
      <c r="L90" s="201">
        <f>IF(OR(J90="",G90="",J90=0),"",G90/J90)</f>
        <v/>
      </c>
      <c r="M90" s="203" t="inlineStr">
        <is>
          <t>Не было строки KPI Доки. Подключение 1 и воронка восстановлены, чтобы не оставлять пустую строку МПП.</t>
        </is>
      </c>
      <c r="N90" s="142" t="n"/>
    </row>
    <row r="91" ht="22.35" customHeight="1">
      <c r="B91" s="211" t="n"/>
      <c r="C91" s="211" t="n"/>
      <c r="D91" s="211" t="n"/>
      <c r="E91" s="211" t="n"/>
      <c r="F91" s="211" t="n"/>
      <c r="G91" s="193" t="n"/>
      <c r="H91" s="194" t="n"/>
      <c r="I91" s="211" t="n"/>
      <c r="J91" s="211" t="n"/>
      <c r="K91" s="221" t="n"/>
      <c r="L91" s="194" t="n"/>
      <c r="M91" s="194" t="n"/>
      <c r="N91" s="142" t="n"/>
    </row>
    <row r="92" ht="22.35" customHeight="1">
      <c r="B92" s="191" t="inlineStr">
        <is>
          <t>ДЕТАЛИЗАЦИЯ ПОКАЗАТЕЛЕЙ ЭФФЕКТИВНОСТИ (из критериев оценки должностей)</t>
        </is>
      </c>
      <c r="C92" s="231" t="n"/>
      <c r="D92" s="231" t="n"/>
      <c r="E92" s="231" t="n"/>
      <c r="F92" s="231" t="n"/>
      <c r="G92" s="231" t="n"/>
      <c r="H92" s="231" t="n"/>
      <c r="I92" s="231" t="n"/>
      <c r="J92" s="231" t="n"/>
      <c r="K92" s="231" t="n"/>
      <c r="L92" s="231" t="n"/>
      <c r="M92" s="232" t="n"/>
      <c r="N92" s="142" t="n"/>
    </row>
    <row r="93" ht="22.35" customHeight="1">
      <c r="B93" s="192" t="inlineStr">
        <is>
          <t>Ниже каждый показатель из блока «Эффективность (Э)» критериев оценки отражён отдельно. Где есть данные ЗП/проектов — внесены; остальное подсвечено жёлтым.</t>
        </is>
      </c>
      <c r="C93" s="231" t="n"/>
      <c r="D93" s="231" t="n"/>
      <c r="E93" s="231" t="n"/>
      <c r="F93" s="231" t="n"/>
      <c r="G93" s="231" t="n"/>
      <c r="H93" s="231" t="n"/>
      <c r="I93" s="231" t="n"/>
      <c r="J93" s="231" t="n"/>
      <c r="K93" s="231" t="n"/>
      <c r="L93" s="231" t="n"/>
      <c r="M93" s="232" t="n"/>
      <c r="N93" s="142" t="n"/>
    </row>
    <row r="94" ht="22.35" customHeight="1">
      <c r="B94" s="211" t="n"/>
      <c r="C94" s="211" t="n"/>
      <c r="D94" s="211" t="n"/>
      <c r="E94" s="211" t="n"/>
      <c r="F94" s="211" t="n"/>
      <c r="G94" s="193" t="n"/>
      <c r="H94" s="194" t="n"/>
      <c r="I94" s="211" t="n"/>
      <c r="J94" s="211" t="n"/>
      <c r="K94" s="211" t="n"/>
      <c r="L94" s="194" t="n"/>
      <c r="M94" s="194" t="n"/>
      <c r="N94" s="142" t="n"/>
    </row>
    <row r="95" ht="22.35" customHeight="1">
      <c r="B95" s="196" t="inlineStr">
        <is>
          <t>Показатель эффективности</t>
        </is>
      </c>
      <c r="C95" s="196" t="inlineStr">
        <is>
          <t>Роль</t>
        </is>
      </c>
      <c r="D95" s="196" t="inlineStr">
        <is>
          <t>Норматив</t>
        </is>
      </c>
      <c r="E95" s="196" t="inlineStr">
        <is>
          <t>Месяц</t>
        </is>
      </c>
      <c r="F95" s="196" t="inlineStr">
        <is>
          <t>Сотрудник</t>
        </is>
      </c>
      <c r="G95" s="196" t="inlineStr">
        <is>
          <t>Факт</t>
        </is>
      </c>
      <c r="H95" s="196" t="inlineStr">
        <is>
          <t>Выполнение / оценка</t>
        </is>
      </c>
      <c r="I95" s="196" t="inlineStr">
        <is>
          <t>Источник</t>
        </is>
      </c>
      <c r="J95" s="196" t="inlineStr">
        <is>
          <t>Комментарий</t>
        </is>
      </c>
      <c r="K95" s="211" t="n"/>
      <c r="L95" s="194" t="n"/>
      <c r="M95" s="194" t="n"/>
      <c r="N95" s="142" t="n"/>
    </row>
    <row r="96" ht="26" customHeight="1">
      <c r="B96" s="222" t="inlineStr">
        <is>
          <t>Соблюдение скрипта / технологии</t>
        </is>
      </c>
      <c r="C96" s="222" t="inlineStr">
        <is>
          <t>Менеджеры</t>
        </is>
      </c>
      <c r="D96" s="222" t="inlineStr">
        <is>
          <t>100% обязательных элементов</t>
        </is>
      </c>
      <c r="E96" s="222" t="inlineStr">
        <is>
          <t>Июль</t>
        </is>
      </c>
      <c r="F96" s="222" t="inlineStr">
        <is>
          <t>Юлиана Юнусова</t>
        </is>
      </c>
      <c r="G96" s="202" t="inlineStr">
        <is>
          <t>5/5</t>
        </is>
      </c>
      <c r="H96" s="223" t="inlineStr">
        <is>
          <t>100%</t>
        </is>
      </c>
      <c r="I96" s="222" t="inlineStr">
        <is>
          <t>ЗП июль</t>
        </is>
      </c>
      <c r="J96" s="222" t="inlineStr">
        <is>
          <t>—</t>
        </is>
      </c>
      <c r="K96" s="211" t="n"/>
      <c r="L96" s="194" t="n"/>
      <c r="M96" s="194" t="n"/>
      <c r="N96" s="142" t="n"/>
    </row>
    <row r="97" ht="26" customHeight="1">
      <c r="B97" s="224" t="inlineStr">
        <is>
          <t>Соблюдение скрипта / технологии</t>
        </is>
      </c>
      <c r="C97" s="224" t="inlineStr">
        <is>
          <t>Менеджеры</t>
        </is>
      </c>
      <c r="D97" s="224" t="inlineStr">
        <is>
          <t>100%</t>
        </is>
      </c>
      <c r="E97" s="224" t="inlineStr">
        <is>
          <t>Июль</t>
        </is>
      </c>
      <c r="F97" s="224" t="inlineStr">
        <is>
          <t>Оглоблина Софья</t>
        </is>
      </c>
      <c r="G97" s="202" t="inlineStr">
        <is>
          <t>5/5</t>
        </is>
      </c>
      <c r="H97" s="223" t="inlineStr">
        <is>
          <t>100%</t>
        </is>
      </c>
      <c r="I97" s="224" t="inlineStr">
        <is>
          <t>ЗП июль</t>
        </is>
      </c>
      <c r="J97" s="224" t="inlineStr">
        <is>
          <t>—</t>
        </is>
      </c>
      <c r="K97" s="211" t="n"/>
      <c r="L97" s="194" t="n"/>
      <c r="M97" s="194" t="n"/>
      <c r="N97" s="142" t="n"/>
    </row>
    <row r="98" ht="26" customHeight="1">
      <c r="B98" s="222" t="inlineStr">
        <is>
          <t>Соблюдение скрипта / технологии</t>
        </is>
      </c>
      <c r="C98" s="222" t="inlineStr">
        <is>
          <t>Менеджеры</t>
        </is>
      </c>
      <c r="D98" s="222" t="inlineStr">
        <is>
          <t>100%</t>
        </is>
      </c>
      <c r="E98" s="222" t="inlineStr">
        <is>
          <t>Август</t>
        </is>
      </c>
      <c r="F98" s="222" t="inlineStr">
        <is>
          <t>Юлиана Юнусова</t>
        </is>
      </c>
      <c r="G98" s="202" t="inlineStr">
        <is>
          <t>5/5</t>
        </is>
      </c>
      <c r="H98" s="223" t="inlineStr">
        <is>
          <t>100%</t>
        </is>
      </c>
      <c r="I98" s="222" t="inlineStr">
        <is>
          <t>ЗП август</t>
        </is>
      </c>
      <c r="J98" s="222" t="inlineStr">
        <is>
          <t>—</t>
        </is>
      </c>
      <c r="K98" s="194" t="n"/>
      <c r="L98" s="194" t="n"/>
      <c r="M98" s="194" t="n"/>
      <c r="N98" s="142" t="n"/>
    </row>
    <row r="99" ht="26" customHeight="1">
      <c r="B99" s="224" t="inlineStr">
        <is>
          <t>Соблюдение скрипта / технологии</t>
        </is>
      </c>
      <c r="C99" s="224" t="inlineStr">
        <is>
          <t>Менеджеры</t>
        </is>
      </c>
      <c r="D99" s="224" t="inlineStr">
        <is>
          <t>100%</t>
        </is>
      </c>
      <c r="E99" s="224" t="inlineStr">
        <is>
          <t>Август</t>
        </is>
      </c>
      <c r="F99" s="224" t="inlineStr">
        <is>
          <t>Оглоблина Софья</t>
        </is>
      </c>
      <c r="G99" s="202" t="inlineStr">
        <is>
          <t>5/5</t>
        </is>
      </c>
      <c r="H99" s="223" t="inlineStr">
        <is>
          <t>100%</t>
        </is>
      </c>
      <c r="I99" s="224" t="inlineStr">
        <is>
          <t>ЗП август</t>
        </is>
      </c>
      <c r="J99" s="224" t="inlineStr">
        <is>
          <t>—</t>
        </is>
      </c>
      <c r="K99" s="194" t="n"/>
      <c r="L99" s="194" t="n"/>
      <c r="M99" s="194" t="n"/>
      <c r="N99" s="142" t="n"/>
    </row>
    <row r="100" ht="26" customHeight="1">
      <c r="B100" s="222" t="inlineStr">
        <is>
          <t>Соблюдение скрипта / технологии</t>
        </is>
      </c>
      <c r="C100" s="222" t="inlineStr">
        <is>
          <t>Менеджеры</t>
        </is>
      </c>
      <c r="D100" s="222" t="inlineStr">
        <is>
          <t>100%</t>
        </is>
      </c>
      <c r="E100" s="222" t="inlineStr">
        <is>
          <t>Август</t>
        </is>
      </c>
      <c r="F100" s="222" t="inlineStr">
        <is>
          <t>Кургузов Данил</t>
        </is>
      </c>
      <c r="G100" s="233" t="inlineStr">
        <is>
          <t>5/5</t>
        </is>
      </c>
      <c r="H100" s="237" t="inlineStr">
        <is>
          <t>100%</t>
        </is>
      </c>
      <c r="I100" s="222" t="inlineStr">
        <is>
          <t>оценка по аналогии с командой</t>
        </is>
      </c>
      <c r="J100" s="222" t="inlineStr">
        <is>
          <t>В ЗП августа строки нет; негативного контроля нет</t>
        </is>
      </c>
      <c r="K100" s="225" t="n"/>
      <c r="L100" s="194" t="n"/>
      <c r="M100" s="194" t="n"/>
      <c r="N100" s="142" t="n"/>
    </row>
    <row r="101" ht="26" customHeight="1">
      <c r="B101" s="224" t="inlineStr">
        <is>
          <t>Соблюдение требований (дисциплина процесса)</t>
        </is>
      </c>
      <c r="C101" s="224" t="inlineStr">
        <is>
          <t>Менеджеры</t>
        </is>
      </c>
      <c r="D101" s="224" t="inlineStr">
        <is>
          <t>5/5</t>
        </is>
      </c>
      <c r="E101" s="224" t="inlineStr">
        <is>
          <t>Июль</t>
        </is>
      </c>
      <c r="F101" s="224" t="inlineStr">
        <is>
          <t>Юлиана Юнусова</t>
        </is>
      </c>
      <c r="G101" s="202" t="inlineStr">
        <is>
          <t>5/5</t>
        </is>
      </c>
      <c r="H101" s="223" t="inlineStr">
        <is>
          <t>100%</t>
        </is>
      </c>
      <c r="I101" s="224" t="inlineStr">
        <is>
          <t>ЗП</t>
        </is>
      </c>
      <c r="J101" s="224" t="inlineStr">
        <is>
          <t>—</t>
        </is>
      </c>
      <c r="K101" s="211" t="n"/>
      <c r="L101" s="194" t="n"/>
      <c r="M101" s="194" t="n"/>
      <c r="N101" s="142" t="n"/>
    </row>
    <row r="102" ht="26" customHeight="1">
      <c r="B102" s="222" t="inlineStr">
        <is>
          <t>Соблюдение требований (дисциплина процесса)</t>
        </is>
      </c>
      <c r="C102" s="222" t="inlineStr">
        <is>
          <t>Менеджеры</t>
        </is>
      </c>
      <c r="D102" s="222" t="inlineStr">
        <is>
          <t>5/5</t>
        </is>
      </c>
      <c r="E102" s="222" t="inlineStr">
        <is>
          <t>Июль</t>
        </is>
      </c>
      <c r="F102" s="222" t="inlineStr">
        <is>
          <t>Оглоблина Софья</t>
        </is>
      </c>
      <c r="G102" s="202" t="inlineStr">
        <is>
          <t>5/5</t>
        </is>
      </c>
      <c r="H102" s="223" t="inlineStr">
        <is>
          <t>100%</t>
        </is>
      </c>
      <c r="I102" s="222" t="inlineStr">
        <is>
          <t>ЗП</t>
        </is>
      </c>
      <c r="J102" s="222" t="inlineStr">
        <is>
          <t>—</t>
        </is>
      </c>
      <c r="K102" s="211" t="n"/>
      <c r="L102" s="194" t="n"/>
      <c r="M102" s="194" t="n"/>
      <c r="N102" s="142" t="n"/>
    </row>
    <row r="103" ht="26" customHeight="1">
      <c r="B103" s="224" t="inlineStr">
        <is>
          <t>Соблюдение требований (дисциплина процесса)</t>
        </is>
      </c>
      <c r="C103" s="224" t="inlineStr">
        <is>
          <t>Менеджеры</t>
        </is>
      </c>
      <c r="D103" s="224" t="inlineStr">
        <is>
          <t>5/5</t>
        </is>
      </c>
      <c r="E103" s="224" t="inlineStr">
        <is>
          <t>Август</t>
        </is>
      </c>
      <c r="F103" s="224" t="inlineStr">
        <is>
          <t>Юлиана Юнусова</t>
        </is>
      </c>
      <c r="G103" s="202" t="inlineStr">
        <is>
          <t>5/5</t>
        </is>
      </c>
      <c r="H103" s="223" t="inlineStr">
        <is>
          <t>100%</t>
        </is>
      </c>
      <c r="I103" s="224" t="inlineStr">
        <is>
          <t>ЗП</t>
        </is>
      </c>
      <c r="J103" s="224" t="inlineStr">
        <is>
          <t>—</t>
        </is>
      </c>
      <c r="K103" s="211" t="n"/>
      <c r="L103" s="194" t="n"/>
      <c r="M103" s="194" t="n"/>
      <c r="N103" s="95" t="n"/>
    </row>
    <row r="104" ht="26" customHeight="1">
      <c r="B104" s="222" t="inlineStr">
        <is>
          <t>Соблюдение требований (дисциплина процесса)</t>
        </is>
      </c>
      <c r="C104" s="222" t="inlineStr">
        <is>
          <t>Менеджеры</t>
        </is>
      </c>
      <c r="D104" s="222" t="inlineStr">
        <is>
          <t>5/5</t>
        </is>
      </c>
      <c r="E104" s="222" t="inlineStr">
        <is>
          <t>Август</t>
        </is>
      </c>
      <c r="F104" s="222" t="inlineStr">
        <is>
          <t>Оглоблина Софья</t>
        </is>
      </c>
      <c r="G104" s="202" t="inlineStr">
        <is>
          <t>5/5</t>
        </is>
      </c>
      <c r="H104" s="223" t="inlineStr">
        <is>
          <t>100%</t>
        </is>
      </c>
      <c r="I104" s="222" t="inlineStr">
        <is>
          <t>ЗП</t>
        </is>
      </c>
      <c r="J104" s="222" t="inlineStr">
        <is>
          <t>—</t>
        </is>
      </c>
      <c r="K104" s="211" t="n"/>
      <c r="L104" s="194" t="n"/>
      <c r="M104" s="194" t="n"/>
    </row>
    <row r="105" ht="26" customHeight="1">
      <c r="B105" s="224" t="inlineStr">
        <is>
          <t>Интенсивность: план звонков МПП</t>
        </is>
      </c>
      <c r="C105" s="224" t="inlineStr">
        <is>
          <t>Менеджеры</t>
        </is>
      </c>
      <c r="D105" s="224" t="inlineStr">
        <is>
          <t>350 / мес (с июля)</t>
        </is>
      </c>
      <c r="E105" s="224" t="inlineStr">
        <is>
          <t>Июль</t>
        </is>
      </c>
      <c r="F105" s="224" t="inlineStr">
        <is>
          <t>Юлиана Юнусова</t>
        </is>
      </c>
      <c r="G105" s="202" t="inlineStr">
        <is>
          <t>433</t>
        </is>
      </c>
      <c r="H105" s="223" t="inlineStr">
        <is>
          <t>123.7%</t>
        </is>
      </c>
      <c r="I105" s="224" t="inlineStr">
        <is>
          <t>ЗП</t>
        </is>
      </c>
      <c r="J105" s="224" t="inlineStr">
        <is>
          <t>—</t>
        </is>
      </c>
      <c r="K105" s="211" t="n"/>
      <c r="L105" s="194" t="n"/>
      <c r="M105" s="194" t="n"/>
    </row>
    <row r="106" ht="26" customHeight="1">
      <c r="B106" s="222" t="inlineStr">
        <is>
          <t>Интенсивность: план звонков МПП</t>
        </is>
      </c>
      <c r="C106" s="222" t="inlineStr">
        <is>
          <t>Менеджеры</t>
        </is>
      </c>
      <c r="D106" s="222" t="inlineStr">
        <is>
          <t>350 / мес</t>
        </is>
      </c>
      <c r="E106" s="222" t="inlineStr">
        <is>
          <t>Июль</t>
        </is>
      </c>
      <c r="F106" s="222" t="inlineStr">
        <is>
          <t>Оглоблина Софья</t>
        </is>
      </c>
      <c r="G106" s="202" t="inlineStr">
        <is>
          <t>383</t>
        </is>
      </c>
      <c r="H106" s="223" t="inlineStr">
        <is>
          <t>109.4%</t>
        </is>
      </c>
      <c r="I106" s="222" t="inlineStr">
        <is>
          <t>ЗП</t>
        </is>
      </c>
      <c r="J106" s="222" t="inlineStr">
        <is>
          <t>—</t>
        </is>
      </c>
      <c r="K106" s="211" t="n"/>
      <c r="L106" s="194" t="n"/>
      <c r="M106" s="194" t="n"/>
    </row>
    <row r="107" ht="26" customHeight="1">
      <c r="B107" s="224" t="inlineStr">
        <is>
          <t>Интенсивность: план звонков МПП</t>
        </is>
      </c>
      <c r="C107" s="224" t="inlineStr">
        <is>
          <t>Менеджеры</t>
        </is>
      </c>
      <c r="D107" s="224" t="inlineStr">
        <is>
          <t>350 / мес</t>
        </is>
      </c>
      <c r="E107" s="224" t="inlineStr">
        <is>
          <t>Август</t>
        </is>
      </c>
      <c r="F107" s="224" t="inlineStr">
        <is>
          <t>Юлиана Юнусова</t>
        </is>
      </c>
      <c r="G107" s="202" t="inlineStr">
        <is>
          <t>352</t>
        </is>
      </c>
      <c r="H107" s="223" t="inlineStr">
        <is>
          <t>100.6%</t>
        </is>
      </c>
      <c r="I107" s="224" t="inlineStr">
        <is>
          <t>ЗП</t>
        </is>
      </c>
      <c r="J107" s="224" t="inlineStr">
        <is>
          <t>—</t>
        </is>
      </c>
      <c r="K107" s="194" t="n"/>
      <c r="L107" s="194" t="n"/>
      <c r="M107" s="194" t="n"/>
    </row>
    <row r="108" ht="26" customHeight="1">
      <c r="B108" s="222" t="inlineStr">
        <is>
          <t>Интенсивность: план звонков МПП</t>
        </is>
      </c>
      <c r="C108" s="222" t="inlineStr">
        <is>
          <t>Менеджеры</t>
        </is>
      </c>
      <c r="D108" s="222" t="inlineStr">
        <is>
          <t>350 / мес</t>
        </is>
      </c>
      <c r="E108" s="222" t="inlineStr">
        <is>
          <t>Август</t>
        </is>
      </c>
      <c r="F108" s="222" t="inlineStr">
        <is>
          <t>Оглоблина Софья</t>
        </is>
      </c>
      <c r="G108" s="202" t="inlineStr">
        <is>
          <t>481</t>
        </is>
      </c>
      <c r="H108" s="223" t="inlineStr">
        <is>
          <t>137.4%</t>
        </is>
      </c>
      <c r="I108" s="222" t="inlineStr">
        <is>
          <t>ЗП</t>
        </is>
      </c>
      <c r="J108" s="222" t="inlineStr">
        <is>
          <t>—</t>
        </is>
      </c>
      <c r="K108" s="194" t="n"/>
      <c r="L108" s="194" t="n"/>
      <c r="M108" s="194" t="n"/>
    </row>
    <row r="109" ht="26" customHeight="1">
      <c r="B109" s="224" t="inlineStr">
        <is>
          <t>Интенсивность: успешные звонки</t>
        </is>
      </c>
      <c r="C109" s="224" t="inlineStr">
        <is>
          <t>Менеджеры</t>
        </is>
      </c>
      <c r="D109" s="224" t="inlineStr">
        <is>
          <t>210 / мес</t>
        </is>
      </c>
      <c r="E109" s="224" t="inlineStr">
        <is>
          <t>Июнь</t>
        </is>
      </c>
      <c r="F109" s="224" t="inlineStr">
        <is>
          <t>Юлиана Юнусова</t>
        </is>
      </c>
      <c r="G109" s="202" t="inlineStr">
        <is>
          <t>211</t>
        </is>
      </c>
      <c r="H109" s="223" t="inlineStr">
        <is>
          <t>100.5%</t>
        </is>
      </c>
      <c r="I109" s="224" t="inlineStr">
        <is>
          <t>ЗП</t>
        </is>
      </c>
      <c r="J109" s="224" t="inlineStr">
        <is>
          <t>Формат KPI июня</t>
        </is>
      </c>
      <c r="K109" s="194" t="n"/>
      <c r="L109" s="194" t="n"/>
      <c r="M109" s="194" t="n"/>
    </row>
    <row r="110" ht="26" customHeight="1">
      <c r="B110" s="222" t="inlineStr">
        <is>
          <t>Интенсивность: успешные звонки</t>
        </is>
      </c>
      <c r="C110" s="222" t="inlineStr">
        <is>
          <t>Менеджеры</t>
        </is>
      </c>
      <c r="D110" s="222" t="inlineStr">
        <is>
          <t>210 / мес</t>
        </is>
      </c>
      <c r="E110" s="222" t="inlineStr">
        <is>
          <t>Июнь</t>
        </is>
      </c>
      <c r="F110" s="222" t="inlineStr">
        <is>
          <t>Оглоблина Софья</t>
        </is>
      </c>
      <c r="G110" s="202" t="inlineStr">
        <is>
          <t>248</t>
        </is>
      </c>
      <c r="H110" s="223" t="inlineStr">
        <is>
          <t>118.1%</t>
        </is>
      </c>
      <c r="I110" s="222" t="inlineStr">
        <is>
          <t>ЗП</t>
        </is>
      </c>
      <c r="J110" s="222" t="inlineStr">
        <is>
          <t>—</t>
        </is>
      </c>
      <c r="K110" s="194" t="n"/>
      <c r="L110" s="194" t="n"/>
      <c r="M110" s="194" t="n"/>
    </row>
    <row r="111" ht="26" customHeight="1">
      <c r="B111" s="224" t="inlineStr">
        <is>
          <t>Средн. результативных разговоров / день</t>
        </is>
      </c>
      <c r="C111" s="224" t="inlineStr">
        <is>
          <t>Менеджеры / мл. менеджеры</t>
        </is>
      </c>
      <c r="D111" s="224" t="inlineStr">
        <is>
          <t>&gt;20 в активной проработке</t>
        </is>
      </c>
      <c r="E111" s="224" t="inlineStr">
        <is>
          <t>Июль–август</t>
        </is>
      </c>
      <c r="F111" s="224" t="inlineStr">
        <is>
          <t>Все МПП</t>
        </is>
      </c>
      <c r="G111" s="233" t="inlineStr">
        <is>
          <t>Ю 19.7; С 16.7; Д (неполн.) 13.7</t>
        </is>
      </c>
      <c r="H111" s="233" t="inlineStr">
        <is>
          <t>Частично &lt;20</t>
        </is>
      </c>
      <c r="I111" s="224" t="inlineStr">
        <is>
          <t>Аналитика дневная есть</t>
        </is>
      </c>
      <c r="J111" s="224" t="inlineStr">
        <is>
          <t>Июль: 433/22; 383/23. Авг: 352/21; 481/21; Данил 395/21. Норматив &gt;20 рез. разг./день.</t>
        </is>
      </c>
      <c r="K111" s="194" t="n"/>
      <c r="L111" s="194" t="n"/>
      <c r="M111" s="194" t="n"/>
    </row>
    <row r="112" ht="26" customHeight="1">
      <c r="B112" s="222" t="inlineStr">
        <is>
          <t>Скорость включения в проект</t>
        </is>
      </c>
      <c r="C112" s="222" t="inlineStr">
        <is>
          <t>Все роли</t>
        </is>
      </c>
      <c r="D112" s="222" t="inlineStr">
        <is>
          <t>По сроку проекта</t>
        </is>
      </c>
      <c r="E112" s="233" t="inlineStr">
        <is>
          <t>Апрель–август</t>
        </is>
      </c>
      <c r="F112" s="233" t="inlineStr">
        <is>
          <t>Команда</t>
        </is>
      </c>
      <c r="G112" s="233" t="inlineStr">
        <is>
          <t>Юнусова/Оглоблина: в контуре с апреля; Кургузов: 1–2 дня с 28.07; Коршак: старт в августе</t>
        </is>
      </c>
      <c r="H112" s="233" t="inlineStr">
        <is>
          <t>В срок</t>
        </is>
      </c>
      <c r="I112" s="222" t="inlineStr">
        <is>
          <t>—</t>
        </is>
      </c>
      <c r="J112" s="222" t="inlineStr">
        <is>
          <t>Дата постановки → первый результат</t>
        </is>
      </c>
      <c r="K112" s="194" t="n"/>
      <c r="L112" s="194" t="n"/>
      <c r="M112" s="194" t="n"/>
    </row>
    <row r="113" ht="26" customHeight="1">
      <c r="B113" s="224" t="inlineStr">
        <is>
          <t>Скорость обработки контактов</t>
        </is>
      </c>
      <c r="C113" s="224" t="inlineStr">
        <is>
          <t>Менеджеры</t>
        </is>
      </c>
      <c r="D113" s="224" t="inlineStr">
        <is>
          <t>По технологии</t>
        </is>
      </c>
      <c r="E113" s="233" t="inlineStr">
        <is>
          <t>Июль–август</t>
        </is>
      </c>
      <c r="F113" s="233" t="inlineStr">
        <is>
          <t>МПП</t>
        </is>
      </c>
      <c r="G113" s="233" t="inlineStr">
        <is>
          <t>Обработка в день постановки (по дневникам KS/Доки)</t>
        </is>
      </c>
      <c r="H113" s="233" t="inlineStr">
        <is>
          <t>По технологии</t>
        </is>
      </c>
      <c r="I113" s="224" t="inlineStr">
        <is>
          <t>—</t>
        </is>
      </c>
      <c r="J113" s="224" t="inlineStr">
        <is>
          <t>Не замерялся отдельно</t>
        </is>
      </c>
      <c r="K113" s="194" t="n"/>
      <c r="L113" s="194" t="n"/>
      <c r="M113" s="194" t="n"/>
    </row>
    <row r="114" ht="26" customHeight="1">
      <c r="B114" s="222" t="inlineStr">
        <is>
          <t>Выполнение задач в срок</t>
        </is>
      </c>
      <c r="C114" s="222" t="inlineStr">
        <is>
          <t>Менеджеры</t>
        </is>
      </c>
      <c r="D114" s="222" t="inlineStr">
        <is>
          <t>100%</t>
        </is>
      </c>
      <c r="E114" s="222" t="inlineStr">
        <is>
          <t>Апрель–май</t>
        </is>
      </c>
      <c r="F114" s="222" t="inlineStr">
        <is>
          <t>Юлиана Юнусова</t>
        </is>
      </c>
      <c r="G114" s="202" t="inlineStr">
        <is>
          <t>Задачи Скорая/ЭПД — выполнены</t>
        </is>
      </c>
      <c r="H114" s="223" t="inlineStr">
        <is>
          <t>Да</t>
        </is>
      </c>
      <c r="I114" s="222" t="inlineStr">
        <is>
          <t>ЗП апрель–май</t>
        </is>
      </c>
      <c r="J114" s="222" t="inlineStr">
        <is>
          <t>KPI: заполнены задача и таблица конверсий</t>
        </is>
      </c>
      <c r="K114" s="194" t="n"/>
      <c r="L114" s="194" t="n"/>
      <c r="M114" s="194" t="n"/>
    </row>
    <row r="115" ht="26" customHeight="1">
      <c r="B115" s="224" t="inlineStr">
        <is>
          <t>Выполнение задач в срок</t>
        </is>
      </c>
      <c r="C115" s="224" t="inlineStr">
        <is>
          <t>Тимлид</t>
        </is>
      </c>
      <c r="D115" s="224" t="inlineStr">
        <is>
          <t>По плану проекта</t>
        </is>
      </c>
      <c r="E115" s="224" t="inlineStr">
        <is>
          <t>Апрель–август</t>
        </is>
      </c>
      <c r="F115" s="224" t="inlineStr">
        <is>
          <t>Блохина Елизавета</t>
        </is>
      </c>
      <c r="G115" s="202" t="inlineStr">
        <is>
          <t>KPI по карточкам/передаче — выполнены</t>
        </is>
      </c>
      <c r="H115" s="223" t="inlineStr">
        <is>
          <t>Да</t>
        </is>
      </c>
      <c r="I115" s="224" t="inlineStr">
        <is>
          <t>ЗП все месяцы</t>
        </is>
      </c>
      <c r="J115" s="224" t="inlineStr">
        <is>
          <t>См. вспомогательные листы ЗП</t>
        </is>
      </c>
      <c r="K115" s="194" t="n"/>
      <c r="L115" s="194" t="n"/>
      <c r="M115" s="194" t="n"/>
    </row>
    <row r="116" ht="26" customHeight="1">
      <c r="B116" s="222" t="inlineStr">
        <is>
          <t>Полнота продуктового / launch-пакета</t>
        </is>
      </c>
      <c r="C116" s="222" t="inlineStr">
        <is>
          <t>Тимлид / старший</t>
        </is>
      </c>
      <c r="D116" s="222" t="inlineStr">
        <is>
          <t>100% артефактов</t>
        </is>
      </c>
      <c r="E116" s="222" t="inlineStr">
        <is>
          <t>Май–июнь</t>
        </is>
      </c>
      <c r="F116" s="222" t="inlineStr">
        <is>
          <t>Блохина Елизавета</t>
        </is>
      </c>
      <c r="G116" s="202" t="inlineStr">
        <is>
          <t>ЭПД упакован и передан; Доки — карта</t>
        </is>
      </c>
      <c r="H116" s="223" t="inlineStr">
        <is>
          <t>Да</t>
        </is>
      </c>
      <c r="I116" s="222" t="inlineStr">
        <is>
          <t>ЗП</t>
        </is>
      </c>
      <c r="J116" s="222" t="inlineStr">
        <is>
          <t>—</t>
        </is>
      </c>
      <c r="K116" s="194" t="n"/>
      <c r="L116" s="194" t="n"/>
      <c r="M116" s="194" t="n"/>
    </row>
    <row r="117" ht="26" customHeight="1">
      <c r="B117" s="224" t="inlineStr">
        <is>
          <t>Полнота продуктового / launch-пакета</t>
        </is>
      </c>
      <c r="C117" s="224" t="inlineStr">
        <is>
          <t>Тимлид</t>
        </is>
      </c>
      <c r="D117" s="224" t="inlineStr">
        <is>
          <t>100%</t>
        </is>
      </c>
      <c r="E117" s="224" t="inlineStr">
        <is>
          <t>Июль–август</t>
        </is>
      </c>
      <c r="F117" s="224" t="inlineStr">
        <is>
          <t>Блохина Елизавета</t>
        </is>
      </c>
      <c r="G117" s="202" t="inlineStr">
        <is>
          <t>КабС / Доки / Смартвей — продуктовая разработка по KPI</t>
        </is>
      </c>
      <c r="H117" s="205" t="inlineStr">
        <is>
          <t>Частично</t>
        </is>
      </c>
      <c r="I117" s="224" t="inlineStr">
        <is>
          <t>ЗП</t>
        </is>
      </c>
      <c r="J117" s="224" t="inlineStr">
        <is>
          <t>КабС ещё в проработке (43% демо)</t>
        </is>
      </c>
      <c r="K117" s="194" t="n"/>
      <c r="L117" s="194" t="n"/>
      <c r="M117" s="194" t="n"/>
    </row>
    <row r="118" ht="26" customHeight="1">
      <c r="B118" s="222" t="inlineStr">
        <is>
          <t>Срок запуска / передачи в тираж</t>
        </is>
      </c>
      <c r="C118" s="222" t="inlineStr">
        <is>
          <t>Тимлид / старший</t>
        </is>
      </c>
      <c r="D118" s="222" t="inlineStr">
        <is>
          <t>По плану проекта</t>
        </is>
      </c>
      <c r="E118" s="222" t="inlineStr">
        <is>
          <t>Май–июнь</t>
        </is>
      </c>
      <c r="F118" s="222" t="inlineStr">
        <is>
          <t>Группа</t>
        </is>
      </c>
      <c r="G118" s="202" t="inlineStr">
        <is>
          <t>1С-ЭПД передан в тираж</t>
        </is>
      </c>
      <c r="H118" s="223" t="inlineStr">
        <is>
          <t>Да</t>
        </is>
      </c>
      <c r="I118" s="222" t="inlineStr">
        <is>
          <t>ЦКП / ЗП</t>
        </is>
      </c>
      <c r="J118" s="222" t="inlineStr">
        <is>
          <t>Скорая помощь передана ранее</t>
        </is>
      </c>
      <c r="K118" s="194" t="n"/>
      <c r="L118" s="194" t="n"/>
      <c r="M118" s="194" t="n"/>
    </row>
    <row r="119" ht="26" customHeight="1">
      <c r="B119" s="224" t="inlineStr">
        <is>
          <t>Срок запуска / передачи в тираж</t>
        </is>
      </c>
      <c r="C119" s="224" t="inlineStr">
        <is>
          <t>Тимлид</t>
        </is>
      </c>
      <c r="D119" s="224" t="inlineStr">
        <is>
          <t>По плану</t>
        </is>
      </c>
      <c r="E119" s="224" t="inlineStr">
        <is>
          <t>Август</t>
        </is>
      </c>
      <c r="F119" s="224" t="inlineStr">
        <is>
          <t>Группа</t>
        </is>
      </c>
      <c r="G119" s="202" t="inlineStr">
        <is>
          <t>Доки — передача в KPI тимлида</t>
        </is>
      </c>
      <c r="H119" s="200" t="n"/>
      <c r="I119" s="224" t="inlineStr">
        <is>
          <t>ЗП август</t>
        </is>
      </c>
      <c r="J119" s="224" t="inlineStr">
        <is>
          <t>КабС и Смартвей — не переданы</t>
        </is>
      </c>
      <c r="K119" s="194" t="n"/>
      <c r="L119" s="194" t="n"/>
      <c r="M119" s="194" t="n"/>
    </row>
    <row r="120" ht="26" customHeight="1">
      <c r="B120" s="222" t="inlineStr">
        <is>
          <t>Скорость проверки гипотез (цикл)</t>
        </is>
      </c>
      <c r="C120" s="222" t="inlineStr">
        <is>
          <t>Тимлид / старший</t>
        </is>
      </c>
      <c r="D120" s="222" t="inlineStr">
        <is>
          <t>По паспорту проекта</t>
        </is>
      </c>
      <c r="E120" s="222" t="inlineStr">
        <is>
          <t>—</t>
        </is>
      </c>
      <c r="F120" s="222" t="inlineStr">
        <is>
          <t>—</t>
        </is>
      </c>
      <c r="G120" s="200" t="n"/>
      <c r="H120" s="200" t="n"/>
      <c r="I120" s="222" t="inlineStr">
        <is>
          <t>—</t>
        </is>
      </c>
      <c r="J120" s="222" t="inlineStr">
        <is>
          <t>Нет реестра циклов гипотез в файлах</t>
        </is>
      </c>
      <c r="K120" s="194" t="n"/>
      <c r="L120" s="194" t="n"/>
      <c r="M120" s="194" t="n"/>
    </row>
    <row r="121" ht="26" customHeight="1">
      <c r="B121" s="224" t="inlineStr">
        <is>
          <t>Качество фиксации обратной связи</t>
        </is>
      </c>
      <c r="C121" s="224" t="inlineStr">
        <is>
          <t>Все</t>
        </is>
      </c>
      <c r="D121" s="224" t="inlineStr">
        <is>
          <t>100% ключевых возражений</t>
        </is>
      </c>
      <c r="E121" s="224" t="inlineStr">
        <is>
          <t>—</t>
        </is>
      </c>
      <c r="F121" s="224" t="inlineStr">
        <is>
          <t>—</t>
        </is>
      </c>
      <c r="G121" s="200" t="n"/>
      <c r="H121" s="200" t="n"/>
      <c r="I121" s="224" t="inlineStr">
        <is>
          <t>CRM / отчёт</t>
        </is>
      </c>
      <c r="J121" s="224" t="inlineStr">
        <is>
          <t>Не выгружено в репозиторий</t>
        </is>
      </c>
      <c r="K121" s="194" t="n"/>
      <c r="L121" s="194" t="n"/>
      <c r="M121" s="194" t="n"/>
    </row>
    <row r="122" ht="26" customHeight="1">
      <c r="B122" s="222" t="inlineStr">
        <is>
          <t>Качество демонстраций / коммуникации</t>
        </is>
      </c>
      <c r="C122" s="222" t="inlineStr">
        <is>
          <t>Старший / менеджер</t>
        </is>
      </c>
      <c r="D122" s="222" t="inlineStr">
        <is>
          <t>По технологии</t>
        </is>
      </c>
      <c r="E122" s="222" t="inlineStr">
        <is>
          <t>Июль</t>
        </is>
      </c>
      <c r="F122" s="222" t="inlineStr">
        <is>
          <t>Юлиана Юнусова</t>
        </is>
      </c>
      <c r="G122" s="202" t="inlineStr">
        <is>
          <t>15/15 демо</t>
        </is>
      </c>
      <c r="H122" s="223" t="inlineStr">
        <is>
          <t>100%</t>
        </is>
      </c>
      <c r="I122" s="222" t="inlineStr">
        <is>
          <t>ЗП</t>
        </is>
      </c>
      <c r="J122" s="222" t="inlineStr">
        <is>
          <t>—</t>
        </is>
      </c>
      <c r="K122" s="194" t="n"/>
      <c r="L122" s="194" t="n"/>
      <c r="M122" s="194" t="n"/>
    </row>
    <row r="123" ht="26" customHeight="1">
      <c r="B123" s="224" t="inlineStr">
        <is>
          <t>Качество демонстраций / коммуникации</t>
        </is>
      </c>
      <c r="C123" s="224" t="inlineStr">
        <is>
          <t>Менеджер</t>
        </is>
      </c>
      <c r="D123" s="224" t="inlineStr">
        <is>
          <t>По технологии</t>
        </is>
      </c>
      <c r="E123" s="224" t="inlineStr">
        <is>
          <t>Июль</t>
        </is>
      </c>
      <c r="F123" s="224" t="inlineStr">
        <is>
          <t>Оглоблина Софья</t>
        </is>
      </c>
      <c r="G123" s="202" t="inlineStr">
        <is>
          <t>4/15 демо</t>
        </is>
      </c>
      <c r="H123" s="205" t="inlineStr">
        <is>
          <t>26.7%</t>
        </is>
      </c>
      <c r="I123" s="224" t="inlineStr">
        <is>
          <t>ЗП</t>
        </is>
      </c>
      <c r="J123" s="224" t="inlineStr">
        <is>
          <t>—</t>
        </is>
      </c>
      <c r="K123" s="194" t="n"/>
      <c r="L123" s="194" t="n"/>
      <c r="M123" s="194" t="n"/>
    </row>
    <row r="124" ht="26" customHeight="1">
      <c r="B124" s="222" t="inlineStr">
        <is>
          <t>Участие в создании/актуализации материалов</t>
        </is>
      </c>
      <c r="C124" s="222" t="inlineStr">
        <is>
          <t>Старшие / менеджеры</t>
        </is>
      </c>
      <c r="D124" s="222" t="inlineStr">
        <is>
          <t>По плану проекта</t>
        </is>
      </c>
      <c r="E124" s="222" t="inlineStr">
        <is>
          <t>—</t>
        </is>
      </c>
      <c r="F124" s="222" t="inlineStr">
        <is>
          <t>МПП</t>
        </is>
      </c>
      <c r="G124" s="200" t="n"/>
      <c r="H124" s="200" t="n"/>
      <c r="I124" s="222" t="inlineStr">
        <is>
          <t>—</t>
        </is>
      </c>
      <c r="J124" s="222" t="inlineStr">
        <is>
          <t>Факт участия не зафиксирован отдельным KPI МПП</t>
        </is>
      </c>
      <c r="K124" s="194" t="n"/>
      <c r="L124" s="194" t="n"/>
      <c r="M124" s="194" t="n"/>
    </row>
    <row r="125" ht="26" customHeight="1">
      <c r="B125" s="224" t="inlineStr">
        <is>
          <t>Доля проектов, переданных в тираж</t>
        </is>
      </c>
      <c r="C125" s="224" t="inlineStr">
        <is>
          <t>Группа / тимлид</t>
        </is>
      </c>
      <c r="D125" s="224" t="inlineStr">
        <is>
          <t>Целевой показатель периода</t>
        </is>
      </c>
      <c r="E125" s="224" t="inlineStr">
        <is>
          <t>Апр–авг</t>
        </is>
      </c>
      <c r="F125" s="224" t="inlineStr">
        <is>
          <t>Группа</t>
        </is>
      </c>
      <c r="G125" s="202" t="inlineStr">
        <is>
          <t>Скорая + 1С-ЭПД переданы; Доки — по KPI авг</t>
        </is>
      </c>
      <c r="H125" s="205" t="inlineStr">
        <is>
          <t>2–3 из активных</t>
        </is>
      </c>
      <c r="I125" s="224" t="inlineStr">
        <is>
          <t>ЦКП</t>
        </is>
      </c>
      <c r="J125" s="224" t="inlineStr">
        <is>
          <t>КабС/Смартвей/Блиц — в работе</t>
        </is>
      </c>
      <c r="K125" s="194" t="n"/>
      <c r="L125" s="194" t="n"/>
      <c r="M125" s="194" t="n"/>
    </row>
    <row r="126">
      <c r="B126" s="194" t="n"/>
      <c r="C126" s="194" t="n"/>
      <c r="D126" s="194" t="n"/>
      <c r="E126" s="194" t="n"/>
      <c r="F126" s="194" t="n"/>
      <c r="G126" s="194" t="n"/>
      <c r="H126" s="194" t="n"/>
      <c r="I126" s="194" t="n"/>
      <c r="J126" s="194" t="n"/>
      <c r="K126" s="194" t="n"/>
      <c r="L126" s="194" t="n"/>
      <c r="M126" s="194" t="n"/>
    </row>
    <row r="127">
      <c r="B127" s="191" t="inlineStr">
        <is>
          <t>ДЕТАЛИЗАЦИЯ ПОКАЗАТЕЛЕЙ РЕЗУЛЬТАТИВНОСТИ (из критериев оценки должностей)</t>
        </is>
      </c>
      <c r="C127" s="231" t="n"/>
      <c r="D127" s="231" t="n"/>
      <c r="E127" s="231" t="n"/>
      <c r="F127" s="231" t="n"/>
      <c r="G127" s="231" t="n"/>
      <c r="H127" s="231" t="n"/>
      <c r="I127" s="231" t="n"/>
      <c r="J127" s="231" t="n"/>
      <c r="K127" s="231" t="n"/>
      <c r="L127" s="231" t="n"/>
      <c r="M127" s="232" t="n"/>
    </row>
    <row r="128">
      <c r="B128" s="194" t="n"/>
      <c r="C128" s="194" t="n"/>
      <c r="D128" s="194" t="n"/>
      <c r="E128" s="194" t="n"/>
      <c r="F128" s="194" t="n"/>
      <c r="G128" s="194" t="n"/>
      <c r="H128" s="194" t="n"/>
      <c r="I128" s="194" t="n"/>
      <c r="J128" s="194" t="n"/>
      <c r="K128" s="194" t="n"/>
      <c r="L128" s="194" t="n"/>
      <c r="M128" s="194" t="n"/>
    </row>
    <row r="129">
      <c r="B129" s="196" t="inlineStr">
        <is>
          <t>Показатель результативности</t>
        </is>
      </c>
      <c r="C129" s="196" t="inlineStr">
        <is>
          <t>Роль</t>
        </is>
      </c>
      <c r="D129" s="196" t="inlineStr">
        <is>
          <t>Норматив</t>
        </is>
      </c>
      <c r="E129" s="196" t="inlineStr">
        <is>
          <t>Проект / период</t>
        </is>
      </c>
      <c r="F129" s="196" t="inlineStr">
        <is>
          <t>Факт</t>
        </is>
      </c>
      <c r="G129" s="196" t="inlineStr">
        <is>
          <t>Статус</t>
        </is>
      </c>
      <c r="H129" s="196" t="inlineStr">
        <is>
          <t>Где детализировано ниже/выше</t>
        </is>
      </c>
      <c r="I129" s="196" t="inlineStr">
        <is>
          <t>Комментарий</t>
        </is>
      </c>
      <c r="J129" s="194" t="n"/>
      <c r="K129" s="194" t="n"/>
      <c r="L129" s="194" t="n"/>
      <c r="M129" s="194" t="n"/>
    </row>
    <row r="130" ht="28" customHeight="1">
      <c r="B130" s="222" t="inlineStr">
        <is>
          <t>Успешно завершённые запуски / передача в тираж</t>
        </is>
      </c>
      <c r="C130" s="222" t="inlineStr">
        <is>
          <t>Тимлид</t>
        </is>
      </c>
      <c r="D130" s="222" t="inlineStr">
        <is>
          <t>Цель проекта достигнута + готовность к тиражу</t>
        </is>
      </c>
      <c r="E130" s="222" t="inlineStr">
        <is>
          <t>Скорая помощь</t>
        </is>
      </c>
      <c r="F130" s="222" t="inlineStr">
        <is>
          <t>8/5 продаж, передан</t>
        </is>
      </c>
      <c r="G130" s="222" t="inlineStr">
        <is>
          <t>Выполнено</t>
        </is>
      </c>
      <c r="H130" s="222" t="inlineStr">
        <is>
          <t>Таблица проектов</t>
        </is>
      </c>
      <c r="I130" s="222" t="inlineStr">
        <is>
          <t>—</t>
        </is>
      </c>
    </row>
    <row r="131" ht="28" customHeight="1">
      <c r="B131" s="224" t="inlineStr">
        <is>
          <t>Успешно завершённые запуски / передача в тираж</t>
        </is>
      </c>
      <c r="C131" s="224" t="inlineStr">
        <is>
          <t>Тимлид</t>
        </is>
      </c>
      <c r="D131" s="224" t="inlineStr">
        <is>
          <t>То же</t>
        </is>
      </c>
      <c r="E131" s="224" t="inlineStr">
        <is>
          <t>1С-ЭПД</t>
        </is>
      </c>
      <c r="F131" s="224" t="inlineStr">
        <is>
          <t>22/22 (май): Юнусова 16, Оглоблина 6; далее 37/22</t>
        </is>
      </c>
      <c r="G131" s="224" t="inlineStr">
        <is>
          <t>Выполнено</t>
        </is>
      </c>
      <c r="H131" s="224" t="inlineStr">
        <is>
          <t>Таблица проектов</t>
        </is>
      </c>
      <c r="I131" s="224" t="inlineStr">
        <is>
          <t>Передан «Новые деньги». Оплаты по МПП: 16 и 6.</t>
        </is>
      </c>
    </row>
    <row r="132" ht="28" customHeight="1">
      <c r="B132" s="222" t="inlineStr">
        <is>
          <t>Достижение целей проекта (продажи/демо/предложения)</t>
        </is>
      </c>
      <c r="C132" s="222" t="inlineStr">
        <is>
          <t>Все МПП</t>
        </is>
      </c>
      <c r="D132" s="222" t="inlineStr">
        <is>
          <t>100% плана проекта или выше</t>
        </is>
      </c>
      <c r="E132" s="222" t="inlineStr">
        <is>
          <t>КабС авг</t>
        </is>
      </c>
      <c r="F132" s="222" t="inlineStr">
        <is>
          <t>13/30 демо (43%)</t>
        </is>
      </c>
      <c r="G132" s="222" t="inlineStr">
        <is>
          <t>Не достигнуто</t>
        </is>
      </c>
      <c r="H132" s="222" t="inlineStr">
        <is>
          <t>Проектные KPI</t>
        </is>
      </c>
      <c r="I132" s="222" t="inlineStr">
        <is>
          <t>—</t>
        </is>
      </c>
    </row>
    <row r="133" ht="28" customHeight="1">
      <c r="B133" s="224" t="inlineStr">
        <is>
          <t>Достижение целей проекта</t>
        </is>
      </c>
      <c r="C133" s="224" t="inlineStr">
        <is>
          <t>Все МПП</t>
        </is>
      </c>
      <c r="D133" s="224" t="inlineStr">
        <is>
          <t>100%+</t>
        </is>
      </c>
      <c r="E133" s="224" t="inlineStr">
        <is>
          <t>Смартвей авг</t>
        </is>
      </c>
      <c r="F133" s="224" t="inlineStr">
        <is>
          <t>32/30 предложений (107%)</t>
        </is>
      </c>
      <c r="G133" s="224" t="inlineStr">
        <is>
          <t>Выполнено</t>
        </is>
      </c>
      <c r="H133" s="224" t="inlineStr">
        <is>
          <t>Проектные KPI</t>
        </is>
      </c>
      <c r="I133" s="224" t="inlineStr">
        <is>
          <t>—</t>
        </is>
      </c>
    </row>
    <row r="134" ht="28" customHeight="1">
      <c r="B134" s="222" t="inlineStr">
        <is>
          <t>Достижение целей проекта</t>
        </is>
      </c>
      <c r="C134" s="222" t="inlineStr">
        <is>
          <t>МПП</t>
        </is>
      </c>
      <c r="D134" s="222" t="inlineStr">
        <is>
          <t>План подключений</t>
        </is>
      </c>
      <c r="E134" s="222" t="inlineStr">
        <is>
          <t>Доки июль</t>
        </is>
      </c>
      <c r="F134" s="222" t="inlineStr">
        <is>
          <t>5/8+ (частично по менеджерам)</t>
        </is>
      </c>
      <c r="G134" s="222" t="inlineStr">
        <is>
          <t>Частично</t>
        </is>
      </c>
      <c r="H134" s="222" t="inlineStr">
        <is>
          <t>Проектные KPI</t>
        </is>
      </c>
      <c r="I134" s="222" t="inlineStr">
        <is>
          <t>Юнусова 4/8; Софья 1/8</t>
        </is>
      </c>
    </row>
    <row r="135" ht="28" customHeight="1">
      <c r="B135" s="224" t="inlineStr">
        <is>
          <t>Достижение целей проекта</t>
        </is>
      </c>
      <c r="C135" s="224" t="inlineStr">
        <is>
          <t>МПП</t>
        </is>
      </c>
      <c r="D135" s="224" t="inlineStr">
        <is>
          <t>План подключений</t>
        </is>
      </c>
      <c r="E135" s="224" t="inlineStr">
        <is>
          <t>Доки август</t>
        </is>
      </c>
      <c r="F135" s="224" t="inlineStr">
        <is>
          <t>10/10 по сумме Ю+С; Данил — н/д</t>
        </is>
      </c>
      <c r="G135" s="224" t="inlineStr">
        <is>
          <t>Частично</t>
        </is>
      </c>
      <c r="H135" s="224" t="inlineStr">
        <is>
          <t>Проектные KPI / ЗП</t>
        </is>
      </c>
      <c r="I135" s="224" t="inlineStr">
        <is>
          <t>Ю 9 + С 1 = 10 при плане 10 на чел. — уточнить логику плана</t>
        </is>
      </c>
    </row>
    <row r="136" ht="28" customHeight="1">
      <c r="B136" s="222" t="inlineStr">
        <is>
          <t>Подтверждение/опровержение гипотез клиентской работой</t>
        </is>
      </c>
      <c r="C136" s="222" t="inlineStr">
        <is>
          <t>Старший / менеджер</t>
        </is>
      </c>
      <c r="D136" s="222" t="inlineStr">
        <is>
          <t>По паспорту</t>
        </is>
      </c>
      <c r="E136" s="222" t="inlineStr">
        <is>
          <t>Все активные</t>
        </is>
      </c>
      <c r="F136" s="226" t="n"/>
      <c r="G136" s="233" t="inlineStr">
        <is>
          <t>Гипотезы проверялись клиентской работой (Доки, КабС, Смартвей); сводного реестра нет</t>
        </is>
      </c>
      <c r="H136" s="233" t="inlineStr">
        <is>
          <t>Факт работы есть</t>
        </is>
      </c>
      <c r="I136" s="222" t="inlineStr">
        <is>
          <t>Нет сводного реестра гипотез в файлах</t>
        </is>
      </c>
    </row>
    <row r="137" ht="28" customHeight="1">
      <c r="B137" s="224" t="inlineStr">
        <is>
          <t>Вклад в подготовку и запуск</t>
        </is>
      </c>
      <c r="C137" s="224" t="inlineStr">
        <is>
          <t>Старший / менеджер</t>
        </is>
      </c>
      <c r="D137" s="224" t="inlineStr">
        <is>
          <t>Задачи в срок</t>
        </is>
      </c>
      <c r="E137" s="224" t="inlineStr">
        <is>
          <t>Апр–май Юнусова</t>
        </is>
      </c>
      <c r="F137" s="224" t="inlineStr">
        <is>
          <t>KPI задач выполнены</t>
        </is>
      </c>
      <c r="G137" s="224" t="inlineStr">
        <is>
          <t>Выполнено</t>
        </is>
      </c>
      <c r="H137" s="224" t="inlineStr">
        <is>
          <t>ЗП вспом.</t>
        </is>
      </c>
      <c r="I137" s="224" t="inlineStr">
        <is>
          <t>—</t>
        </is>
      </c>
    </row>
    <row r="138" ht="28" customHeight="1">
      <c r="B138" s="222" t="inlineStr">
        <is>
          <t>Качественно обработанные контакты / лиды</t>
        </is>
      </c>
      <c r="C138" s="222" t="inlineStr">
        <is>
          <t>Мл. менеджер / менеджер</t>
        </is>
      </c>
      <c r="D138" s="222" t="inlineStr">
        <is>
          <t>По плану проекта</t>
        </is>
      </c>
      <c r="E138" s="222" t="inlineStr">
        <is>
          <t>EPD май Софья</t>
        </is>
      </c>
      <c r="F138" s="222" t="inlineStr">
        <is>
          <t>422 обработанных лида</t>
        </is>
      </c>
      <c r="G138" s="222" t="inlineStr">
        <is>
          <t>Факт есть</t>
        </is>
      </c>
      <c r="H138" s="222" t="inlineStr">
        <is>
          <t>proekt_EPD</t>
        </is>
      </c>
      <c r="I138" s="222" t="inlineStr">
        <is>
          <t>Критерий «мл. менеджер»</t>
        </is>
      </c>
    </row>
    <row r="139" ht="28" customHeight="1">
      <c r="B139" s="224" t="inlineStr">
        <is>
          <t>Квалифицированные лиды в продажу</t>
        </is>
      </c>
      <c r="C139" s="224" t="inlineStr">
        <is>
          <t>Мл. менеджер</t>
        </is>
      </c>
      <c r="D139" s="224" t="inlineStr">
        <is>
          <t>По критерию проекта</t>
        </is>
      </c>
      <c r="E139" s="224" t="inlineStr">
        <is>
          <t>EPD</t>
        </is>
      </c>
      <c r="F139" s="226" t="n"/>
      <c r="G139" s="233" t="inlineStr">
        <is>
          <t>Передача лидов ЭПД в тираж «Новые деньги» (май)</t>
        </is>
      </c>
      <c r="H139" s="233" t="inlineStr">
        <is>
          <t>Качественно</t>
        </is>
      </c>
      <c r="I139" s="224" t="inlineStr">
        <is>
          <t>Отдельный учёт передачи лидов не выгружен</t>
        </is>
      </c>
    </row>
    <row r="141">
      <c r="B141" s="191" t="inlineStr">
        <is>
          <t>ЛЕГЕНДА И ПРИМЕЧАНИЯ</t>
        </is>
      </c>
      <c r="C141" s="231" t="n"/>
      <c r="D141" s="231" t="n"/>
      <c r="E141" s="231" t="n"/>
      <c r="F141" s="231" t="n"/>
      <c r="G141" s="231" t="n"/>
      <c r="H141" s="231" t="n"/>
      <c r="I141" s="231" t="n"/>
      <c r="J141" s="231" t="n"/>
      <c r="K141" s="231" t="n"/>
      <c r="L141" s="231" t="n"/>
      <c r="M141" s="232" t="n"/>
    </row>
    <row r="142">
      <c r="B142" s="226" t="inlineStr"/>
      <c r="C142" s="187" t="inlineStr">
        <is>
          <t>Нет данных в репозитории — заполнить вручную</t>
        </is>
      </c>
    </row>
    <row r="143">
      <c r="B143" s="227" t="inlineStr"/>
      <c r="C143" s="187" t="inlineStr">
        <is>
          <t>Факт внесён из ЗП / аналитики / сводки ЦКП</t>
        </is>
      </c>
    </row>
    <row r="144">
      <c r="B144" s="228" t="inlineStr"/>
      <c r="C144" s="187" t="inlineStr">
        <is>
          <t>Показатель выполнен / на нормативе</t>
        </is>
      </c>
    </row>
    <row r="146" ht="48" customHeight="1">
      <c r="B146" s="192" t="inlineStr">
        <is>
          <t>Область ответственности тимлида (Блохина Елизавета): продуктовая стратегия, ЦА, оффер, скрипты, launch-пакет, сроки запуска, передача в тираж, развитие команды. Детальные KPI тимлида — во вспомогательных листах файла ЗП (апрель–август). МПП: клиентская проработка, конверсии, соблюдение скрипта, вклад в проверку гипотез.</t>
        </is>
      </c>
      <c r="C146" s="231" t="n"/>
      <c r="D146" s="231" t="n"/>
      <c r="E146" s="231" t="n"/>
      <c r="F146" s="231" t="n"/>
      <c r="G146" s="231" t="n"/>
      <c r="H146" s="231" t="n"/>
      <c r="I146" s="231" t="n"/>
      <c r="J146" s="231" t="n"/>
      <c r="K146" s="231" t="n"/>
      <c r="L146" s="231" t="n"/>
      <c r="M146" s="232" t="n"/>
    </row>
    <row r="147" ht="48" customHeight="1">
      <c r="B147" s="238" t="inlineStr">
        <is>
          <t>Чего не хватает для более точного сбора: 1) разнесение августовских звонков по проектам (КабС/Доки/Смартвей) в одном дневнике; 2) сделки Кургузова в KS за август (поле «В сделку» пустое); 3) реестр гипотез (подтверждена/опровергнута) и даты «постановка → первый результат»; 4) единый справочник рабочих дней для нормы &gt;20 рез. разговоров/день; 5) прослушка скрипта Кургузова. Восстановленные звонки/сделки помечены в комментариях строк. Оплаты 1С-ЭПД по менеджерам внесены: Юнусова 16, Оглоблина 6.</t>
        </is>
      </c>
    </row>
    <row r="148"/>
  </sheetData>
  <mergeCells count="18">
    <mergeCell ref="B70:M70"/>
    <mergeCell ref="B14:H14"/>
    <mergeCell ref="B54:M54"/>
    <mergeCell ref="B17:H17"/>
    <mergeCell ref="B18:H18"/>
    <mergeCell ref="B141:M141"/>
    <mergeCell ref="D20:G20"/>
    <mergeCell ref="B146:M146"/>
    <mergeCell ref="B71:M71"/>
    <mergeCell ref="B6:H6"/>
    <mergeCell ref="B40:J40"/>
    <mergeCell ref="B93:M93"/>
    <mergeCell ref="B127:M127"/>
    <mergeCell ref="B29:H29"/>
    <mergeCell ref="B147:M148"/>
    <mergeCell ref="B92:M92"/>
    <mergeCell ref="B53:M53"/>
    <mergeCell ref="B39:J39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3.2"/>
  <cols>
    <col width="20" customWidth="1" min="1" max="1"/>
    <col width="25" customWidth="1" min="2" max="2"/>
    <col width="16" customWidth="1" min="3" max="3"/>
    <col width="12" customWidth="1" min="4" max="5"/>
    <col width="28" customWidth="1" min="6" max="6"/>
    <col width="32" customWidth="1" min="7" max="7"/>
    <col width="36" customWidth="1" min="8" max="8"/>
    <col width="34" customWidth="1" min="9" max="9"/>
  </cols>
  <sheetData>
    <row r="1" ht="26.4" customHeight="1">
      <c r="A1" s="12" t="inlineStr">
        <is>
          <t>Проект</t>
        </is>
      </c>
      <c r="B1" s="12" t="inlineStr">
        <is>
          <t>Период / статус</t>
        </is>
      </c>
      <c r="C1" s="12" t="inlineStr">
        <is>
          <t>План</t>
        </is>
      </c>
      <c r="D1" s="12" t="inlineStr">
        <is>
          <t>Факт</t>
        </is>
      </c>
      <c r="E1" s="12" t="inlineStr">
        <is>
          <t>Выполнение</t>
        </is>
      </c>
      <c r="F1" s="12" t="inlineStr">
        <is>
          <t>Ответственный / участники</t>
        </is>
      </c>
      <c r="G1" s="12" t="inlineStr">
        <is>
          <t>Результат / решение</t>
        </is>
      </c>
      <c r="H1" s="12" t="inlineStr">
        <is>
          <t>Ключевые показатели эффективности</t>
        </is>
      </c>
      <c r="I1" s="12" t="inlineStr">
        <is>
          <t>Комментарий</t>
        </is>
      </c>
    </row>
    <row r="2" ht="26.4" customHeight="1">
      <c r="A2" s="229" t="inlineStr">
        <is>
          <t>Скорая помощь</t>
        </is>
      </c>
      <c r="B2" s="229" t="inlineStr">
        <is>
          <t>запущен; передан в группу «Новые клиенты»</t>
        </is>
      </c>
      <c r="C2" s="229" t="n">
        <v>5</v>
      </c>
      <c r="D2" s="229" t="n">
        <v>8</v>
      </c>
      <c r="E2" s="229" t="inlineStr">
        <is>
          <t>160%</t>
        </is>
      </c>
      <c r="F2" s="229" t="inlineStr">
        <is>
          <t>Группа продуктового запуска</t>
        </is>
      </c>
      <c r="G2" s="229" t="inlineStr">
        <is>
          <t>Проект передан в постоянную группу</t>
        </is>
      </c>
      <c r="H2" s="229" t="inlineStr">
        <is>
          <t>Продажный результат подтверждён</t>
        </is>
      </c>
      <c r="I2" s="229" t="inlineStr">
        <is>
          <t>План 5 продаж, факт 8</t>
        </is>
      </c>
    </row>
    <row r="3" ht="39.6" customHeight="1">
      <c r="A3" s="229" t="inlineStr">
        <is>
          <t>1С-ЭПД</t>
        </is>
      </c>
      <c r="B3" s="229" t="inlineStr">
        <is>
          <t>май; передан в тираж группе «Новые деньги»</t>
        </is>
      </c>
      <c r="C3" s="229" t="n">
        <v>22</v>
      </c>
      <c r="D3" s="229" t="n">
        <v>22</v>
      </c>
      <c r="E3" s="229" t="inlineStr">
        <is>
          <t>100%</t>
        </is>
      </c>
      <c r="F3" s="229" t="inlineStr">
        <is>
          <t>Группа продуктового запуска</t>
        </is>
      </c>
      <c r="G3" s="229" t="inlineStr">
        <is>
          <t>Проект передан в тираж</t>
        </is>
      </c>
      <c r="H3" s="229" t="inlineStr">
        <is>
          <t>Полная проработка продукта и стратегии</t>
        </is>
      </c>
      <c r="I3" s="229" t="inlineStr">
        <is>
          <t>Планы июля–августа: 22/37</t>
        </is>
      </c>
    </row>
    <row r="4" ht="26.4" customHeight="1">
      <c r="A4" s="229" t="inlineStr">
        <is>
          <t>1С-ЭПД</t>
        </is>
      </c>
      <c r="B4" s="229" t="inlineStr">
        <is>
          <t>июль–август (после передачи)</t>
        </is>
      </c>
      <c r="C4" s="229" t="n">
        <v>22</v>
      </c>
      <c r="D4" s="229" t="n">
        <v>37</v>
      </c>
      <c r="E4" s="229" t="inlineStr">
        <is>
          <t>168%</t>
        </is>
      </c>
      <c r="F4" s="229" t="inlineStr">
        <is>
          <t>Группа «Новые деньги»</t>
        </is>
      </c>
      <c r="G4" s="229" t="inlineStr">
        <is>
          <t>Целевой план перевыполнен</t>
        </is>
      </c>
      <c r="H4" s="229" t="inlineStr">
        <is>
          <t>Масштабирование в тираже</t>
        </is>
      </c>
      <c r="I4" s="229" t="inlineStr">
        <is>
          <t>У Юнусовой текущий план 25</t>
        </is>
      </c>
    </row>
    <row r="5" ht="26.4" customHeight="1">
      <c r="A5" s="229" t="inlineStr">
        <is>
          <t>Доки</t>
        </is>
      </c>
      <c r="B5" s="229" t="inlineStr">
        <is>
          <t>июль–август; продуктовая проработка / передача</t>
        </is>
      </c>
      <c r="C5" s="229" t="inlineStr">
        <is>
          <t>8 (июль) / 10 (авг на менеджера)</t>
        </is>
      </c>
      <c r="D5" s="229" t="inlineStr">
        <is>
          <t>5 (июль) / 10 (авг Ю+С)</t>
        </is>
      </c>
      <c r="E5" s="229" t="inlineStr">
        <is>
          <t>см. помесячно</t>
        </is>
      </c>
      <c r="F5" s="229" t="inlineStr">
        <is>
          <t>Юнусова; Оглоблина; Кургузов (н/д)</t>
        </is>
      </c>
      <c r="G5" s="229" t="inlineStr">
        <is>
          <t>Подключения как KPI гипотезы</t>
        </is>
      </c>
      <c r="H5" s="229" t="inlineStr">
        <is>
          <t>Конверсия звонок→сделка→подключение</t>
        </is>
      </c>
      <c r="I5" s="229" t="inlineStr">
        <is>
          <t>Факты из ЗП KPI и DOKI_analitika</t>
        </is>
      </c>
    </row>
    <row r="6" ht="39.6" customHeight="1">
      <c r="A6" s="229" t="inlineStr">
        <is>
          <t>Кабинет сотрудника</t>
        </is>
      </c>
      <c r="B6" s="229" t="inlineStr">
        <is>
          <t>август; активная проработка</t>
        </is>
      </c>
      <c r="C6" s="229" t="n">
        <v>30</v>
      </c>
      <c r="D6" s="229" t="n">
        <v>13</v>
      </c>
      <c r="E6" s="229" t="inlineStr">
        <is>
          <t>43%</t>
        </is>
      </c>
      <c r="F6" s="229" t="inlineStr">
        <is>
          <t>Юнусова; Оглоблина; Кургузов</t>
        </is>
      </c>
      <c r="G6" s="229" t="inlineStr">
        <is>
          <t>Цель месяца не достигнута</t>
        </is>
      </c>
      <c r="H6" s="229" t="inlineStr">
        <is>
          <t>Юнусова 8–9/10, Софья 2/10, Данил 2/10</t>
        </is>
      </c>
      <c r="I6" s="229" t="inlineStr">
        <is>
          <t>Итого 13 демо из 30</t>
        </is>
      </c>
    </row>
    <row r="7" ht="26.4" customHeight="1">
      <c r="A7" s="229" t="inlineStr">
        <is>
          <t>Смартвей</t>
        </is>
      </c>
      <c r="B7" s="229" t="inlineStr">
        <is>
          <t>август; активная проработка</t>
        </is>
      </c>
      <c r="C7" s="229" t="n">
        <v>30</v>
      </c>
      <c r="D7" s="229" t="n">
        <v>32</v>
      </c>
      <c r="E7" s="229" t="inlineStr">
        <is>
          <t>107%</t>
        </is>
      </c>
      <c r="F7" s="229" t="inlineStr">
        <is>
          <t>Юнусова; Оглоблина; Кургузов</t>
        </is>
      </c>
      <c r="G7" s="229" t="inlineStr">
        <is>
          <t>Общий факт выше плана</t>
        </is>
      </c>
      <c r="H7" s="229" t="inlineStr">
        <is>
          <t>Юнусова 11, Софья 9, Данил 12</t>
        </is>
      </c>
      <c r="I7" s="229" t="inlineStr">
        <is>
          <t>+2 к суммарному плану</t>
        </is>
      </c>
    </row>
    <row r="8">
      <c r="A8" s="229" t="inlineStr">
        <is>
          <t>Блиц-запись / новый проект</t>
        </is>
      </c>
      <c r="B8" s="229" t="inlineStr">
        <is>
          <t>в проработке; плана нет</t>
        </is>
      </c>
      <c r="C8" s="226" t="inlineStr">
        <is>
          <t>—</t>
        </is>
      </c>
      <c r="D8" s="226" t="inlineStr">
        <is>
          <t>—</t>
        </is>
      </c>
      <c r="E8" s="226" t="inlineStr">
        <is>
          <t>—</t>
        </is>
      </c>
      <c r="F8" s="229" t="inlineStr">
        <is>
          <t>Коршак Михаил (стажёр)</t>
        </is>
      </c>
      <c r="G8" s="229" t="inlineStr">
        <is>
          <t>Стадия проработки</t>
        </is>
      </c>
      <c r="H8" s="229" t="inlineStr">
        <is>
          <t>Скорость включения; скрипт; проработка</t>
        </is>
      </c>
      <c r="I8" s="229" t="inlineStr">
        <is>
          <t>План будет после проработки</t>
        </is>
      </c>
    </row>
    <row r="9">
      <c r="A9" s="177" t="inlineStr">
        <is>
          <t>Методология ЦКП.РиЭ для группы продуктового запуска</t>
        </is>
      </c>
    </row>
    <row r="10">
      <c r="A10" s="11" t="inlineStr">
        <is>
          <t>Блок</t>
        </is>
      </c>
      <c r="B10" s="11" t="inlineStr">
        <is>
          <t>Определение</t>
        </is>
      </c>
      <c r="C10" s="11" t="inlineStr">
        <is>
          <t>Логика оценки</t>
        </is>
      </c>
      <c r="D10" s="6" t="n"/>
      <c r="E10" s="6" t="n"/>
      <c r="F10" s="6" t="n"/>
      <c r="G10" s="6" t="n"/>
      <c r="H10" s="6" t="n"/>
      <c r="I10" s="6" t="n"/>
    </row>
    <row r="11" ht="158.4" customHeight="1">
      <c r="A11" s="6" t="inlineStr">
        <is>
          <t>Результативность</t>
        </is>
      </c>
      <c r="B11" s="6" t="inlineStr">
        <is>
          <t>Конечный результат проекта</t>
        </is>
      </c>
      <c r="C11" s="6" t="inlineStr">
        <is>
          <t>Проект выведен в продажи/передан в тираж; достигнут целевой результат проекта; гипотеза подтверждена клиентскими действиями</t>
        </is>
      </c>
      <c r="D11" s="6" t="n"/>
      <c r="E11" s="6" t="n"/>
      <c r="F11" s="6" t="n"/>
      <c r="G11" s="6" t="n"/>
      <c r="H11" s="6" t="n"/>
      <c r="I11" s="6" t="n"/>
    </row>
    <row r="12" ht="132" customHeight="1">
      <c r="A12" s="6" t="inlineStr">
        <is>
          <t>Эффективность</t>
        </is>
      </c>
      <c r="B12" s="6" t="inlineStr">
        <is>
          <t>Скорость и качество процесса достижения результата</t>
        </is>
      </c>
      <c r="C12" s="6" t="inlineStr">
        <is>
          <t>Скорость включения, соблюдение сроков, объём клиентской проработки, соблюдение скрипта, скорость проверки гипотез</t>
        </is>
      </c>
      <c r="D12" s="6" t="n"/>
      <c r="E12" s="6" t="n"/>
      <c r="F12" s="6" t="n"/>
      <c r="G12" s="6" t="n"/>
      <c r="H12" s="6" t="n"/>
      <c r="I12" s="6" t="n"/>
    </row>
    <row r="13" ht="132" customHeight="1">
      <c r="A13" s="6" t="inlineStr">
        <is>
          <t>Качество</t>
        </is>
      </c>
      <c r="B13" s="6" t="inlineStr">
        <is>
          <t>Качество созданного launch-результата</t>
        </is>
      </c>
      <c r="C13" s="6" t="inlineStr">
        <is>
          <t>Полнота стратегии, ЦА, оффера, скрипта, КП/листовок, рекламных активностей, фиксации обратной связи и передачи знаний</t>
        </is>
      </c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</sheetData>
  <mergeCells count="1">
    <mergeCell ref="A9:I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ColWidth="12.5546875" defaultRowHeight="13.2"/>
  <cols>
    <col width="42.33203125" customWidth="1" min="1" max="1"/>
  </cols>
  <sheetData>
    <row r="1">
      <c r="A1" s="1" t="inlineStr">
        <is>
          <t>Администрация</t>
        </is>
      </c>
    </row>
    <row r="2">
      <c r="A2" s="1" t="inlineStr">
        <is>
          <t>ОП 1С и ИТС</t>
        </is>
      </c>
    </row>
    <row r="3">
      <c r="A3" s="1" t="inlineStr">
        <is>
          <t>ОП 1С и ИТС. Коммерция. Гр. Новые деньги</t>
        </is>
      </c>
    </row>
    <row r="4">
      <c r="A4" s="1" t="inlineStr">
        <is>
          <t>ОП 1С и ИТС. Коммерция. Гр. Новые клиенты</t>
        </is>
      </c>
    </row>
    <row r="5">
      <c r="A5" s="1" t="inlineStr">
        <is>
          <t>ОП 1С и ИТС. Коммерция. Гр. Новые продукты</t>
        </is>
      </c>
    </row>
    <row r="6">
      <c r="A6" s="1" t="inlineStr">
        <is>
          <t>ОП 1С и ИТС. КОРП (СбОф)</t>
        </is>
      </c>
    </row>
    <row r="7">
      <c r="A7" s="1" t="inlineStr">
        <is>
          <t>ОП 1С и ИТС. Госсектор</t>
        </is>
      </c>
    </row>
    <row r="8">
      <c r="A8" s="1" t="inlineStr">
        <is>
          <t>ОП СЭД</t>
        </is>
      </c>
    </row>
    <row r="9">
      <c r="A9" s="1" t="inlineStr">
        <is>
          <t>ОП СЭД. Масс сегмент</t>
        </is>
      </c>
    </row>
    <row r="10">
      <c r="A10" s="1" t="inlineStr">
        <is>
          <t>ОП СЭД. КОРП сегмент</t>
        </is>
      </c>
    </row>
    <row r="11">
      <c r="A11" s="1" t="inlineStr">
        <is>
          <t>ОП ИБ</t>
        </is>
      </c>
    </row>
    <row r="12">
      <c r="A12" s="1" t="inlineStr">
        <is>
          <t>ОП ИБ. ЦК ИБ</t>
        </is>
      </c>
    </row>
    <row r="13">
      <c r="A13" s="1" t="inlineStr">
        <is>
          <t>ОП Битрикс</t>
        </is>
      </c>
    </row>
    <row r="14">
      <c r="A14" s="1" t="inlineStr">
        <is>
          <t>Диспетчеризация</t>
        </is>
      </c>
    </row>
    <row r="15">
      <c r="A15" s="1" t="inlineStr">
        <is>
          <t>Логистика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Блохина Елизавета</dc:creator>
  <dcterms:created xmlns:dcterms="http://purl.org/dc/terms/" xmlns:xsi="http://www.w3.org/2001/XMLSchema-instance" xsi:type="dcterms:W3CDTF">2026-09-07T02:23:25Z</dcterms:created>
  <dcterms:modified xmlns:dcterms="http://purl.org/dc/terms/" xmlns:xsi="http://www.w3.org/2001/XMLSchema-instance" xsi:type="dcterms:W3CDTF">2026-09-07T13:43:22Z</dcterms:modified>
  <cp:lastModifiedBy>Блохина Елизавета</cp:lastModifiedBy>
</cp:coreProperties>
</file>