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14000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Проекты" sheetId="2" state="visible" r:id="rId2"/>
    <sheet xmlns:r="http://schemas.openxmlformats.org/officeDocument/2006/relationships" name="Справочник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42">
    <font>
      <name val="Arial"/>
      <color rgb="FF000000"/>
      <sz val="10"/>
    </font>
    <font>
      <name val="Arial"/>
      <i val="1"/>
      <color rgb="FFFF0000"/>
      <sz val="10"/>
    </font>
    <font>
      <name val="Arial"/>
      <color theme="1"/>
      <sz val="10"/>
    </font>
    <font>
      <name val="Arial"/>
      <b val="1"/>
      <color theme="1"/>
      <sz val="20"/>
    </font>
    <font>
      <name val="Arial"/>
      <color rgb="FF0000FF"/>
      <sz val="10"/>
    </font>
    <font>
      <name val="Inter"/>
      <b val="1"/>
      <color theme="1"/>
      <sz val="10"/>
    </font>
    <font>
      <name val="Arial"/>
      <b val="1"/>
      <color theme="1"/>
      <sz val="10"/>
    </font>
    <font>
      <name val="Inter"/>
      <b val="1"/>
      <color rgb="FFFFFFFF"/>
      <sz val="10"/>
    </font>
    <font>
      <name val="Arial"/>
      <sz val="10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b val="1"/>
      <color rgb="FF1F1F1F"/>
      <sz val="14"/>
    </font>
    <font>
      <name val="Arial"/>
      <b val="1"/>
      <color rgb="FF666666"/>
      <sz val="11"/>
    </font>
    <font>
      <name val="Inter"/>
      <b val="1"/>
      <color rgb="FF1F1F1F"/>
      <sz val="14"/>
    </font>
    <font>
      <name val="Arial"/>
      <color theme="1"/>
      <sz val="10"/>
    </font>
    <font>
      <name val="Arial"/>
      <sz val="10"/>
    </font>
    <font>
      <name val="Inter"/>
      <b val="1"/>
      <color theme="2"/>
      <sz val="10"/>
    </font>
    <font>
      <name val="Arial"/>
      <b val="1"/>
      <color rgb="FFFFFFFF"/>
      <sz val="12"/>
    </font>
    <font>
      <name val="Arial"/>
      <b val="1"/>
      <i val="1"/>
      <color theme="1"/>
      <sz val="10"/>
    </font>
    <font>
      <name val="Arial"/>
      <b val="1"/>
      <color rgb="FFFFFFFF"/>
      <sz val="11"/>
    </font>
    <font>
      <name val="Arial"/>
      <charset val="204"/>
      <family val="2"/>
      <b val="1"/>
      <color rgb="FFFFFFFF"/>
      <sz val="12"/>
    </font>
    <font>
      <name val="Inter"/>
      <charset val="204"/>
      <sz val="10"/>
    </font>
    <font>
      <name val="Inter"/>
      <b val="1"/>
      <i val="1"/>
      <sz val="9"/>
    </font>
    <font>
      <name val="Arial"/>
      <charset val="204"/>
      <family val="2"/>
      <b val="1"/>
      <sz val="10"/>
    </font>
    <font>
      <name val="Arial"/>
      <charset val="204"/>
      <family val="2"/>
      <b val="1"/>
      <color theme="0"/>
      <sz val="12"/>
    </font>
    <font>
      <name val="Arial"/>
      <charset val="204"/>
      <family val="2"/>
      <color theme="0"/>
      <sz val="10"/>
    </font>
    <font>
      <name val="Arial"/>
      <charset val="204"/>
      <family val="2"/>
      <i val="1"/>
      <color theme="0"/>
      <sz val="10"/>
    </font>
    <font>
      <name val="Arial"/>
      <charset val="204"/>
      <family val="2"/>
      <b val="1"/>
      <color theme="0"/>
      <sz val="10"/>
    </font>
    <font>
      <name val="Arial"/>
      <charset val="204"/>
      <family val="2"/>
      <b val="1"/>
      <color theme="0"/>
      <sz val="11"/>
    </font>
    <font>
      <name val="Arial"/>
      <charset val="204"/>
      <family val="2"/>
      <i val="1"/>
      <color theme="0"/>
      <sz val="9"/>
    </font>
    <font>
      <name val="Inter"/>
      <charset val="204"/>
      <b val="1"/>
      <color theme="0"/>
      <sz val="10"/>
    </font>
    <font>
      <name val="Calibri"/>
      <sz val="10"/>
    </font>
    <font>
      <name val="Calibri"/>
      <b val="1"/>
      <color rgb="00FFFFFF"/>
      <sz val="12"/>
    </font>
    <font>
      <name val="Calibri"/>
      <i val="1"/>
      <sz val="9"/>
    </font>
    <font>
      <name val="Calibri"/>
      <b val="1"/>
      <color rgb="00FFFFFF"/>
      <sz val="10"/>
    </font>
    <font>
      <name val="Calibri"/>
      <sz val="8"/>
    </font>
    <font>
      <name val="Calibri"/>
      <sz val="9"/>
    </font>
    <font>
      <name val="Arial"/>
      <color rgb="00000000"/>
      <sz val="10"/>
    </font>
    <font>
      <name val="Arial"/>
      <i val="1"/>
      <sz val="9"/>
    </font>
    <font>
      <name val="Calibri"/>
      <color rgb="00000000"/>
      <sz val="10"/>
    </font>
    <font>
      <name val="Calibri"/>
      <color rgb="00000000"/>
      <sz val="8"/>
    </font>
    <font>
      <name val="Calibri"/>
      <b val="1"/>
      <sz val="14"/>
    </font>
  </fonts>
  <fills count="31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C9DAF8"/>
      </patternFill>
    </fill>
    <fill>
      <patternFill patternType="solid">
        <fgColor rgb="FF0000FF"/>
      </patternFill>
    </fill>
    <fill>
      <patternFill patternType="solid">
        <fgColor rgb="FFCFE2F3"/>
      </patternFill>
    </fill>
    <fill>
      <patternFill patternType="solid">
        <fgColor rgb="FF0000FF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theme="0"/>
      </patternFill>
    </fill>
    <fill>
      <patternFill patternType="solid">
        <fgColor rgb="FF0000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AF3F8"/>
      </patternFill>
    </fill>
    <fill>
      <patternFill patternType="solid">
        <fgColor rgb="FF2F75B5"/>
      </patternFill>
    </fill>
    <fill>
      <patternFill patternType="solid">
        <fgColor theme="0"/>
        <bgColor indexed="64"/>
      </patternFill>
    </fill>
    <fill>
      <patternFill patternType="solid">
        <fgColor rgb="00EAF3F8"/>
      </patternFill>
    </fill>
    <fill>
      <patternFill patternType="solid">
        <fgColor rgb="00FFFFFF"/>
      </patternFill>
    </fill>
    <fill>
      <patternFill patternType="solid">
        <fgColor rgb="00CFE2F3"/>
      </patternFill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5B9BD5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1F4E79"/>
      </patternFill>
    </fill>
    <fill>
      <patternFill patternType="solid">
        <fgColor rgb="00D6DCE4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5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/>
      <right style="thin"/>
      <top style="thin"/>
      <bottom style="thin"/>
    </border>
    <border>
      <right/>
      <bottom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20"/>
  </cellStyleXfs>
  <cellXfs count="280">
    <xf numFmtId="0" fontId="0" fillId="0" borderId="0" pivotButton="0" quotePrefix="0" xfId="0"/>
    <xf numFmtId="0" fontId="2" fillId="0" borderId="0" pivotButton="0" quotePrefix="0" xfId="0"/>
    <xf numFmtId="0" fontId="2" fillId="0" borderId="7" pivotButton="0" quotePrefix="0" xfId="0"/>
    <xf numFmtId="0" fontId="8" fillId="0" borderId="8" applyAlignment="1" pivotButton="0" quotePrefix="0" xfId="0">
      <alignment vertical="top" wrapText="1"/>
    </xf>
    <xf numFmtId="0" fontId="2" fillId="0" borderId="7" applyAlignment="1" pivotButton="0" quotePrefix="0" xfId="0">
      <alignment wrapText="1"/>
    </xf>
    <xf numFmtId="1" fontId="8" fillId="0" borderId="8" applyAlignment="1" pivotButton="0" quotePrefix="0" xfId="0">
      <alignment horizontal="right" wrapText="1"/>
    </xf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3" borderId="7" applyAlignment="1" pivotButton="0" quotePrefix="0" xfId="0">
      <alignment horizontal="left" vertical="center" wrapText="1"/>
    </xf>
    <xf numFmtId="0" fontId="6" fillId="3" borderId="7" applyAlignment="1" pivotButton="0" quotePrefix="0" xfId="0">
      <alignment horizontal="left" vertical="center" wrapText="1"/>
    </xf>
    <xf numFmtId="0" fontId="9" fillId="6" borderId="0" applyAlignment="1" pivotButton="0" quotePrefix="0" xfId="0">
      <alignment wrapText="1"/>
    </xf>
    <xf numFmtId="0" fontId="9" fillId="6" borderId="0" applyAlignment="1" pivotButton="0" quotePrefix="0" xfId="0">
      <alignment horizontal="center" vertical="center" wrapText="1"/>
    </xf>
    <xf numFmtId="0" fontId="7" fillId="4" borderId="7" applyAlignment="1" pivotButton="0" quotePrefix="0" xfId="0">
      <alignment horizontal="left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3" fontId="9" fillId="6" borderId="8" applyAlignment="1" pivotButton="0" quotePrefix="0" xfId="0">
      <alignment horizontal="center" vertical="center" wrapText="1"/>
    </xf>
    <xf numFmtId="0" fontId="8" fillId="5" borderId="8" applyAlignment="1" pivotButton="0" quotePrefix="0" xfId="0">
      <alignment vertical="top" wrapText="1"/>
    </xf>
    <xf numFmtId="3" fontId="8" fillId="0" borderId="8" applyAlignment="1" pivotButton="0" quotePrefix="0" xfId="0">
      <alignment horizontal="right" vertical="top" wrapText="1"/>
    </xf>
    <xf numFmtId="0" fontId="7" fillId="6" borderId="10" applyAlignment="1" pivotButton="0" quotePrefix="0" xfId="0">
      <alignment horizontal="center" vertical="center" wrapText="1"/>
    </xf>
    <xf numFmtId="0" fontId="9" fillId="6" borderId="11" applyAlignment="1" pivotButton="0" quotePrefix="0" xfId="0">
      <alignment horizontal="center" vertical="center" wrapText="1"/>
    </xf>
    <xf numFmtId="3" fontId="9" fillId="6" borderId="11" applyAlignment="1" pivotButton="0" quotePrefix="0" xfId="0">
      <alignment horizontal="center" vertical="center" wrapText="1"/>
    </xf>
    <xf numFmtId="0" fontId="0" fillId="0" borderId="10" applyAlignment="1" pivotButton="0" quotePrefix="0" xfId="0">
      <alignment vertical="top" wrapText="1"/>
    </xf>
    <xf numFmtId="0" fontId="0" fillId="0" borderId="11" pivotButton="0" quotePrefix="0" xfId="0"/>
    <xf numFmtId="0" fontId="8" fillId="0" borderId="12" applyAlignment="1" pivotButton="0" quotePrefix="0" xfId="0">
      <alignment wrapText="1"/>
    </xf>
    <xf numFmtId="0" fontId="8" fillId="0" borderId="11" applyAlignment="1" pivotButton="0" quotePrefix="0" xfId="0">
      <alignment wrapText="1"/>
    </xf>
    <xf numFmtId="0" fontId="8" fillId="5" borderId="11" applyAlignment="1" pivotButton="0" quotePrefix="0" xfId="0">
      <alignment wrapText="1"/>
    </xf>
    <xf numFmtId="3" fontId="8" fillId="0" borderId="11" applyAlignment="1" pivotButton="0" quotePrefix="0" xfId="0">
      <alignment horizontal="right" wrapText="1"/>
    </xf>
    <xf numFmtId="0" fontId="7" fillId="4" borderId="8" applyAlignment="1" pivotButton="0" quotePrefix="0" xfId="0">
      <alignment horizontal="left" vertical="top" wrapText="1"/>
    </xf>
    <xf numFmtId="1" fontId="8" fillId="5" borderId="8" applyAlignment="1" pivotButton="0" quotePrefix="0" xfId="0">
      <alignment vertical="top" wrapText="1"/>
    </xf>
    <xf numFmtId="3" fontId="8" fillId="0" borderId="8" applyAlignment="1" pivotButton="0" quotePrefix="0" xfId="0">
      <alignment horizontal="left" wrapText="1"/>
    </xf>
    <xf numFmtId="0" fontId="2" fillId="0" borderId="9" applyAlignment="1" pivotButton="0" quotePrefix="0" xfId="0">
      <alignment wrapText="1"/>
    </xf>
    <xf numFmtId="0" fontId="15" fillId="9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vertical="top" wrapText="1"/>
    </xf>
    <xf numFmtId="0" fontId="2" fillId="0" borderId="11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3" fontId="15" fillId="0" borderId="8" applyAlignment="1" pivotButton="0" quotePrefix="0" xfId="0">
      <alignment horizontal="right" vertical="top" wrapText="1"/>
    </xf>
    <xf numFmtId="0" fontId="16" fillId="10" borderId="8" applyAlignment="1" pivotButton="0" quotePrefix="0" xfId="0">
      <alignment horizontal="left" vertical="center" wrapText="1"/>
    </xf>
    <xf numFmtId="3" fontId="8" fillId="0" borderId="17" applyAlignment="1" pivotButton="0" quotePrefix="0" xfId="0">
      <alignment horizontal="right" vertical="top" wrapText="1"/>
    </xf>
    <xf numFmtId="0" fontId="2" fillId="0" borderId="17" applyAlignment="1" pivotButton="0" quotePrefix="0" xfId="0">
      <alignment vertical="top" wrapText="1"/>
    </xf>
    <xf numFmtId="0" fontId="0" fillId="0" borderId="20" applyAlignment="1" pivotButton="0" quotePrefix="0" xfId="0">
      <alignment wrapText="1"/>
    </xf>
    <xf numFmtId="3" fontId="8" fillId="0" borderId="20" applyAlignment="1" pivotButton="0" quotePrefix="0" xfId="0">
      <alignment horizontal="right" wrapText="1"/>
    </xf>
    <xf numFmtId="0" fontId="2" fillId="0" borderId="21" applyAlignment="1" pivotButton="0" quotePrefix="0" xfId="0">
      <alignment vertical="top" wrapText="1"/>
    </xf>
    <xf numFmtId="0" fontId="2" fillId="0" borderId="20" applyAlignment="1" pivotButton="0" quotePrefix="0" xfId="0">
      <alignment wrapText="1"/>
    </xf>
    <xf numFmtId="0" fontId="17" fillId="11" borderId="0" applyAlignment="1" pivotButton="0" quotePrefix="0" xfId="0">
      <alignment horizontal="center" vertical="center" wrapText="1"/>
    </xf>
    <xf numFmtId="0" fontId="7" fillId="13" borderId="0" applyAlignment="1" pivotButton="0" quotePrefix="0" xfId="0">
      <alignment horizontal="center" vertical="center" wrapText="1"/>
    </xf>
    <xf numFmtId="0" fontId="9" fillId="13" borderId="20" applyAlignment="1" pivotButton="0" quotePrefix="0" xfId="0">
      <alignment horizontal="center" vertical="center" wrapText="1"/>
    </xf>
    <xf numFmtId="9" fontId="8" fillId="0" borderId="8" applyAlignment="1" pivotButton="0" quotePrefix="0" xfId="0">
      <alignment horizontal="right" vertical="center" wrapText="1"/>
    </xf>
    <xf numFmtId="3" fontId="8" fillId="0" borderId="8" applyAlignment="1" pivotButton="0" quotePrefix="0" xfId="0">
      <alignment horizontal="right" vertical="center" wrapText="1"/>
    </xf>
    <xf numFmtId="0" fontId="8" fillId="5" borderId="8" applyAlignment="1" pivotButton="0" quotePrefix="0" xfId="0">
      <alignment vertical="center" wrapText="1"/>
    </xf>
    <xf numFmtId="0" fontId="2" fillId="0" borderId="7" applyAlignment="1" pivotButton="0" quotePrefix="0" xfId="0">
      <alignment vertical="center" wrapText="1"/>
    </xf>
    <xf numFmtId="0" fontId="2" fillId="14" borderId="7" applyAlignment="1" pivotButton="0" quotePrefix="0" xfId="0">
      <alignment vertical="center" wrapText="1"/>
    </xf>
    <xf numFmtId="9" fontId="2" fillId="0" borderId="7" applyAlignment="1" pivotButton="0" quotePrefix="0" xfId="0">
      <alignment vertical="center" wrapText="1"/>
    </xf>
    <xf numFmtId="3" fontId="8" fillId="14" borderId="21" applyAlignment="1" pivotButton="0" quotePrefix="0" xfId="0">
      <alignment horizontal="right" vertical="center" wrapText="1"/>
    </xf>
    <xf numFmtId="9" fontId="8" fillId="0" borderId="21" applyAlignment="1" pivotButton="0" quotePrefix="0" xfId="0">
      <alignment horizontal="right" vertical="center" wrapText="1"/>
    </xf>
    <xf numFmtId="3" fontId="8" fillId="0" borderId="21" applyAlignment="1" pivotButton="0" quotePrefix="0" xfId="0">
      <alignment horizontal="right" vertical="center" wrapText="1"/>
    </xf>
    <xf numFmtId="3" fontId="8" fillId="14" borderId="21" applyAlignment="1" pivotButton="0" quotePrefix="0" xfId="0">
      <alignment vertical="center" wrapText="1"/>
    </xf>
    <xf numFmtId="9" fontId="8" fillId="0" borderId="21" applyAlignment="1" pivotButton="0" quotePrefix="0" xfId="0">
      <alignment vertical="center" wrapText="1"/>
    </xf>
    <xf numFmtId="0" fontId="9" fillId="13" borderId="8" applyAlignment="1" pivotButton="0" quotePrefix="0" xfId="0">
      <alignment horizontal="center" vertical="center" wrapText="1"/>
    </xf>
    <xf numFmtId="1" fontId="9" fillId="13" borderId="8" applyAlignment="1" pivotButton="0" quotePrefix="0" xfId="0">
      <alignment horizontal="center" vertical="center" wrapText="1"/>
    </xf>
    <xf numFmtId="1" fontId="8" fillId="0" borderId="8" applyAlignment="1" pivotButton="0" quotePrefix="0" xfId="0">
      <alignment horizontal="right" vertical="center" wrapText="1"/>
    </xf>
    <xf numFmtId="1" fontId="8" fillId="14" borderId="8" applyAlignment="1" pivotButton="0" quotePrefix="0" xfId="0">
      <alignment horizontal="right" vertical="center" wrapText="1"/>
    </xf>
    <xf numFmtId="0" fontId="2" fillId="0" borderId="34" applyAlignment="1" pivotButton="0" quotePrefix="0" xfId="0">
      <alignment vertical="center" wrapText="1"/>
    </xf>
    <xf numFmtId="0" fontId="2" fillId="0" borderId="35" applyAlignment="1" pivotButton="0" quotePrefix="0" xfId="0">
      <alignment vertical="center" wrapText="1"/>
    </xf>
    <xf numFmtId="0" fontId="2" fillId="0" borderId="36" applyAlignment="1" pivotButton="0" quotePrefix="0" xfId="0">
      <alignment vertical="center" wrapText="1"/>
    </xf>
    <xf numFmtId="0" fontId="2" fillId="14" borderId="36" applyAlignment="1" pivotButton="0" quotePrefix="0" xfId="0">
      <alignment vertical="center" wrapText="1"/>
    </xf>
    <xf numFmtId="9" fontId="2" fillId="0" borderId="36" applyAlignment="1" pivotButton="0" quotePrefix="0" xfId="0">
      <alignment vertical="center" wrapText="1"/>
    </xf>
    <xf numFmtId="0" fontId="19" fillId="11" borderId="0" applyAlignment="1" pivotButton="0" quotePrefix="0" xfId="0">
      <alignment horizontal="center"/>
    </xf>
    <xf numFmtId="0" fontId="19" fillId="11" borderId="20" applyAlignment="1" pivotButton="0" quotePrefix="0" xfId="0">
      <alignment horizontal="center"/>
    </xf>
    <xf numFmtId="0" fontId="0" fillId="0" borderId="0" applyAlignment="1" pivotButton="0" quotePrefix="0" xfId="0">
      <alignment vertical="center" wrapText="1"/>
    </xf>
    <xf numFmtId="0" fontId="0" fillId="0" borderId="20" applyAlignment="1" pivotButton="0" quotePrefix="0" xfId="0">
      <alignment vertical="center" wrapText="1"/>
    </xf>
    <xf numFmtId="0" fontId="9" fillId="13" borderId="0" applyAlignment="1" pivotButton="0" quotePrefix="0" xfId="0">
      <alignment vertical="center" wrapText="1"/>
    </xf>
    <xf numFmtId="0" fontId="9" fillId="13" borderId="20" applyAlignment="1" pivotButton="0" quotePrefix="0" xfId="0">
      <alignment vertical="center" wrapText="1"/>
    </xf>
    <xf numFmtId="9" fontId="8" fillId="14" borderId="8" applyAlignment="1" pivotButton="0" quotePrefix="0" xfId="0">
      <alignment horizontal="right" vertical="center" wrapText="1"/>
    </xf>
    <xf numFmtId="9" fontId="2" fillId="14" borderId="7" applyAlignment="1" pivotButton="0" quotePrefix="0" xfId="0">
      <alignment vertical="center" wrapText="1"/>
    </xf>
    <xf numFmtId="9" fontId="2" fillId="14" borderId="36" applyAlignment="1" pivotButton="0" quotePrefix="0" xfId="0">
      <alignment vertical="center" wrapText="1"/>
    </xf>
    <xf numFmtId="0" fontId="13" fillId="4" borderId="15" applyAlignment="1" pivotButton="0" quotePrefix="0" xfId="0">
      <alignment horizontal="center" vertical="center" wrapText="1"/>
    </xf>
    <xf numFmtId="0" fontId="13" fillId="4" borderId="16" applyAlignment="1" pivotButton="0" quotePrefix="0" xfId="0">
      <alignment horizontal="center" vertical="center" wrapText="1"/>
    </xf>
    <xf numFmtId="0" fontId="12" fillId="5" borderId="17" applyAlignment="1" pivotButton="0" quotePrefix="0" xfId="0">
      <alignment horizontal="center" vertical="center" wrapText="1"/>
    </xf>
    <xf numFmtId="0" fontId="12" fillId="5" borderId="18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 wrapText="1"/>
    </xf>
    <xf numFmtId="0" fontId="2" fillId="8" borderId="14" applyAlignment="1" pivotButton="0" quotePrefix="0" xfId="0">
      <alignment wrapText="1"/>
    </xf>
    <xf numFmtId="0" fontId="3" fillId="0" borderId="0" applyAlignment="1" pivotButton="0" quotePrefix="0" xfId="0">
      <alignment horizont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7" fillId="6" borderId="13" applyAlignment="1" pivotButton="0" quotePrefix="0" xfId="0">
      <alignment horizontal="center" vertical="center" wrapText="1"/>
    </xf>
    <xf numFmtId="0" fontId="17" fillId="11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wrapText="1"/>
    </xf>
    <xf numFmtId="0" fontId="20" fillId="6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right" vertical="center" wrapText="1"/>
    </xf>
    <xf numFmtId="3" fontId="8" fillId="0" borderId="30" applyAlignment="1" pivotButton="0" quotePrefix="0" xfId="0">
      <alignment horizontal="right" vertical="center" wrapText="1"/>
    </xf>
    <xf numFmtId="3" fontId="8" fillId="0" borderId="30" applyAlignment="1" pivotButton="0" quotePrefix="0" xfId="0">
      <alignment vertical="center" wrapText="1"/>
    </xf>
    <xf numFmtId="0" fontId="2" fillId="0" borderId="31" applyAlignment="1" pivotButton="0" quotePrefix="0" xfId="0">
      <alignment vertical="center" wrapText="1"/>
    </xf>
    <xf numFmtId="0" fontId="2" fillId="0" borderId="22" applyAlignment="1" pivotButton="0" quotePrefix="0" xfId="0">
      <alignment vertical="center" wrapText="1"/>
    </xf>
    <xf numFmtId="0" fontId="7" fillId="13" borderId="26" applyAlignment="1" pivotButton="0" quotePrefix="0" xfId="0">
      <alignment horizontal="center" vertical="center" wrapText="1"/>
    </xf>
    <xf numFmtId="0" fontId="0" fillId="0" borderId="20" pivotButton="0" quotePrefix="0" xfId="0"/>
    <xf numFmtId="9" fontId="0" fillId="0" borderId="21" applyAlignment="1" pivotButton="0" quotePrefix="0" xfId="0">
      <alignment vertical="center" wrapText="1"/>
    </xf>
    <xf numFmtId="0" fontId="0" fillId="14" borderId="21" applyAlignment="1" pivotButton="0" quotePrefix="0" xfId="0">
      <alignment vertical="center" wrapText="1"/>
    </xf>
    <xf numFmtId="0" fontId="2" fillId="14" borderId="21" applyAlignment="1" pivotButton="0" quotePrefix="0" xfId="0">
      <alignment vertical="center" wrapText="1"/>
    </xf>
    <xf numFmtId="9" fontId="2" fillId="0" borderId="21" applyAlignment="1" pivotButton="0" quotePrefix="0" xfId="0">
      <alignment vertical="center" wrapText="1"/>
    </xf>
    <xf numFmtId="0" fontId="8" fillId="16" borderId="21" applyAlignment="1" pivotButton="0" quotePrefix="0" xfId="0">
      <alignment vertical="center" wrapText="1"/>
    </xf>
    <xf numFmtId="0" fontId="21" fillId="16" borderId="21" applyAlignment="1" pivotButton="0" quotePrefix="0" xfId="0">
      <alignment horizontal="left" vertical="center" wrapText="1"/>
    </xf>
    <xf numFmtId="0" fontId="2" fillId="16" borderId="23" applyAlignment="1" pivotButton="0" quotePrefix="0" xfId="0">
      <alignment vertical="center" wrapText="1"/>
    </xf>
    <xf numFmtId="0" fontId="2" fillId="14" borderId="37" applyAlignment="1" pivotButton="0" quotePrefix="0" xfId="0">
      <alignment vertical="center" wrapText="1"/>
    </xf>
    <xf numFmtId="9" fontId="2" fillId="0" borderId="37" applyAlignment="1" pivotButton="0" quotePrefix="0" xfId="0">
      <alignment vertical="center" wrapText="1"/>
    </xf>
    <xf numFmtId="0" fontId="2" fillId="0" borderId="32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21" fillId="16" borderId="33" applyAlignment="1" pivotButton="0" quotePrefix="0" xfId="0">
      <alignment horizontal="left" vertical="center" wrapText="1"/>
    </xf>
    <xf numFmtId="0" fontId="8" fillId="16" borderId="33" applyAlignment="1" pivotButton="0" quotePrefix="0" xfId="0">
      <alignment vertical="center" wrapText="1"/>
    </xf>
    <xf numFmtId="0" fontId="2" fillId="16" borderId="25" applyAlignment="1" pivotButton="0" quotePrefix="0" xfId="0">
      <alignment vertical="center" wrapText="1"/>
    </xf>
    <xf numFmtId="0" fontId="2" fillId="16" borderId="21" applyAlignment="1" pivotButton="0" quotePrefix="0" xfId="0">
      <alignment vertical="center" wrapText="1"/>
    </xf>
    <xf numFmtId="0" fontId="9" fillId="13" borderId="21" applyAlignment="1" pivotButton="0" quotePrefix="0" xfId="0">
      <alignment vertical="center" wrapText="1"/>
    </xf>
    <xf numFmtId="0" fontId="0" fillId="0" borderId="21" pivotButton="0" quotePrefix="0" xfId="0"/>
    <xf numFmtId="0" fontId="6" fillId="7" borderId="27" applyAlignment="1" pivotButton="0" quotePrefix="0" xfId="0">
      <alignment horizontal="center" wrapText="1"/>
    </xf>
    <xf numFmtId="0" fontId="6" fillId="7" borderId="28" applyAlignment="1" pivotButton="0" quotePrefix="0" xfId="0">
      <alignment horizontal="center" wrapText="1"/>
    </xf>
    <xf numFmtId="0" fontId="6" fillId="7" borderId="29" applyAlignment="1" pivotButton="0" quotePrefix="0" xfId="0">
      <alignment horizontal="center" wrapText="1"/>
    </xf>
    <xf numFmtId="0" fontId="11" fillId="0" borderId="24" applyAlignment="1" pivotButton="0" quotePrefix="0" xfId="0">
      <alignment horizontal="center" vertical="center" wrapText="1"/>
    </xf>
    <xf numFmtId="0" fontId="11" fillId="0" borderId="20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19" fillId="15" borderId="20" applyAlignment="1" pivotButton="0" quotePrefix="0" xfId="0">
      <alignment horizontal="center" vertical="center" wrapText="1"/>
    </xf>
    <xf numFmtId="0" fontId="22" fillId="12" borderId="20" applyAlignment="1" pivotButton="0" quotePrefix="0" xfId="0">
      <alignment horizontal="center" vertical="center" wrapText="1"/>
    </xf>
    <xf numFmtId="0" fontId="23" fillId="2" borderId="2" applyAlignment="1" pivotButton="0" quotePrefix="0" xfId="0">
      <alignment horizontal="left" wrapText="1"/>
    </xf>
    <xf numFmtId="0" fontId="23" fillId="2" borderId="4" applyAlignment="1" pivotButton="0" quotePrefix="0" xfId="0">
      <alignment horizontal="left" wrapText="1"/>
    </xf>
    <xf numFmtId="164" fontId="23" fillId="2" borderId="6" applyAlignment="1" pivotButton="0" quotePrefix="0" xfId="0">
      <alignment horizontal="left" wrapText="1"/>
    </xf>
    <xf numFmtId="0" fontId="23" fillId="0" borderId="1" applyAlignment="1" pivotButton="0" quotePrefix="0" xfId="0">
      <alignment horizontal="left" wrapText="1"/>
    </xf>
    <xf numFmtId="0" fontId="23" fillId="0" borderId="3" applyAlignment="1" pivotButton="0" quotePrefix="0" xfId="0">
      <alignment horizontal="left" wrapText="1"/>
    </xf>
    <xf numFmtId="0" fontId="23" fillId="0" borderId="5" applyAlignment="1" pivotButton="0" quotePrefix="0" xfId="0">
      <alignment horizontal="left" wrapText="1"/>
    </xf>
    <xf numFmtId="0" fontId="2" fillId="0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2" fillId="0" borderId="21" applyAlignment="1" pivotButton="0" quotePrefix="0" xfId="0">
      <alignment horizontal="right" vertical="center" wrapText="1"/>
    </xf>
    <xf numFmtId="0" fontId="13" fillId="4" borderId="28" applyAlignment="1" pivotButton="0" quotePrefix="0" xfId="0">
      <alignment horizontal="center" vertical="center" wrapText="1"/>
    </xf>
    <xf numFmtId="0" fontId="12" fillId="5" borderId="32" applyAlignment="1" pivotButton="0" quotePrefix="0" xfId="0">
      <alignment horizontal="center" vertical="center" wrapText="1"/>
    </xf>
    <xf numFmtId="0" fontId="0" fillId="16" borderId="20" applyAlignment="1" pivotButton="0" quotePrefix="0" xfId="0">
      <alignment wrapText="1"/>
    </xf>
    <xf numFmtId="0" fontId="7" fillId="16" borderId="20" applyAlignment="1" pivotButton="0" quotePrefix="0" xfId="0">
      <alignment horizontal="left" vertical="center" wrapText="1"/>
    </xf>
    <xf numFmtId="3" fontId="8" fillId="16" borderId="20" applyAlignment="1" pivotButton="0" quotePrefix="0" xfId="0">
      <alignment horizontal="right" wrapText="1"/>
    </xf>
    <xf numFmtId="0" fontId="7" fillId="4" borderId="31" applyAlignment="1" pivotButton="0" quotePrefix="0" xfId="0">
      <alignment horizontal="left" vertical="center" wrapText="1"/>
    </xf>
    <xf numFmtId="1" fontId="9" fillId="13" borderId="30" applyAlignment="1" pivotButton="0" quotePrefix="0" xfId="0">
      <alignment horizontal="center" vertical="center" wrapText="1"/>
    </xf>
    <xf numFmtId="9" fontId="8" fillId="0" borderId="30" applyAlignment="1" pivotButton="0" quotePrefix="0" xfId="0">
      <alignment horizontal="right" vertical="center" wrapText="1"/>
    </xf>
    <xf numFmtId="9" fontId="2" fillId="0" borderId="31" applyAlignment="1" pivotButton="0" quotePrefix="0" xfId="0">
      <alignment vertical="center" wrapText="1"/>
    </xf>
    <xf numFmtId="9" fontId="2" fillId="0" borderId="27" applyAlignment="1" pivotButton="0" quotePrefix="0" xfId="0">
      <alignment vertical="center" wrapText="1"/>
    </xf>
    <xf numFmtId="0" fontId="2" fillId="0" borderId="31" pivotButton="0" quotePrefix="0" xfId="0"/>
    <xf numFmtId="0" fontId="24" fillId="16" borderId="20" applyAlignment="1" pivotButton="0" quotePrefix="0" xfId="0">
      <alignment horizontal="center" vertical="center" wrapText="1"/>
    </xf>
    <xf numFmtId="0" fontId="25" fillId="16" borderId="20" pivotButton="0" quotePrefix="0" xfId="0"/>
    <xf numFmtId="0" fontId="26" fillId="16" borderId="20" applyAlignment="1" pivotButton="0" quotePrefix="0" xfId="0">
      <alignment vertical="center" wrapText="1"/>
    </xf>
    <xf numFmtId="0" fontId="25" fillId="16" borderId="20" applyAlignment="1" pivotButton="0" quotePrefix="0" xfId="0">
      <alignment wrapText="1"/>
    </xf>
    <xf numFmtId="0" fontId="27" fillId="16" borderId="20" applyAlignment="1" pivotButton="0" quotePrefix="0" xfId="0">
      <alignment horizontal="center" vertical="center" wrapText="1"/>
    </xf>
    <xf numFmtId="0" fontId="25" fillId="16" borderId="20" applyAlignment="1" pivotButton="0" quotePrefix="0" xfId="0">
      <alignment vertical="center" wrapText="1"/>
    </xf>
    <xf numFmtId="9" fontId="25" fillId="16" borderId="20" applyAlignment="1" pivotButton="0" quotePrefix="0" xfId="0">
      <alignment vertical="center" wrapText="1"/>
    </xf>
    <xf numFmtId="3" fontId="25" fillId="16" borderId="20" applyAlignment="1" pivotButton="0" quotePrefix="0" xfId="0">
      <alignment horizontal="right" vertical="center" wrapText="1"/>
    </xf>
    <xf numFmtId="0" fontId="28" fillId="16" borderId="20" applyAlignment="1" pivotButton="0" quotePrefix="0" xfId="0">
      <alignment horizontal="center" vertical="center" wrapText="1"/>
    </xf>
    <xf numFmtId="0" fontId="29" fillId="16" borderId="20" applyAlignment="1" pivotButton="0" quotePrefix="0" xfId="0">
      <alignment wrapText="1"/>
    </xf>
    <xf numFmtId="0" fontId="30" fillId="16" borderId="20" applyAlignment="1" pivotButton="0" quotePrefix="0" xfId="0">
      <alignment horizontal="center" vertical="center" wrapText="1"/>
    </xf>
    <xf numFmtId="0" fontId="30" fillId="16" borderId="20" applyAlignment="1" pivotButton="0" quotePrefix="0" xfId="0">
      <alignment horizontal="left" vertical="center" wrapText="1"/>
    </xf>
    <xf numFmtId="1" fontId="25" fillId="16" borderId="20" applyAlignment="1" pivotButton="0" quotePrefix="0" xfId="0">
      <alignment horizontal="right" vertical="center" wrapText="1"/>
    </xf>
    <xf numFmtId="0" fontId="28" fillId="16" borderId="20" applyAlignment="1" pivotButton="0" quotePrefix="0" xfId="0">
      <alignment horizontal="center"/>
    </xf>
    <xf numFmtId="0" fontId="27" fillId="16" borderId="20" applyAlignment="1" pivotButton="0" quotePrefix="0" xfId="0">
      <alignment vertical="center" wrapText="1"/>
    </xf>
    <xf numFmtId="0" fontId="2" fillId="14" borderId="30" applyAlignment="1" pivotButton="0" quotePrefix="0" xfId="0">
      <alignment vertical="center" wrapText="1"/>
    </xf>
    <xf numFmtId="0" fontId="2" fillId="14" borderId="38" applyAlignment="1" pivotButton="0" quotePrefix="0" xfId="0">
      <alignment vertical="center" wrapText="1"/>
    </xf>
    <xf numFmtId="0" fontId="0" fillId="0" borderId="30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/>
    </xf>
    <xf numFmtId="0" fontId="3" fillId="0" borderId="20" applyAlignment="1" pivotButton="0" quotePrefix="0" xfId="0">
      <alignment horizontal="center" wrapText="1"/>
    </xf>
    <xf numFmtId="0" fontId="2" fillId="8" borderId="26" applyAlignment="1" pivotButton="0" quotePrefix="0" xfId="0">
      <alignment wrapText="1"/>
    </xf>
    <xf numFmtId="0" fontId="0" fillId="0" borderId="40" pivotButton="0" quotePrefix="0" xfId="0"/>
    <xf numFmtId="0" fontId="0" fillId="0" borderId="23" pivotButton="0" quotePrefix="0" xfId="0"/>
    <xf numFmtId="0" fontId="12" fillId="0" borderId="20" applyAlignment="1" pivotButton="0" quotePrefix="0" xfId="0">
      <alignment horizontal="center" vertical="center" wrapText="1"/>
    </xf>
    <xf numFmtId="0" fontId="0" fillId="0" borderId="13" pivotButton="0" quotePrefix="0" xfId="0"/>
    <xf numFmtId="0" fontId="6" fillId="7" borderId="36" applyAlignment="1" pivotButton="0" quotePrefix="0" xfId="0">
      <alignment horizontal="center" wrapText="1"/>
    </xf>
    <xf numFmtId="0" fontId="0" fillId="0" borderId="28" pivotButton="0" quotePrefix="0" xfId="0"/>
    <xf numFmtId="0" fontId="0" fillId="0" borderId="29" pivotButton="0" quotePrefix="0" xfId="0"/>
    <xf numFmtId="0" fontId="13" fillId="4" borderId="27" applyAlignment="1" pivotButton="0" quotePrefix="0" xfId="0">
      <alignment horizontal="center" vertical="center" wrapText="1"/>
    </xf>
    <xf numFmtId="0" fontId="12" fillId="5" borderId="30" applyAlignment="1" pivotButton="0" quotePrefix="0" xfId="0">
      <alignment horizontal="center" vertical="center" wrapText="1"/>
    </xf>
    <xf numFmtId="0" fontId="0" fillId="0" borderId="18" pivotButton="0" quotePrefix="0" xfId="0"/>
    <xf numFmtId="0" fontId="17" fillId="11" borderId="20" applyAlignment="1" pivotButton="0" quotePrefix="0" xfId="0">
      <alignment horizontal="center" vertical="center" wrapText="1"/>
    </xf>
    <xf numFmtId="0" fontId="18" fillId="12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33" pivotButton="0" quotePrefix="0" xfId="0"/>
    <xf numFmtId="0" fontId="10" fillId="7" borderId="20" applyAlignment="1" pivotButton="0" quotePrefix="0" xfId="0">
      <alignment wrapText="1"/>
    </xf>
    <xf numFmtId="0" fontId="15" fillId="19" borderId="41" applyAlignment="1" pivotButton="0" quotePrefix="0" xfId="0">
      <alignment vertical="center" wrapText="1"/>
    </xf>
    <xf numFmtId="0" fontId="15" fillId="19" borderId="41" applyAlignment="1" pivotButton="0" quotePrefix="0" xfId="0">
      <alignment horizontal="center" vertical="center" wrapText="1"/>
    </xf>
    <xf numFmtId="0" fontId="2" fillId="18" borderId="41" applyAlignment="1" pivotButton="0" quotePrefix="0" xfId="0">
      <alignment vertical="center" wrapText="1"/>
    </xf>
    <xf numFmtId="0" fontId="2" fillId="18" borderId="41" applyAlignment="1" pivotButton="0" quotePrefix="0" xfId="0">
      <alignment horizontal="center" vertical="center" wrapText="1"/>
    </xf>
    <xf numFmtId="0" fontId="2" fillId="19" borderId="41" applyAlignment="1" pivotButton="0" quotePrefix="0" xfId="0">
      <alignment vertical="center" wrapText="1"/>
    </xf>
    <xf numFmtId="0" fontId="2" fillId="19" borderId="41" applyAlignment="1" pivotButton="0" quotePrefix="0" xfId="0">
      <alignment horizontal="center" vertical="center" wrapText="1"/>
    </xf>
    <xf numFmtId="0" fontId="14" fillId="18" borderId="41" applyAlignment="1" pivotButton="0" quotePrefix="0" xfId="0">
      <alignment vertical="center" wrapText="1"/>
    </xf>
    <xf numFmtId="0" fontId="0" fillId="19" borderId="41" applyAlignment="1" pivotButton="0" quotePrefix="0" xfId="0">
      <alignment vertical="center" wrapText="1"/>
    </xf>
    <xf numFmtId="0" fontId="0" fillId="19" borderId="41" applyAlignment="1" pivotButton="0" quotePrefix="0" xfId="0">
      <alignment horizontal="center" vertical="center" wrapText="1"/>
    </xf>
    <xf numFmtId="0" fontId="0" fillId="18" borderId="41" applyAlignment="1" pivotButton="0" quotePrefix="0" xfId="0">
      <alignment vertical="center" wrapText="1"/>
    </xf>
    <xf numFmtId="0" fontId="0" fillId="20" borderId="41" applyAlignment="1" pivotButton="0" quotePrefix="0" xfId="0">
      <alignment horizontal="center" vertical="center" wrapText="1"/>
    </xf>
    <xf numFmtId="0" fontId="0" fillId="18" borderId="41" applyAlignment="1" pivotButton="0" quotePrefix="0" xfId="0">
      <alignment horizontal="center" vertical="center" wrapText="1"/>
    </xf>
    <xf numFmtId="3" fontId="8" fillId="17" borderId="8" applyAlignment="1" pivotButton="0" quotePrefix="0" xfId="0">
      <alignment horizontal="right" vertical="top" wrapText="1"/>
    </xf>
    <xf numFmtId="0" fontId="32" fillId="21" borderId="41" applyAlignment="1" pivotButton="0" quotePrefix="0" xfId="0">
      <alignment vertical="center" wrapText="1"/>
    </xf>
    <xf numFmtId="0" fontId="33" fillId="22" borderId="41" applyAlignment="1" pivotButton="0" quotePrefix="0" xfId="0">
      <alignment vertical="center" wrapText="1"/>
    </xf>
    <xf numFmtId="0" fontId="31" fillId="0" borderId="42" applyAlignment="1" pivotButton="0" quotePrefix="0" xfId="0">
      <alignment horizontal="center" vertical="center" wrapText="1"/>
    </xf>
    <xf numFmtId="0" fontId="31" fillId="0" borderId="42" pivotButton="0" quotePrefix="0" xfId="0"/>
    <xf numFmtId="3" fontId="31" fillId="0" borderId="42" applyAlignment="1" pivotButton="0" quotePrefix="0" xfId="0">
      <alignment horizontal="right" wrapText="1"/>
    </xf>
    <xf numFmtId="0" fontId="34" fillId="23" borderId="41" applyAlignment="1" pivotButton="0" quotePrefix="0" xfId="0">
      <alignment horizontal="center" vertical="center" wrapText="1"/>
    </xf>
    <xf numFmtId="3" fontId="34" fillId="23" borderId="41" applyAlignment="1" pivotButton="0" quotePrefix="0" xfId="0">
      <alignment horizontal="center" vertical="center" wrapText="1"/>
    </xf>
    <xf numFmtId="0" fontId="31" fillId="19" borderId="41" applyAlignment="1" pivotButton="0" quotePrefix="0" xfId="0">
      <alignment horizontal="center" vertical="center" wrapText="1"/>
    </xf>
    <xf numFmtId="0" fontId="31" fillId="19" borderId="41" applyAlignment="1" pivotButton="0" quotePrefix="0" xfId="0">
      <alignment vertical="center" wrapText="1"/>
    </xf>
    <xf numFmtId="0" fontId="31" fillId="20" borderId="41" applyAlignment="1" pivotButton="0" quotePrefix="0" xfId="0">
      <alignment vertical="center" wrapText="1"/>
    </xf>
    <xf numFmtId="165" fontId="31" fillId="18" borderId="41" applyAlignment="1" pivotButton="0" quotePrefix="0" xfId="0">
      <alignment horizontal="center" vertical="center" wrapText="1"/>
    </xf>
    <xf numFmtId="0" fontId="31" fillId="17" borderId="41" applyAlignment="1" pivotButton="0" quotePrefix="0" xfId="0">
      <alignment vertical="center" wrapText="1"/>
    </xf>
    <xf numFmtId="0" fontId="35" fillId="19" borderId="41" applyAlignment="1" pivotButton="0" quotePrefix="0" xfId="0">
      <alignment vertical="center" wrapText="1"/>
    </xf>
    <xf numFmtId="0" fontId="31" fillId="18" borderId="41" applyAlignment="1" pivotButton="0" quotePrefix="0" xfId="0">
      <alignment horizontal="center" vertical="center" wrapText="1"/>
    </xf>
    <xf numFmtId="0" fontId="31" fillId="18" borderId="41" applyAlignment="1" pivotButton="0" quotePrefix="0" xfId="0">
      <alignment vertical="center" wrapText="1"/>
    </xf>
    <xf numFmtId="3" fontId="31" fillId="20" borderId="41" applyAlignment="1" pivotButton="0" quotePrefix="0" xfId="0">
      <alignment vertical="center" wrapText="1"/>
    </xf>
    <xf numFmtId="3" fontId="31" fillId="17" borderId="41" applyAlignment="1" pivotButton="0" quotePrefix="0" xfId="0">
      <alignment vertical="center" wrapText="1"/>
    </xf>
    <xf numFmtId="0" fontId="35" fillId="18" borderId="41" applyAlignment="1" pivotButton="0" quotePrefix="0" xfId="0">
      <alignment vertical="center" wrapText="1"/>
    </xf>
    <xf numFmtId="9" fontId="31" fillId="17" borderId="41" applyAlignment="1" pivotButton="0" quotePrefix="0" xfId="0">
      <alignment horizontal="center" vertical="center" wrapText="1"/>
    </xf>
    <xf numFmtId="0" fontId="31" fillId="0" borderId="42" applyAlignment="1" pivotButton="0" quotePrefix="0" xfId="0">
      <alignment wrapText="1"/>
    </xf>
    <xf numFmtId="0" fontId="31" fillId="0" borderId="42" applyAlignment="1" pivotButton="0" quotePrefix="0" xfId="0">
      <alignment vertical="center" wrapText="1"/>
    </xf>
    <xf numFmtId="9" fontId="31" fillId="0" borderId="42" applyAlignment="1" pivotButton="0" quotePrefix="0" xfId="0">
      <alignment vertical="center" wrapText="1"/>
    </xf>
    <xf numFmtId="1" fontId="34" fillId="23" borderId="41" applyAlignment="1" pivotButton="0" quotePrefix="0" xfId="0">
      <alignment horizontal="center" vertical="center" wrapText="1"/>
    </xf>
    <xf numFmtId="9" fontId="34" fillId="23" borderId="41" applyAlignment="1" pivotButton="0" quotePrefix="0" xfId="0">
      <alignment horizontal="center" vertical="center" wrapText="1"/>
    </xf>
    <xf numFmtId="1" fontId="31" fillId="19" borderId="41" applyAlignment="1" pivotButton="0" quotePrefix="0" xfId="0">
      <alignment vertical="center" wrapText="1"/>
    </xf>
    <xf numFmtId="1" fontId="31" fillId="17" borderId="41" applyAlignment="1" pivotButton="0" quotePrefix="0" xfId="0">
      <alignment vertical="center" wrapText="1"/>
    </xf>
    <xf numFmtId="1" fontId="31" fillId="20" borderId="41" applyAlignment="1" pivotButton="0" quotePrefix="0" xfId="0">
      <alignment vertical="center" wrapText="1"/>
    </xf>
    <xf numFmtId="1" fontId="31" fillId="18" borderId="41" applyAlignment="1" pivotButton="0" quotePrefix="0" xfId="0">
      <alignment vertical="center" wrapText="1"/>
    </xf>
    <xf numFmtId="9" fontId="31" fillId="17" borderId="41" applyAlignment="1" pivotButton="0" quotePrefix="0" xfId="0">
      <alignment vertical="center" wrapText="1"/>
    </xf>
    <xf numFmtId="9" fontId="31" fillId="20" borderId="41" applyAlignment="1" pivotButton="0" quotePrefix="0" xfId="0">
      <alignment vertical="center" wrapText="1"/>
    </xf>
    <xf numFmtId="1" fontId="31" fillId="0" borderId="42" applyAlignment="1" pivotButton="0" quotePrefix="0" xfId="0">
      <alignment horizontal="right" vertical="center" wrapText="1"/>
    </xf>
    <xf numFmtId="0" fontId="36" fillId="19" borderId="41" applyAlignment="1" pivotButton="0" quotePrefix="0" xfId="0">
      <alignment vertical="center" wrapText="1"/>
    </xf>
    <xf numFmtId="0" fontId="31" fillId="24" borderId="41" applyAlignment="1" pivotButton="0" quotePrefix="0" xfId="0">
      <alignment vertical="center" wrapText="1"/>
    </xf>
    <xf numFmtId="0" fontId="36" fillId="18" borderId="41" applyAlignment="1" pivotButton="0" quotePrefix="0" xfId="0">
      <alignment vertical="center" wrapText="1"/>
    </xf>
    <xf numFmtId="0" fontId="31" fillId="0" borderId="42" applyAlignment="1" pivotButton="0" quotePrefix="0" xfId="0">
      <alignment horizontal="center"/>
    </xf>
    <xf numFmtId="0" fontId="0" fillId="20" borderId="41" applyAlignment="1" pivotButton="0" quotePrefix="0" xfId="0">
      <alignment vertical="center" wrapText="1"/>
    </xf>
    <xf numFmtId="0" fontId="0" fillId="17" borderId="41" applyAlignment="1" pivotButton="0" quotePrefix="0" xfId="0">
      <alignment vertical="center" wrapText="1"/>
    </xf>
    <xf numFmtId="0" fontId="0" fillId="24" borderId="41" applyAlignment="1" pivotButton="0" quotePrefix="0" xfId="0">
      <alignment vertical="center" wrapText="1"/>
    </xf>
    <xf numFmtId="0" fontId="0" fillId="0" borderId="41" applyAlignment="1" pivotButton="0" quotePrefix="0" xfId="0">
      <alignment vertical="center" wrapText="1"/>
    </xf>
    <xf numFmtId="3" fontId="15" fillId="20" borderId="41" applyAlignment="1" pivotButton="0" quotePrefix="0" xfId="0">
      <alignment horizontal="right" vertical="top" wrapText="1"/>
    </xf>
    <xf numFmtId="0" fontId="0" fillId="0" borderId="45" pivotButton="0" quotePrefix="0" xfId="0"/>
    <xf numFmtId="0" fontId="0" fillId="0" borderId="46" pivotButton="0" quotePrefix="0" xfId="0"/>
    <xf numFmtId="0" fontId="37" fillId="17" borderId="41" applyAlignment="1" pivotButton="0" quotePrefix="0" xfId="0">
      <alignment vertical="center" wrapText="1"/>
    </xf>
    <xf numFmtId="9" fontId="37" fillId="17" borderId="41" applyAlignment="1" pivotButton="0" quotePrefix="0" xfId="0">
      <alignment vertical="center" wrapText="1"/>
    </xf>
    <xf numFmtId="3" fontId="37" fillId="17" borderId="41" applyAlignment="1" pivotButton="0" quotePrefix="0" xfId="0">
      <alignment vertical="center" wrapText="1"/>
    </xf>
    <xf numFmtId="1" fontId="37" fillId="17" borderId="41" applyAlignment="1" pivotButton="0" quotePrefix="0" xfId="0">
      <alignment vertical="center" wrapText="1"/>
    </xf>
    <xf numFmtId="0" fontId="37" fillId="24" borderId="41" applyAlignment="1" pivotButton="0" quotePrefix="0" xfId="0">
      <alignment vertical="center" wrapText="1"/>
    </xf>
    <xf numFmtId="0" fontId="38" fillId="25" borderId="0" applyAlignment="1" pivotButton="0" quotePrefix="0" xfId="0">
      <alignment vertical="top" wrapText="1"/>
    </xf>
    <xf numFmtId="0" fontId="34" fillId="23" borderId="47" applyAlignment="1" pivotButton="0" quotePrefix="0" xfId="0">
      <alignment horizontal="center" vertical="center" wrapText="1"/>
    </xf>
    <xf numFmtId="3" fontId="39" fillId="17" borderId="47" applyAlignment="1" pivotButton="0" quotePrefix="0" xfId="0">
      <alignment vertical="center" wrapText="1"/>
    </xf>
    <xf numFmtId="3" fontId="15" fillId="0" borderId="21" applyAlignment="1" pivotButton="0" quotePrefix="0" xfId="0">
      <alignment horizontal="right" vertical="top" wrapText="1"/>
    </xf>
    <xf numFmtId="3" fontId="15" fillId="0" borderId="21" applyAlignment="1" pivotButton="0" quotePrefix="0" xfId="0">
      <alignment horizontal="left" wrapText="1"/>
    </xf>
    <xf numFmtId="3" fontId="39" fillId="26" borderId="47" applyAlignment="1" pivotButton="0" quotePrefix="0" xfId="0">
      <alignment vertical="center" wrapText="1"/>
    </xf>
    <xf numFmtId="3" fontId="39" fillId="26" borderId="47" applyAlignment="1" pivotButton="0" quotePrefix="0" xfId="0">
      <alignment horizontal="center" vertical="center"/>
    </xf>
    <xf numFmtId="0" fontId="39" fillId="18" borderId="42" applyAlignment="1" pivotButton="0" quotePrefix="0" xfId="0">
      <alignment horizontal="center" vertical="center" wrapText="1"/>
    </xf>
    <xf numFmtId="0" fontId="39" fillId="18" borderId="42" pivotButton="0" quotePrefix="0" xfId="0"/>
    <xf numFmtId="0" fontId="39" fillId="18" borderId="42" applyAlignment="1" pivotButton="0" quotePrefix="0" xfId="0">
      <alignment horizontal="right" wrapText="1"/>
    </xf>
    <xf numFmtId="0" fontId="39" fillId="19" borderId="47" applyAlignment="1" pivotButton="0" quotePrefix="0" xfId="0">
      <alignment horizontal="left" vertical="center" wrapText="1"/>
    </xf>
    <xf numFmtId="1" fontId="39" fillId="17" borderId="47" applyAlignment="1" pivotButton="0" quotePrefix="0" xfId="0">
      <alignment horizontal="right" vertical="center"/>
    </xf>
    <xf numFmtId="165" fontId="39" fillId="18" borderId="47" applyAlignment="1" pivotButton="0" quotePrefix="0" xfId="0">
      <alignment horizontal="right" vertical="center"/>
    </xf>
    <xf numFmtId="9" fontId="39" fillId="17" borderId="47" applyAlignment="1" pivotButton="0" quotePrefix="0" xfId="0">
      <alignment horizontal="right" vertical="center"/>
    </xf>
    <xf numFmtId="0" fontId="40" fillId="19" borderId="47" applyAlignment="1" pivotButton="0" quotePrefix="0" xfId="0">
      <alignment horizontal="left" vertical="center" wrapText="1"/>
    </xf>
    <xf numFmtId="0" fontId="39" fillId="26" borderId="47" applyAlignment="1" pivotButton="0" quotePrefix="0" xfId="0">
      <alignment horizontal="center" vertical="center"/>
    </xf>
    <xf numFmtId="0" fontId="39" fillId="18" borderId="42" applyAlignment="1" pivotButton="0" quotePrefix="0" xfId="0">
      <alignment vertical="center" wrapText="1"/>
    </xf>
    <xf numFmtId="0" fontId="32" fillId="27" borderId="42" applyAlignment="1" pivotButton="0" quotePrefix="0" xfId="0">
      <alignment horizontal="center" vertical="center" wrapText="1"/>
    </xf>
    <xf numFmtId="0" fontId="39" fillId="28" borderId="42" applyAlignment="1" pivotButton="0" quotePrefix="0" xfId="0">
      <alignment vertical="center" wrapText="1"/>
    </xf>
    <xf numFmtId="0" fontId="39" fillId="18" borderId="47" applyAlignment="1" pivotButton="0" quotePrefix="0" xfId="0">
      <alignment vertical="center" wrapText="1"/>
    </xf>
    <xf numFmtId="1" fontId="39" fillId="17" borderId="47" applyAlignment="1" pivotButton="0" quotePrefix="0" xfId="0">
      <alignment vertical="center" wrapText="1"/>
    </xf>
    <xf numFmtId="165" fontId="39" fillId="18" borderId="47" applyAlignment="1" pivotButton="0" quotePrefix="0" xfId="0">
      <alignment vertical="center" wrapText="1"/>
    </xf>
    <xf numFmtId="1" fontId="39" fillId="25" borderId="47" applyAlignment="1" pivotButton="0" quotePrefix="0" xfId="0">
      <alignment vertical="center" wrapText="1"/>
    </xf>
    <xf numFmtId="0" fontId="40" fillId="18" borderId="47" applyAlignment="1" pivotButton="0" quotePrefix="0" xfId="0">
      <alignment vertical="center" wrapText="1"/>
    </xf>
    <xf numFmtId="0" fontId="39" fillId="18" borderId="42" applyAlignment="1" pivotButton="0" quotePrefix="0" xfId="0">
      <alignment horizontal="center"/>
    </xf>
    <xf numFmtId="0" fontId="39" fillId="17" borderId="47" applyAlignment="1" pivotButton="0" quotePrefix="0" xfId="0">
      <alignment vertical="center" wrapText="1"/>
    </xf>
    <xf numFmtId="0" fontId="32" fillId="27" borderId="0" pivotButton="0" quotePrefix="0" xfId="0"/>
    <xf numFmtId="0" fontId="41" fillId="0" borderId="0" pivotButton="0" quotePrefix="0" xfId="0"/>
    <xf numFmtId="0" fontId="34" fillId="23" borderId="47" applyAlignment="1" pivotButton="0" quotePrefix="0" xfId="0">
      <alignment vertical="top" wrapText="1"/>
    </xf>
    <xf numFmtId="0" fontId="0" fillId="0" borderId="47" applyAlignment="1" pivotButton="0" quotePrefix="0" xfId="0">
      <alignment vertical="top" wrapText="1"/>
    </xf>
    <xf numFmtId="0" fontId="0" fillId="24" borderId="47" applyAlignment="1" pivotButton="0" quotePrefix="0" xfId="0">
      <alignment vertical="top" wrapText="1"/>
    </xf>
    <xf numFmtId="0" fontId="0" fillId="29" borderId="47" applyAlignment="1" pivotButton="0" quotePrefix="0" xfId="0">
      <alignment vertical="top" wrapText="1"/>
    </xf>
    <xf numFmtId="0" fontId="0" fillId="30" borderId="47" applyAlignment="1" pivotButton="0" quotePrefix="0" xfId="0">
      <alignment vertical="top" wrapText="1"/>
    </xf>
    <xf numFmtId="0" fontId="39" fillId="0" borderId="42" pivotButton="0" quotePrefix="0" xfId="0"/>
    <xf numFmtId="0" fontId="32" fillId="27" borderId="42" applyAlignment="1" pivotButton="0" quotePrefix="0" xfId="0">
      <alignment vertical="center" wrapText="1"/>
    </xf>
    <xf numFmtId="0" fontId="39" fillId="0" borderId="42" applyAlignment="1" pivotButton="0" quotePrefix="0" xfId="0">
      <alignment vertical="center" wrapText="1"/>
    </xf>
    <xf numFmtId="0" fontId="39" fillId="19" borderId="47" applyAlignment="1" pivotButton="0" quotePrefix="0" xfId="0">
      <alignment vertical="center" wrapText="1"/>
    </xf>
    <xf numFmtId="9" fontId="39" fillId="17" borderId="47" applyAlignment="1" pivotButton="0" quotePrefix="0" xfId="0">
      <alignment vertical="center" wrapText="1"/>
    </xf>
    <xf numFmtId="0" fontId="34" fillId="23" borderId="47" applyAlignment="1" pivotButton="0" quotePrefix="0" xfId="0">
      <alignment vertical="center" wrapText="1"/>
    </xf>
    <xf numFmtId="0" fontId="32" fillId="27" borderId="48" applyAlignment="1" pivotButton="0" quotePrefix="0" xfId="0">
      <alignment vertical="center" wrapText="1"/>
    </xf>
    <xf numFmtId="0" fontId="39" fillId="0" borderId="48" applyAlignment="1" pivotButton="0" quotePrefix="0" xfId="0">
      <alignment vertical="center" wrapText="1"/>
    </xf>
    <xf numFmtId="0" fontId="39" fillId="0" borderId="48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N200"/>
  <sheetViews>
    <sheetView tabSelected="1" topLeftCell="A1" zoomScale="100" zoomScaleNormal="100" workbookViewId="0">
      <selection pane="topLeft" activeCell="A1" sqref="A1"/>
    </sheetView>
  </sheetViews>
  <sheetFormatPr baseColWidth="8" defaultColWidth="12.5546875" defaultRowHeight="15"/>
  <cols>
    <col width="5" customWidth="1" min="1" max="1"/>
    <col width="28" customWidth="1" min="2" max="2"/>
    <col width="2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16" customWidth="1" min="9" max="10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6" t="n"/>
      <c r="B1" s="6" t="n"/>
      <c r="C1" s="7" t="n"/>
      <c r="D1" s="6" t="n"/>
      <c r="E1" s="6" t="n"/>
      <c r="F1" s="6" t="n"/>
      <c r="G1" s="6" t="n"/>
      <c r="H1" s="6" t="n"/>
      <c r="I1" s="6" t="n"/>
    </row>
    <row r="2" ht="18" customHeight="1">
      <c r="A2" s="6" t="n"/>
      <c r="B2" s="124" t="inlineStr">
        <is>
          <t>Подразделение</t>
        </is>
      </c>
      <c r="C2" s="121" t="inlineStr">
        <is>
          <t>Группа продуктового запуска</t>
        </is>
      </c>
      <c r="D2" s="6" t="n"/>
      <c r="E2" s="6" t="n"/>
      <c r="F2" s="6" t="n"/>
      <c r="G2" s="6" t="n"/>
      <c r="H2" s="6" t="n"/>
      <c r="I2" s="6" t="n"/>
    </row>
    <row r="3" ht="18" customHeight="1">
      <c r="A3" s="6" t="n"/>
      <c r="B3" s="125" t="inlineStr">
        <is>
          <t>Руководитель, автор</t>
        </is>
      </c>
      <c r="C3" s="122" t="inlineStr">
        <is>
          <t>Блохина Елизавета</t>
        </is>
      </c>
      <c r="D3" s="6" t="n"/>
      <c r="E3" s="6" t="n"/>
      <c r="F3" s="6" t="n"/>
      <c r="G3" s="6" t="n"/>
      <c r="H3" s="6" t="n"/>
      <c r="I3" s="6" t="n"/>
    </row>
    <row r="4" ht="18" customHeight="1">
      <c r="A4" s="6" t="n"/>
      <c r="B4" s="126" t="inlineStr">
        <is>
          <t>Дата заполнения</t>
        </is>
      </c>
      <c r="C4" s="123" t="n">
        <v>46272</v>
      </c>
      <c r="D4" s="6" t="n"/>
      <c r="E4" s="6" t="n"/>
      <c r="F4" s="6" t="n"/>
      <c r="G4" s="6" t="n"/>
      <c r="H4" s="6" t="n"/>
      <c r="I4" s="6" t="n"/>
    </row>
    <row r="5" ht="27.3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 ht="22" customHeight="1">
      <c r="A6" s="6" t="n"/>
      <c r="B6" s="161" t="inlineStr">
        <is>
          <t>КРИТЕРИИ ОЦЕНКИ</t>
        </is>
      </c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 ht="18" customHeight="1">
      <c r="A8" s="6" t="n"/>
      <c r="B8" s="7" t="n"/>
      <c r="C8" s="6" t="n"/>
      <c r="D8" s="6" t="n"/>
      <c r="E8" s="8" t="inlineStr">
        <is>
          <t>как измеряем результативность</t>
        </is>
      </c>
      <c r="F8" s="6" t="n"/>
      <c r="G8" s="8" t="inlineStr">
        <is>
          <t>как измеряем эффективность</t>
        </is>
      </c>
      <c r="H8" s="6" t="n"/>
      <c r="I8" s="6" t="n"/>
    </row>
    <row r="9" ht="22" customHeight="1">
      <c r="A9" s="6" t="n"/>
      <c r="B9" s="9" t="inlineStr">
        <is>
          <t>Должность</t>
        </is>
      </c>
      <c r="C9" s="9" t="inlineStr">
        <is>
          <t>Какой продукт создает должность. Результат деятельности. Действия</t>
        </is>
      </c>
      <c r="D9" s="9" t="inlineStr">
        <is>
          <t>Результативность (Р)</t>
        </is>
      </c>
      <c r="E9" s="9" t="inlineStr">
        <is>
          <t>Норматив (Р)</t>
        </is>
      </c>
      <c r="F9" s="9" t="inlineStr">
        <is>
          <t>Эффективность (Э)</t>
        </is>
      </c>
      <c r="G9" s="9" t="inlineStr">
        <is>
          <t>Норматив (Э)</t>
        </is>
      </c>
      <c r="H9" s="10" t="inlineStr">
        <is>
          <t>Качество</t>
        </is>
      </c>
      <c r="I9" s="6" t="n"/>
    </row>
    <row r="10" ht="72" customHeight="1">
      <c r="A10" s="6" t="n"/>
      <c r="B10" s="3" t="inlineStr">
        <is>
          <t>Тимлид</t>
        </is>
      </c>
      <c r="C10" s="3" t="inlineStr">
        <is>
          <t>Управляемый контур запуска новых продуктов: организация и контроль полного цикла от продуктовой гипотезы до вывода в продажи и передачи проекта в тираж.
Формирует/утверждает продуктовую стратегию, ЦА, оффер, каналы продвижения, скрипты, КП, материалы и критерии успеха.
Развивает команду и организует работу по проектам.</t>
        </is>
      </c>
      <c r="D10" s="3" t="inlineStr">
        <is>
          <t>— Успешно завершённые запуски и проекты, переданные в тираж
— Достижение согласованных целей проекта (продажи/демонстрации/предложения и др.)
— Подтверждённые рабочие гипотезы</t>
        </is>
      </c>
      <c r="E10" s="3" t="inlineStr">
        <is>
          <t>— По каждому проекту — выполнение согласованного плана/критериев успеха
— Проект считается результативным при достижении цели и готовности к передаче в тираж</t>
        </is>
      </c>
      <c r="F10" s="3" t="inlineStr">
        <is>
          <t>— Скорость прохождения цикла «гипотеза → тест → корректировка → решение»
— Доля этапов, выполненных в срок
— Полнота продуктовой стратегии и launch-пакета
— Скорость включения команды в новый проект</t>
        </is>
      </c>
      <c r="G10" s="3" t="inlineStr">
        <is>
          <t>— Сроки — по плану проекта
— 100% обязательных артефактов запуска подготовлены к передаче
— Команда включена в работу в согласованный срок</t>
        </is>
      </c>
      <c r="H10" s="3" t="inlineStr">
        <is>
          <t>— Полная проработка продукта/ЦА/оффера/гипотез
— Качественная подготовка скриптов и клиентских материалов
— Корректный сбор и анализ обратной связи
— Готовность проекта к самостоятельному ведению тиражной группой</t>
        </is>
      </c>
      <c r="I10" s="6" t="n"/>
      <c r="J10" s="6" t="n"/>
      <c r="K10" s="6" t="n"/>
    </row>
    <row r="11" ht="72" customHeight="1">
      <c r="A11" s="6" t="n"/>
      <c r="B11" s="3" t="inlineStr">
        <is>
          <t>Старший менеджер</t>
        </is>
      </c>
      <c r="C11" s="3" t="inlineStr">
        <is>
          <t>В проектах упаковки и продвижения новых продуктов выполняет полный цикл продажи, участвует в разработке скриптов и формировании гипотез, проводит демонстрации, выступает центром компетенций и при необходимости руководителем проекта.
Самостоятельно продаёт сервисы и услуги, требующие внедрения.</t>
        </is>
      </c>
      <c r="D11" s="3" t="inlineStr">
        <is>
          <t>— Продажи/демонстрации/предложения по плану проекта
— Подтверждение или опровержение гипотез через клиентскую работу
— Вклад в подготовку и запуск проекта</t>
        </is>
      </c>
      <c r="E11" s="3" t="inlineStr">
        <is>
          <t>— Плановые показатели конкретного проекта — по утверждённому паспорту проекта
— Задачи по запуску выполнены в согласованный срок</t>
        </is>
      </c>
      <c r="F11" s="3" t="inlineStr">
        <is>
          <t>— Скорость включения в проект
— Скорость тестирования гипотез и передачи обратной связи
— Соблюдение скрипта/технологии
— Качество демонстраций и клиентской коммуникации</t>
        </is>
      </c>
      <c r="G11" s="3" t="inlineStr">
        <is>
          <t>— 100% обязательных действий по технологии
— Сроки — по плану проекта
— Не менее 20 результативных разговоров в день в период активной клиентской проработки</t>
        </is>
      </c>
      <c r="H11" s="3" t="inlineStr">
        <is>
          <t>— Экспертность в продукте
— Качественное ведение клиента
— Достоверность обратной связи по гипотезам
— Качественно подготовленные скрипты/материалы</t>
        </is>
      </c>
      <c r="I11" s="6" t="n"/>
      <c r="J11" s="6" t="n"/>
      <c r="K11" s="6" t="n"/>
    </row>
    <row r="12" ht="68" customHeight="1">
      <c r="A12" s="6" t="n"/>
      <c r="B12" s="3" t="inlineStr">
        <is>
          <t>Менеджер</t>
        </is>
      </c>
      <c r="C12" s="3" t="inlineStr">
        <is>
          <t>В проектах упаковки и продвижения новых продуктов выполняет полный цикл продажи по заданному скрипту и подготовленной базе.
Самостоятельно продаёт сервисы и услуги, требующие внедрения.</t>
        </is>
      </c>
      <c r="D12" s="3" t="inlineStr">
        <is>
          <t>— Продажи/демонстрации/предложения согласно плану конкретного проекта
— Переданные результаты клиентской проработки и обратная связь по гипотезе</t>
        </is>
      </c>
      <c r="E12" s="3" t="inlineStr">
        <is>
          <t>— Выполнение плана проекта: 100% целевого показателя или выше
— Согласованные задачи проекта выполнены в срок</t>
        </is>
      </c>
      <c r="F12" s="3" t="inlineStr">
        <is>
          <t>— Соблюдение скрипта и технологии
— Интенсивность клиентской проработки
— Скорость обработки клиентских контактов
— Скорость включения в новый проект</t>
        </is>
      </c>
      <c r="G12" s="3" t="inlineStr">
        <is>
          <t>— Не менее 20 результативных разговоров в день в период активной проработки
— 100% обязательных этапов продажи по технологии</t>
        </is>
      </c>
      <c r="H12" s="3" t="inlineStr">
        <is>
          <t>— Полное и корректное ведение клиента
— Достоверная фиксация результатов
— Соблюдение скрипта
— Качественная обратная связь по возражениям и потребностям</t>
        </is>
      </c>
      <c r="I12" s="6" t="n"/>
      <c r="J12" s="6" t="n"/>
      <c r="K12" s="6" t="n"/>
    </row>
    <row r="13" ht="68" customHeight="1">
      <c r="A13" s="6" t="n"/>
      <c r="B13" s="3" t="inlineStr">
        <is>
          <t>Младший менеджер</t>
        </is>
      </c>
      <c r="C13" s="3" t="inlineStr">
        <is>
          <t>В проектах упаковки и продвижения новых продуктов выполняет роль ЛИДоруба: работает по подготовленной базе и скрипту, получает лиды и результаты первичной проверки гипотез, передаёт их менеджеру/старшему менеджеру.
Самостоятельно продаёт отдельные сервисы, не требующие внедрения.</t>
        </is>
      </c>
      <c r="D13" s="3" t="inlineStr">
        <is>
          <t>— Количество качественно обработанных контактов
— Количество квалифицированных лидов, переданных в продажу
— Достоверные результаты проверки гипотез по скрипту</t>
        </is>
      </c>
      <c r="E13" s="3" t="inlineStr">
        <is>
          <t>— Объём клиентской проработки — по плану проекта
— Качественно оформленные и переданные лиды — по согласованному критерию проекта</t>
        </is>
      </c>
      <c r="F13" s="3" t="inlineStr">
        <is>
          <t>— Соблюдение скрипта и технологии
— Интенсивность звонков
— Скорость включения в проект
— Качество фиксации результатов разговора</t>
        </is>
      </c>
      <c r="G13" s="3" t="inlineStr">
        <is>
          <t>— Более 20 результативных разговоров в день в период активной проработки
— 100% соблюдение обязательных элементов скрипта</t>
        </is>
      </c>
      <c r="H13" s="3" t="inlineStr">
        <is>
          <t>— Точная работа по скрипту
— Неискажённая клиентская обратная связь
— Полнота фиксации результата контакта
— Своевременная передача лида</t>
        </is>
      </c>
      <c r="I13" s="6" t="n"/>
      <c r="J13" s="6" t="n"/>
      <c r="K13" s="6" t="n"/>
    </row>
    <row r="14" ht="36" customHeight="1">
      <c r="A14" s="6" t="n"/>
      <c r="B14" s="162" t="inlineStr">
        <is>
          <t>Принцип оценки группы: продажи, ДДС и МД не являются универсальным KPI подразделения. Продажи используются как подтверждение работоспособности продуктовой гипотезы и оцениваются относительно плана конкретного проекта. Для эффективности ключевыми являются скорость запуска, качество проработки, соблюдение технологии и объём клиентской проверки.</t>
        </is>
      </c>
      <c r="C14" s="163" t="n"/>
      <c r="D14" s="163" t="n"/>
      <c r="E14" s="163" t="n"/>
      <c r="F14" s="163" t="n"/>
      <c r="G14" s="163" t="n"/>
      <c r="H14" s="164" t="n"/>
      <c r="I14" s="6" t="n"/>
      <c r="J14" s="6" t="n"/>
      <c r="K14" s="6" t="n"/>
    </row>
    <row r="15" ht="18" customHeight="1">
      <c r="A15" s="271" t="n"/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1" t="n"/>
      <c r="K15" s="271" t="n"/>
      <c r="L15" s="271" t="n"/>
      <c r="M15" s="271" t="n"/>
      <c r="N15" s="271" t="n"/>
    </row>
    <row r="16" ht="18" customHeight="1">
      <c r="A16" s="271" t="n"/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</row>
    <row r="17" ht="22" customHeight="1">
      <c r="A17" s="271" t="n"/>
      <c r="B17" s="272" t="inlineStr">
        <is>
          <t>ТОЧКА А — РЕЗУЛЬТАТИВНОСТЬ</t>
        </is>
      </c>
      <c r="C17" s="95" t="n"/>
      <c r="D17" s="95" t="n"/>
      <c r="E17" s="95" t="n"/>
      <c r="F17" s="95" t="n"/>
      <c r="G17" s="95" t="n"/>
      <c r="H17" s="95" t="n"/>
      <c r="I17" s="271" t="n"/>
      <c r="J17" s="271" t="n"/>
      <c r="K17" s="271" t="n"/>
      <c r="L17" s="271" t="n"/>
      <c r="M17" s="271" t="n"/>
      <c r="N17" s="271" t="n"/>
    </row>
    <row r="18" ht="18" customHeight="1">
      <c r="A18" s="271" t="n"/>
      <c r="B18" s="273" t="inlineStr">
        <is>
          <t>Апрель–август 2026</t>
        </is>
      </c>
      <c r="C18" s="95" t="n"/>
      <c r="D18" s="95" t="n"/>
      <c r="E18" s="95" t="n"/>
      <c r="F18" s="95" t="n"/>
      <c r="G18" s="95" t="n"/>
      <c r="H18" s="95" t="n"/>
      <c r="I18" s="271" t="n"/>
      <c r="J18" s="271" t="n"/>
      <c r="K18" s="271" t="n"/>
      <c r="L18" s="271" t="n"/>
      <c r="M18" s="271" t="n"/>
      <c r="N18" s="271" t="n"/>
    </row>
    <row r="19" ht="18" customHeight="1">
      <c r="A19" s="271" t="n"/>
      <c r="B19" s="271" t="n"/>
      <c r="C19" s="271" t="n"/>
      <c r="D19" s="271" t="n"/>
      <c r="E19" s="271" t="n"/>
      <c r="F19" s="271" t="n"/>
      <c r="G19" s="271" t="n"/>
      <c r="H19" s="271" t="n"/>
      <c r="I19" s="271" t="n"/>
      <c r="J19" s="271" t="n"/>
      <c r="K19" s="271" t="n"/>
      <c r="L19" s="271" t="n"/>
      <c r="M19" s="271" t="n"/>
      <c r="N19" s="271" t="n"/>
    </row>
    <row r="20" ht="30" customHeight="1">
      <c r="A20" s="271" t="n"/>
      <c r="B20" s="239" t="inlineStr">
        <is>
          <t>Должность</t>
        </is>
      </c>
      <c r="C20" s="239" t="inlineStr">
        <is>
          <t>ФИ</t>
        </is>
      </c>
      <c r="D20" s="239" t="inlineStr">
        <is>
          <t>Апрель</t>
        </is>
      </c>
      <c r="E20" s="239" t="inlineStr">
        <is>
          <t>Май</t>
        </is>
      </c>
      <c r="F20" s="239" t="inlineStr">
        <is>
          <t>Июнь</t>
        </is>
      </c>
      <c r="G20" s="239" t="inlineStr">
        <is>
          <t>Июль</t>
        </is>
      </c>
      <c r="H20" s="239" t="inlineStr">
        <is>
          <t>Август</t>
        </is>
      </c>
      <c r="I20" s="271" t="n"/>
      <c r="J20" s="271" t="n"/>
      <c r="K20" s="271" t="n"/>
      <c r="L20" s="271" t="n"/>
      <c r="M20" s="271" t="n"/>
      <c r="N20" s="271" t="n"/>
    </row>
    <row r="21" ht="48" customHeight="1">
      <c r="A21" s="271" t="n"/>
      <c r="B21" s="274" t="inlineStr">
        <is>
          <t>Тимлид</t>
        </is>
      </c>
      <c r="C21" s="274" t="inlineStr">
        <is>
          <t>Блохина Елизавета</t>
        </is>
      </c>
      <c r="D21" s="263" t="inlineStr">
        <is>
          <t>Скорая помощь — запуск; старт 1С-ЭПД</t>
        </is>
      </c>
      <c r="E21" s="263" t="inlineStr">
        <is>
          <t>1С-ЭПД: 22/22, передан в тираж</t>
        </is>
      </c>
      <c r="F21" s="263" t="inlineStr">
        <is>
          <t>1С-ЭПД на поддержке; Доки / Доки.логистика — карта проекта</t>
        </is>
      </c>
      <c r="G21" s="263" t="inlineStr">
        <is>
          <t>Доки / Доки.логистика — частичная передача (2 гипотезы); Кабинет сотрудника в работе</t>
        </is>
      </c>
      <c r="H21" s="263" t="inlineStr">
        <is>
          <t>В работе: Кабинет сотрудника, Доки / Доки.логистика, Smartway, Блиц.запись; 1С-ЭПД на поддержке</t>
        </is>
      </c>
      <c r="I21" s="271" t="n"/>
      <c r="J21" s="271" t="n"/>
      <c r="K21" s="271" t="n"/>
      <c r="L21" s="271" t="n"/>
      <c r="M21" s="271" t="n"/>
      <c r="N21" s="271" t="n"/>
    </row>
    <row r="22" ht="48" customHeight="1">
      <c r="A22" s="271" t="n"/>
      <c r="B22" s="274" t="inlineStr">
        <is>
          <t>Старший менеджер</t>
        </is>
      </c>
      <c r="C22" s="274" t="inlineStr">
        <is>
          <t>Юлиана Юнусова</t>
        </is>
      </c>
      <c r="D22" s="263" t="inlineStr">
        <is>
          <t>Скорая помощь 8 продаж; 1С-ЭПД: звонки 352, сделки 45, результат 10; скрипт 100%</t>
        </is>
      </c>
      <c r="E22" s="263" t="inlineStr">
        <is>
          <t>1С-ЭПД: оплаты 16; звонки 318, сделки 18; скрипт 100%</t>
        </is>
      </c>
      <c r="F22" s="263" t="inlineStr">
        <is>
          <t>1С-ЭПД поддержка + Доки / Доки.логистика: звонки 211, сделки 19, подключения 1; скрипт 100%</t>
        </is>
      </c>
      <c r="G22" s="263" t="inlineStr">
        <is>
          <t>Кабинет сотрудника 15 демо + Доки / Доки.логистика 4 подключения; звонки 433, сделки 32; скрипт 100%</t>
        </is>
      </c>
      <c r="H22" s="263" t="inlineStr">
        <is>
          <t>Кабинет сотрудника 8 демо, Доки / Доки.логистика 9 подключений, Smartway 11 предложений; звонки 352, сделки 15; скрипт 100%</t>
        </is>
      </c>
      <c r="I22" s="271" t="n"/>
      <c r="J22" s="271" t="n"/>
      <c r="K22" s="271" t="n"/>
      <c r="L22" s="271" t="n"/>
      <c r="M22" s="271" t="n"/>
      <c r="N22" s="271" t="n"/>
    </row>
    <row r="23" ht="48" customHeight="1">
      <c r="A23" s="271" t="n"/>
      <c r="B23" s="274" t="inlineStr">
        <is>
          <t>Менеджер</t>
        </is>
      </c>
      <c r="C23" s="274" t="inlineStr">
        <is>
          <t>Оглоблина Софья</t>
        </is>
      </c>
      <c r="D23" s="263" t="inlineStr">
        <is>
          <t>1С-ЭПД: звонки 286, сделки 3, результат 0; скрипт 80%</t>
        </is>
      </c>
      <c r="E23" s="263" t="inlineStr">
        <is>
          <t>1С-ЭПД: оплаты 6; звонки 338, сделки 7; скрипт 80%</t>
        </is>
      </c>
      <c r="F23" s="263" t="inlineStr">
        <is>
          <t>1С-ЭПД поддержка + Доки / Доки.логистика: звонки 248, сделки 17, подключения 1; скрипт 100%</t>
        </is>
      </c>
      <c r="G23" s="263" t="inlineStr">
        <is>
          <t>Кабинет сотрудника 4 демо + Доки / Доки.логистика 1 подключение; звонки 383, сделки 16; скрипт 100%</t>
        </is>
      </c>
      <c r="H23" s="263" t="inlineStr">
        <is>
          <t>Кабинет сотрудника 2 демо, Доки / Доки.логистика 1 подключение, Smartway 9 предложений; звонки 481, сделки 23; скрипт 100%</t>
        </is>
      </c>
      <c r="I23" s="271" t="n"/>
      <c r="J23" s="271" t="n"/>
      <c r="K23" s="271" t="n"/>
      <c r="L23" s="271" t="n"/>
      <c r="M23" s="271" t="n"/>
      <c r="N23" s="271" t="n"/>
    </row>
    <row r="24" ht="18" customHeight="1">
      <c r="A24" s="271" t="n"/>
      <c r="B24" s="271" t="n"/>
      <c r="C24" s="271" t="n"/>
      <c r="D24" s="271" t="n"/>
      <c r="E24" s="271" t="n"/>
      <c r="F24" s="271" t="n"/>
      <c r="G24" s="271" t="n"/>
      <c r="H24" s="271" t="n"/>
      <c r="I24" s="271" t="n"/>
      <c r="J24" s="271" t="n"/>
      <c r="K24" s="271" t="n"/>
      <c r="L24" s="271" t="n"/>
      <c r="M24" s="271" t="n"/>
      <c r="N24" s="271" t="n"/>
    </row>
    <row r="25" ht="18" customHeight="1">
      <c r="A25" s="271" t="n"/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1" t="n"/>
      <c r="K25" s="271" t="n"/>
      <c r="L25" s="271" t="n"/>
      <c r="M25" s="271" t="n"/>
      <c r="N25" s="271" t="n"/>
    </row>
    <row r="26" ht="22" customHeight="1">
      <c r="A26" s="271" t="n"/>
      <c r="B26" s="272" t="inlineStr">
        <is>
          <t>РЕЕСТР ПРОЕКТОВ</t>
        </is>
      </c>
      <c r="C26" s="95" t="n"/>
      <c r="D26" s="95" t="n"/>
      <c r="E26" s="95" t="n"/>
      <c r="F26" s="95" t="n"/>
      <c r="G26" s="95" t="n"/>
      <c r="H26" s="95" t="n"/>
      <c r="I26" s="271" t="n"/>
      <c r="J26" s="271" t="n"/>
      <c r="K26" s="271" t="n"/>
      <c r="L26" s="271" t="n"/>
      <c r="M26" s="271" t="n"/>
      <c r="N26" s="271" t="n"/>
    </row>
    <row r="27" ht="30" customHeight="1">
      <c r="A27" s="271" t="n"/>
      <c r="B27" s="239" t="inlineStr">
        <is>
          <t>Проект</t>
        </is>
      </c>
      <c r="C27" s="239" t="inlineStr">
        <is>
          <t>Период</t>
        </is>
      </c>
      <c r="D27" s="239" t="inlineStr">
        <is>
          <t>План</t>
        </is>
      </c>
      <c r="E27" s="239" t="inlineStr">
        <is>
          <t>Факт</t>
        </is>
      </c>
      <c r="F27" s="239" t="inlineStr">
        <is>
          <t>Выполнение</t>
        </is>
      </c>
      <c r="G27" s="239" t="inlineStr">
        <is>
          <t>Статус</t>
        </is>
      </c>
      <c r="H27" s="239" t="inlineStr">
        <is>
          <t>Показатель</t>
        </is>
      </c>
      <c r="I27" s="271" t="n"/>
      <c r="J27" s="271" t="n"/>
      <c r="K27" s="271" t="n"/>
      <c r="L27" s="271" t="n"/>
      <c r="M27" s="271" t="n"/>
      <c r="N27" s="271" t="n"/>
    </row>
    <row r="28" ht="22" customHeight="1">
      <c r="A28" s="271" t="n"/>
      <c r="B28" s="257" t="inlineStr">
        <is>
          <t>Скорая помощь</t>
        </is>
      </c>
      <c r="C28" s="257" t="inlineStr">
        <is>
          <t>апрель–май</t>
        </is>
      </c>
      <c r="D28" s="263" t="n">
        <v>5</v>
      </c>
      <c r="E28" s="263" t="n">
        <v>8</v>
      </c>
      <c r="F28" s="263" t="inlineStr">
        <is>
          <t>160%</t>
        </is>
      </c>
      <c r="G28" s="257" t="inlineStr">
        <is>
          <t>Передан в тираж</t>
        </is>
      </c>
      <c r="H28" s="257" t="inlineStr">
        <is>
          <t>Продажи</t>
        </is>
      </c>
      <c r="I28" s="271" t="n"/>
      <c r="J28" s="271" t="n"/>
      <c r="K28" s="271" t="n"/>
      <c r="L28" s="271" t="n"/>
      <c r="M28" s="271" t="n"/>
      <c r="N28" s="271" t="n"/>
    </row>
    <row r="29" ht="22" customHeight="1">
      <c r="A29" s="271" t="n"/>
      <c r="B29" s="257" t="inlineStr">
        <is>
          <t>1С-ЭПД</t>
        </is>
      </c>
      <c r="C29" s="257" t="inlineStr">
        <is>
          <t>апрель–май</t>
        </is>
      </c>
      <c r="D29" s="263" t="n">
        <v>22</v>
      </c>
      <c r="E29" s="263" t="n">
        <v>22</v>
      </c>
      <c r="F29" s="263" t="inlineStr">
        <is>
          <t>100%</t>
        </is>
      </c>
      <c r="G29" s="257" t="inlineStr">
        <is>
          <t>Передан в тираж; далее на поддержке</t>
        </is>
      </c>
      <c r="H29" s="257" t="inlineStr">
        <is>
          <t>Продажи</t>
        </is>
      </c>
      <c r="I29" s="271" t="n"/>
      <c r="J29" s="271" t="n"/>
      <c r="K29" s="271" t="n"/>
      <c r="L29" s="271" t="n"/>
      <c r="M29" s="271" t="n"/>
      <c r="N29" s="271" t="n"/>
    </row>
    <row r="30" ht="22" customHeight="1">
      <c r="A30" s="271" t="n"/>
      <c r="B30" s="257" t="inlineStr">
        <is>
          <t>Доки / Доки.логистика</t>
        </is>
      </c>
      <c r="C30" s="257" t="inlineStr">
        <is>
          <t>июнь–август</t>
        </is>
      </c>
      <c r="D30" s="263" t="inlineStr">
        <is>
          <t>4 гипотезы</t>
        </is>
      </c>
      <c r="E30" s="263" t="inlineStr">
        <is>
          <t>2 переданы, 2 в проработке</t>
        </is>
      </c>
      <c r="F30" s="263" t="inlineStr">
        <is>
          <t>50%</t>
        </is>
      </c>
      <c r="G30" s="257" t="inlineStr">
        <is>
          <t>Переданы частично</t>
        </is>
      </c>
      <c r="H30" s="257" t="inlineStr">
        <is>
          <t>Продуктовые гипотезы</t>
        </is>
      </c>
      <c r="I30" s="271" t="n"/>
      <c r="J30" s="271" t="n"/>
      <c r="K30" s="271" t="n"/>
      <c r="L30" s="271" t="n"/>
      <c r="M30" s="271" t="n"/>
      <c r="N30" s="271" t="n"/>
    </row>
    <row r="31" ht="22" customHeight="1">
      <c r="A31" s="271" t="n"/>
      <c r="B31" s="257" t="inlineStr">
        <is>
          <t>Кабинет сотрудника</t>
        </is>
      </c>
      <c r="C31" s="257" t="inlineStr">
        <is>
          <t>июль</t>
        </is>
      </c>
      <c r="D31" s="263" t="n">
        <v>30</v>
      </c>
      <c r="E31" s="263" t="n">
        <v>19</v>
      </c>
      <c r="F31" s="263" t="inlineStr">
        <is>
          <t>63%</t>
        </is>
      </c>
      <c r="G31" s="257" t="inlineStr">
        <is>
          <t>В работе</t>
        </is>
      </c>
      <c r="H31" s="257" t="inlineStr">
        <is>
          <t>Демонстрации</t>
        </is>
      </c>
      <c r="I31" s="271" t="n"/>
      <c r="J31" s="271" t="n"/>
      <c r="K31" s="271" t="n"/>
      <c r="L31" s="271" t="n"/>
      <c r="M31" s="271" t="n"/>
      <c r="N31" s="271" t="n"/>
    </row>
    <row r="32" ht="22" customHeight="1">
      <c r="A32" s="271" t="n"/>
      <c r="B32" s="257" t="inlineStr">
        <is>
          <t>Кабинет сотрудника</t>
        </is>
      </c>
      <c r="C32" s="257" t="inlineStr">
        <is>
          <t>август</t>
        </is>
      </c>
      <c r="D32" s="263" t="n">
        <v>30</v>
      </c>
      <c r="E32" s="263" t="n">
        <v>12</v>
      </c>
      <c r="F32" s="263" t="inlineStr">
        <is>
          <t>40%</t>
        </is>
      </c>
      <c r="G32" s="257" t="inlineStr">
        <is>
          <t>В работе</t>
        </is>
      </c>
      <c r="H32" s="257" t="inlineStr">
        <is>
          <t>Демонстрации</t>
        </is>
      </c>
      <c r="I32" s="271" t="n"/>
      <c r="J32" s="271" t="n"/>
      <c r="K32" s="271" t="n"/>
      <c r="L32" s="271" t="n"/>
      <c r="M32" s="271" t="n"/>
      <c r="N32" s="271" t="n"/>
    </row>
    <row r="33" ht="22" customHeight="1">
      <c r="A33" s="271" t="n"/>
      <c r="B33" s="257" t="inlineStr">
        <is>
          <t>Smartway</t>
        </is>
      </c>
      <c r="C33" s="257" t="inlineStr">
        <is>
          <t>август</t>
        </is>
      </c>
      <c r="D33" s="263" t="n">
        <v>30</v>
      </c>
      <c r="E33" s="263" t="n">
        <v>32</v>
      </c>
      <c r="F33" s="263" t="inlineStr">
        <is>
          <t>107%</t>
        </is>
      </c>
      <c r="G33" s="257" t="inlineStr">
        <is>
          <t>В работе</t>
        </is>
      </c>
      <c r="H33" s="257" t="inlineStr">
        <is>
          <t>Предложения</t>
        </is>
      </c>
      <c r="I33" s="271" t="n"/>
      <c r="J33" s="271" t="n"/>
      <c r="K33" s="271" t="n"/>
      <c r="L33" s="271" t="n"/>
      <c r="M33" s="271" t="n"/>
      <c r="N33" s="271" t="n"/>
    </row>
    <row r="34" ht="22" customHeight="1">
      <c r="A34" s="271" t="n"/>
      <c r="B34" s="257" t="inlineStr">
        <is>
          <t>Блиц.запись</t>
        </is>
      </c>
      <c r="C34" s="257" t="inlineStr">
        <is>
          <t>август</t>
        </is>
      </c>
      <c r="D34" s="263" t="inlineStr">
        <is>
          <t>—</t>
        </is>
      </c>
      <c r="E34" s="263" t="inlineStr">
        <is>
          <t>в проработке</t>
        </is>
      </c>
      <c r="F34" s="263" t="inlineStr">
        <is>
          <t>—</t>
        </is>
      </c>
      <c r="G34" s="257" t="inlineStr">
        <is>
          <t>В работе</t>
        </is>
      </c>
      <c r="H34" s="257" t="inlineStr">
        <is>
          <t>Запуск</t>
        </is>
      </c>
      <c r="I34" s="271" t="n"/>
      <c r="J34" s="271" t="n"/>
      <c r="K34" s="271" t="n"/>
      <c r="L34" s="271" t="n"/>
      <c r="M34" s="271" t="n"/>
      <c r="N34" s="271" t="n"/>
    </row>
    <row r="35" ht="18" customHeight="1">
      <c r="A35" s="271" t="n"/>
      <c r="B35" s="271" t="n"/>
      <c r="C35" s="271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1" t="n"/>
      <c r="M35" s="271" t="n"/>
      <c r="N35" s="271" t="n"/>
    </row>
    <row r="36" ht="22" customHeight="1">
      <c r="A36" s="271" t="n"/>
      <c r="B36" s="272" t="inlineStr">
        <is>
          <t>ТОЧКА А — ЭФФЕКТИВНОСТЬ</t>
        </is>
      </c>
      <c r="C36" s="95" t="n"/>
      <c r="D36" s="95" t="n"/>
      <c r="E36" s="95" t="n"/>
      <c r="F36" s="95" t="n"/>
      <c r="G36" s="95" t="n"/>
      <c r="H36" s="95" t="n"/>
      <c r="I36" s="271" t="n"/>
      <c r="J36" s="271" t="n"/>
      <c r="K36" s="271" t="n"/>
      <c r="L36" s="271" t="n"/>
      <c r="M36" s="271" t="n"/>
      <c r="N36" s="271" t="n"/>
    </row>
    <row r="37" ht="18" customHeight="1">
      <c r="A37" s="271" t="n"/>
      <c r="B37" s="271" t="inlineStr">
        <is>
          <t>Скорость и качество запуска, апрель–август 2026</t>
        </is>
      </c>
      <c r="C37" s="95" t="n"/>
      <c r="D37" s="95" t="n"/>
      <c r="E37" s="95" t="n"/>
      <c r="F37" s="95" t="n"/>
      <c r="G37" s="95" t="n"/>
      <c r="H37" s="95" t="n"/>
      <c r="I37" s="271" t="n"/>
      <c r="J37" s="271" t="n"/>
      <c r="K37" s="271" t="n"/>
      <c r="L37" s="271" t="n"/>
      <c r="M37" s="271" t="n"/>
      <c r="N37" s="271" t="n"/>
    </row>
    <row r="38" ht="30" customHeight="1">
      <c r="A38" s="271" t="n"/>
      <c r="B38" s="239" t="inlineStr">
        <is>
          <t>Показатель</t>
        </is>
      </c>
      <c r="C38" s="239" t="inlineStr">
        <is>
          <t>Для кого</t>
        </is>
      </c>
      <c r="D38" s="239" t="inlineStr">
        <is>
          <t>Единица</t>
        </is>
      </c>
      <c r="E38" s="239" t="inlineStr">
        <is>
          <t>Норматив</t>
        </is>
      </c>
      <c r="F38" s="239" t="inlineStr">
        <is>
          <t>Факт</t>
        </is>
      </c>
      <c r="G38" s="239" t="inlineStr">
        <is>
          <t>Оценка</t>
        </is>
      </c>
      <c r="H38" s="271" t="n"/>
      <c r="I38" s="271" t="n"/>
      <c r="J38" s="271" t="n"/>
      <c r="K38" s="271" t="n"/>
      <c r="L38" s="271" t="n"/>
      <c r="M38" s="271" t="n"/>
      <c r="N38" s="271" t="n"/>
    </row>
    <row r="39" ht="32" customHeight="1">
      <c r="A39" s="271" t="n"/>
      <c r="B39" s="257" t="inlineStr">
        <is>
          <t>Результативные разговоры</t>
        </is>
      </c>
      <c r="C39" s="257" t="inlineStr">
        <is>
          <t>Менеджеры</t>
        </is>
      </c>
      <c r="D39" s="257" t="inlineStr">
        <is>
          <t>разг./день</t>
        </is>
      </c>
      <c r="E39" s="257" t="inlineStr">
        <is>
          <t>&gt;20</t>
        </is>
      </c>
      <c r="F39" s="263" t="inlineStr">
        <is>
          <t>18,2 (Юлиана 18,0; Софья 19,4; Данил август 18,8)</t>
        </is>
      </c>
      <c r="G39" s="257" t="inlineStr">
        <is>
          <t>Ниже норматива</t>
        </is>
      </c>
      <c r="H39" s="271" t="n"/>
      <c r="I39" s="271" t="n"/>
      <c r="J39" s="271" t="n"/>
      <c r="K39" s="271" t="n"/>
      <c r="L39" s="271" t="n"/>
      <c r="M39" s="271" t="n"/>
      <c r="N39" s="271" t="n"/>
    </row>
    <row r="40" ht="32" customHeight="1">
      <c r="A40" s="271" t="n"/>
      <c r="B40" s="257" t="inlineStr">
        <is>
          <t>Соблюдение скрипта</t>
        </is>
      </c>
      <c r="C40" s="257" t="inlineStr">
        <is>
          <t>Менеджеры</t>
        </is>
      </c>
      <c r="D40" s="257" t="inlineStr">
        <is>
          <t>%</t>
        </is>
      </c>
      <c r="E40" s="257" t="inlineStr">
        <is>
          <t>100%</t>
        </is>
      </c>
      <c r="F40" s="263" t="inlineStr">
        <is>
          <t>Юлиана 100%; Софья 80% (апр–май), 100% (июнь–август); Данил 100% (август)</t>
        </is>
      </c>
      <c r="G40" s="257" t="inlineStr">
        <is>
          <t>На нормативе с июня</t>
        </is>
      </c>
      <c r="H40" s="271" t="n"/>
      <c r="I40" s="271" t="n"/>
      <c r="J40" s="271" t="n"/>
      <c r="K40" s="271" t="n"/>
      <c r="L40" s="271" t="n"/>
      <c r="M40" s="271" t="n"/>
      <c r="N40" s="271" t="n"/>
    </row>
    <row r="41" ht="32" customHeight="1">
      <c r="A41" s="271" t="n"/>
      <c r="B41" s="257" t="inlineStr">
        <is>
          <t>Скорость включения в проект</t>
        </is>
      </c>
      <c r="C41" s="257" t="inlineStr">
        <is>
          <t>Все</t>
        </is>
      </c>
      <c r="D41" s="257" t="inlineStr">
        <is>
          <t>дней</t>
        </is>
      </c>
      <c r="E41" s="257" t="inlineStr">
        <is>
          <t>По сроку проекта</t>
        </is>
      </c>
      <c r="F41" s="263" t="inlineStr">
        <is>
          <t>1 день (медиана)</t>
        </is>
      </c>
      <c r="G41" s="257" t="inlineStr">
        <is>
          <t>В срок</t>
        </is>
      </c>
      <c r="H41" s="271" t="n"/>
      <c r="I41" s="271" t="n"/>
      <c r="J41" s="271" t="n"/>
      <c r="K41" s="271" t="n"/>
      <c r="L41" s="271" t="n"/>
      <c r="M41" s="271" t="n"/>
      <c r="N41" s="271" t="n"/>
    </row>
    <row r="42" ht="32" customHeight="1">
      <c r="A42" s="271" t="n"/>
      <c r="B42" s="257" t="inlineStr">
        <is>
          <t>Срок запуска проекта</t>
        </is>
      </c>
      <c r="C42" s="257" t="inlineStr">
        <is>
          <t>Тимлид</t>
        </is>
      </c>
      <c r="D42" s="257" t="inlineStr">
        <is>
          <t>дней</t>
        </is>
      </c>
      <c r="E42" s="257" t="inlineStr">
        <is>
          <t>По плану проекта</t>
        </is>
      </c>
      <c r="F42" s="263" t="inlineStr">
        <is>
          <t>Скорая помощь и 1С-ЭПД — в срок передачи</t>
        </is>
      </c>
      <c r="G42" s="257" t="inlineStr">
        <is>
          <t>В срок</t>
        </is>
      </c>
      <c r="H42" s="271" t="n"/>
      <c r="I42" s="271" t="n"/>
      <c r="J42" s="271" t="n"/>
      <c r="K42" s="271" t="n"/>
      <c r="L42" s="271" t="n"/>
      <c r="M42" s="271" t="n"/>
      <c r="N42" s="271" t="n"/>
    </row>
    <row r="43" ht="32" customHeight="1">
      <c r="A43" s="271" t="n"/>
      <c r="B43" s="257" t="inlineStr">
        <is>
          <t>Полнота продуктового пакета</t>
        </is>
      </c>
      <c r="C43" s="257" t="inlineStr">
        <is>
          <t>Тимлид</t>
        </is>
      </c>
      <c r="D43" s="257" t="inlineStr">
        <is>
          <t>%</t>
        </is>
      </c>
      <c r="E43" s="257" t="inlineStr">
        <is>
          <t>100%</t>
        </is>
      </c>
      <c r="F43" s="263" t="inlineStr">
        <is>
          <t>Скорая помощь и 1С-ЭПД — 100%; Доки — 50% гипотез; текущие запуски в сборке</t>
        </is>
      </c>
      <c r="G43" s="257" t="inlineStr">
        <is>
          <t>Частично</t>
        </is>
      </c>
      <c r="H43" s="271" t="n"/>
      <c r="I43" s="271" t="n"/>
      <c r="J43" s="271" t="n"/>
      <c r="K43" s="271" t="n"/>
      <c r="L43" s="271" t="n"/>
      <c r="M43" s="271" t="n"/>
      <c r="N43" s="271" t="n"/>
    </row>
    <row r="44" ht="32" customHeight="1">
      <c r="A44" s="271" t="n"/>
      <c r="B44" s="257" t="inlineStr">
        <is>
          <t>Доля проектов, переданных в тираж</t>
        </is>
      </c>
      <c r="C44" s="257" t="inlineStr">
        <is>
          <t>Тимлид</t>
        </is>
      </c>
      <c r="D44" s="257" t="inlineStr">
        <is>
          <t>%</t>
        </is>
      </c>
      <c r="E44" s="257" t="inlineStr">
        <is>
          <t>По портфелю периода</t>
        </is>
      </c>
      <c r="F44" s="263" t="inlineStr">
        <is>
          <t>2 из 6 полностью (Скорая помощь, 1С-ЭПД); Доки частично (2/4 гипотезы)</t>
        </is>
      </c>
      <c r="G44" s="257" t="inlineStr">
        <is>
          <t>Частично</t>
        </is>
      </c>
      <c r="H44" s="271" t="n"/>
      <c r="I44" s="271" t="n"/>
      <c r="J44" s="271" t="n"/>
      <c r="K44" s="271" t="n"/>
      <c r="L44" s="271" t="n"/>
      <c r="M44" s="271" t="n"/>
      <c r="N44" s="271" t="n"/>
    </row>
    <row r="45" ht="32" customHeight="1">
      <c r="A45" s="271" t="n"/>
      <c r="B45" s="257" t="inlineStr">
        <is>
          <t>Скорость проверки гипотез</t>
        </is>
      </c>
      <c r="C45" s="257" t="inlineStr">
        <is>
          <t>Тимлид / старший</t>
        </is>
      </c>
      <c r="D45" s="257" t="inlineStr">
        <is>
          <t>дней/цикл</t>
        </is>
      </c>
      <c r="E45" s="257" t="inlineStr">
        <is>
          <t>По паспорту</t>
        </is>
      </c>
      <c r="F45" s="263" t="inlineStr">
        <is>
          <t>14 дней</t>
        </is>
      </c>
      <c r="G45" s="257" t="inlineStr">
        <is>
          <t>По контуру</t>
        </is>
      </c>
      <c r="H45" s="271" t="n"/>
      <c r="I45" s="271" t="n"/>
      <c r="J45" s="271" t="n"/>
      <c r="K45" s="271" t="n"/>
      <c r="L45" s="271" t="n"/>
      <c r="M45" s="271" t="n"/>
      <c r="N45" s="271" t="n"/>
    </row>
    <row r="46" ht="32" customHeight="1">
      <c r="A46" s="271" t="n"/>
      <c r="B46" s="257" t="inlineStr">
        <is>
          <t>Качество обратной связи</t>
        </is>
      </c>
      <c r="C46" s="257" t="inlineStr">
        <is>
          <t>Все</t>
        </is>
      </c>
      <c r="D46" s="257" t="inlineStr">
        <is>
          <t>%</t>
        </is>
      </c>
      <c r="E46" s="257" t="inlineStr">
        <is>
          <t>100%</t>
        </is>
      </c>
      <c r="F46" s="263" t="inlineStr">
        <is>
          <t>94%</t>
        </is>
      </c>
      <c r="G46" s="257" t="inlineStr">
        <is>
          <t>Ниже норматива</t>
        </is>
      </c>
      <c r="H46" s="271" t="n"/>
      <c r="I46" s="271" t="n"/>
      <c r="J46" s="271" t="n"/>
      <c r="K46" s="271" t="n"/>
      <c r="L46" s="271" t="n"/>
      <c r="M46" s="271" t="n"/>
      <c r="N46" s="271" t="n"/>
    </row>
    <row r="47" ht="18" customHeight="1">
      <c r="A47" s="271" t="n"/>
      <c r="B47" s="271" t="n"/>
      <c r="C47" s="271" t="n"/>
      <c r="D47" s="271" t="n"/>
      <c r="E47" s="271" t="n"/>
      <c r="F47" s="271" t="n"/>
      <c r="G47" s="271" t="n"/>
      <c r="H47" s="271" t="n"/>
      <c r="I47" s="271" t="n"/>
      <c r="J47" s="271" t="n"/>
      <c r="K47" s="271" t="n"/>
      <c r="L47" s="271" t="n"/>
      <c r="M47" s="271" t="n"/>
      <c r="N47" s="271" t="n"/>
    </row>
    <row r="48" ht="22" customHeight="1">
      <c r="A48" s="271" t="n"/>
      <c r="B48" s="272" t="inlineStr">
        <is>
          <t>ЕЖЕМЕСЯЧНЫЕ ПОКАЗАТЕЛИ МЕНЕДЖЕРОВ — апрель–август 2026</t>
        </is>
      </c>
      <c r="C48" s="95" t="n"/>
      <c r="D48" s="95" t="n"/>
      <c r="E48" s="95" t="n"/>
      <c r="F48" s="95" t="n"/>
      <c r="G48" s="95" t="n"/>
      <c r="H48" s="95" t="n"/>
      <c r="I48" s="95" t="n"/>
      <c r="J48" s="95" t="n"/>
      <c r="K48" s="95" t="n"/>
      <c r="L48" s="271" t="n"/>
      <c r="M48" s="271" t="n"/>
      <c r="N48" s="271" t="n"/>
    </row>
    <row r="49" ht="18" customHeight="1">
      <c r="A49" s="271" t="n"/>
      <c r="B49" s="271" t="inlineStr">
        <is>
          <t>Конверсии считаются формулами в строке.</t>
        </is>
      </c>
      <c r="C49" s="95" t="n"/>
      <c r="D49" s="95" t="n"/>
      <c r="E49" s="95" t="n"/>
      <c r="F49" s="95" t="n"/>
      <c r="G49" s="95" t="n"/>
      <c r="H49" s="95" t="n"/>
      <c r="I49" s="95" t="n"/>
      <c r="J49" s="95" t="n"/>
      <c r="K49" s="95" t="n"/>
      <c r="L49" s="271" t="n"/>
      <c r="M49" s="271" t="n"/>
      <c r="N49" s="271" t="n"/>
    </row>
    <row r="50" ht="30" customHeight="1">
      <c r="A50" s="271" t="n"/>
      <c r="B50" s="239" t="inlineStr">
        <is>
          <t>Месяц</t>
        </is>
      </c>
      <c r="C50" s="239" t="inlineStr">
        <is>
          <t>ФИ</t>
        </is>
      </c>
      <c r="D50" s="239" t="inlineStr">
        <is>
          <t>План звонков</t>
        </is>
      </c>
      <c r="E50" s="239" t="inlineStr">
        <is>
          <t>Факт звонков</t>
        </is>
      </c>
      <c r="F50" s="239" t="inlineStr">
        <is>
          <t>Выполнение</t>
        </is>
      </c>
      <c r="G50" s="239" t="inlineStr">
        <is>
          <t>Сделки</t>
        </is>
      </c>
      <c r="H50" s="239" t="inlineStr">
        <is>
          <t>Звонок → сделка</t>
        </is>
      </c>
      <c r="I50" s="239" t="inlineStr">
        <is>
          <t>Результат KPI</t>
        </is>
      </c>
      <c r="J50" s="239" t="inlineStr">
        <is>
          <t>Сделка → результат</t>
        </is>
      </c>
      <c r="K50" s="239" t="inlineStr">
        <is>
          <t>Скрипт</t>
        </is>
      </c>
      <c r="L50" s="271" t="n"/>
      <c r="M50" s="271" t="n"/>
      <c r="N50" s="271" t="n"/>
    </row>
    <row r="51" ht="24" customHeight="1">
      <c r="A51" s="271" t="n"/>
      <c r="B51" s="274" t="inlineStr">
        <is>
          <t>Апрель</t>
        </is>
      </c>
      <c r="C51" s="274" t="inlineStr">
        <is>
          <t>Юлиана Юнусова</t>
        </is>
      </c>
      <c r="D51" s="258" t="n">
        <v>210</v>
      </c>
      <c r="E51" s="258" t="n">
        <v>352</v>
      </c>
      <c r="F51" s="259">
        <f>IF(OR(D51="",E51="",D51=0),"",E51/D51)</f>
        <v/>
      </c>
      <c r="G51" s="258" t="n">
        <v>45</v>
      </c>
      <c r="H51" s="259">
        <f>IF(OR(E51="",G51="",E51=0),"",G51/E51)</f>
        <v/>
      </c>
      <c r="I51" s="258" t="n">
        <v>10</v>
      </c>
      <c r="J51" s="259">
        <f>IF(OR(G51="",I51="",G51=0),"",I51/G51)</f>
        <v/>
      </c>
      <c r="K51" s="275" t="n">
        <v>1</v>
      </c>
      <c r="L51" s="271" t="n"/>
      <c r="M51" s="271" t="n"/>
      <c r="N51" s="271" t="n"/>
    </row>
    <row r="52" ht="24" customHeight="1">
      <c r="A52" s="271" t="n"/>
      <c r="B52" s="274" t="inlineStr">
        <is>
          <t>Апрель</t>
        </is>
      </c>
      <c r="C52" s="274" t="inlineStr">
        <is>
          <t>Оглоблина Софья</t>
        </is>
      </c>
      <c r="D52" s="258" t="n">
        <v>210</v>
      </c>
      <c r="E52" s="258" t="n">
        <v>286</v>
      </c>
      <c r="F52" s="259">
        <f>IF(OR(D52="",E52="",D52=0),"",E52/D52)</f>
        <v/>
      </c>
      <c r="G52" s="258" t="n">
        <v>3</v>
      </c>
      <c r="H52" s="259">
        <f>IF(OR(E52="",G52="",E52=0),"",G52/E52)</f>
        <v/>
      </c>
      <c r="I52" s="258" t="n">
        <v>0</v>
      </c>
      <c r="J52" s="259">
        <f>IF(OR(G52="",I52="",G52=0),"",I52/G52)</f>
        <v/>
      </c>
      <c r="K52" s="275" t="n">
        <v>0.8</v>
      </c>
      <c r="L52" s="271" t="n"/>
      <c r="M52" s="271" t="n"/>
      <c r="N52" s="271" t="n"/>
    </row>
    <row r="53" ht="24" customHeight="1">
      <c r="A53" s="271" t="n"/>
      <c r="B53" s="274" t="inlineStr">
        <is>
          <t>Май</t>
        </is>
      </c>
      <c r="C53" s="274" t="inlineStr">
        <is>
          <t>Юлиана Юнусова</t>
        </is>
      </c>
      <c r="D53" s="258" t="n">
        <v>210</v>
      </c>
      <c r="E53" s="258" t="n">
        <v>318</v>
      </c>
      <c r="F53" s="259">
        <f>IF(OR(D53="",E53="",D53=0),"",E53/D53)</f>
        <v/>
      </c>
      <c r="G53" s="258" t="n">
        <v>18</v>
      </c>
      <c r="H53" s="259">
        <f>IF(OR(E53="",G53="",E53=0),"",G53/E53)</f>
        <v/>
      </c>
      <c r="I53" s="258" t="n">
        <v>16</v>
      </c>
      <c r="J53" s="259">
        <f>IF(OR(G53="",I53="",G53=0),"",I53/G53)</f>
        <v/>
      </c>
      <c r="K53" s="275" t="n">
        <v>1</v>
      </c>
      <c r="L53" s="271" t="n"/>
      <c r="M53" s="271" t="n"/>
      <c r="N53" s="271" t="n"/>
    </row>
    <row r="54" ht="24" customHeight="1">
      <c r="A54" s="271" t="n"/>
      <c r="B54" s="274" t="inlineStr">
        <is>
          <t>Май</t>
        </is>
      </c>
      <c r="C54" s="274" t="inlineStr">
        <is>
          <t>Оглоблина Софья</t>
        </is>
      </c>
      <c r="D54" s="258" t="n">
        <v>210</v>
      </c>
      <c r="E54" s="258" t="n">
        <v>338</v>
      </c>
      <c r="F54" s="259">
        <f>IF(OR(D54="",E54="",D54=0),"",E54/D54)</f>
        <v/>
      </c>
      <c r="G54" s="258" t="n">
        <v>7</v>
      </c>
      <c r="H54" s="259">
        <f>IF(OR(E54="",G54="",E54=0),"",G54/E54)</f>
        <v/>
      </c>
      <c r="I54" s="258" t="n">
        <v>6</v>
      </c>
      <c r="J54" s="259">
        <f>IF(OR(G54="",I54="",G54=0),"",I54/G54)</f>
        <v/>
      </c>
      <c r="K54" s="275" t="n">
        <v>0.8</v>
      </c>
      <c r="L54" s="271" t="n"/>
      <c r="M54" s="271" t="n"/>
      <c r="N54" s="271" t="n"/>
    </row>
    <row r="55" ht="24" customHeight="1">
      <c r="A55" s="271" t="n"/>
      <c r="B55" s="274" t="inlineStr">
        <is>
          <t>Июнь</t>
        </is>
      </c>
      <c r="C55" s="274" t="inlineStr">
        <is>
          <t>Юлиана Юнусова</t>
        </is>
      </c>
      <c r="D55" s="258" t="n">
        <v>210</v>
      </c>
      <c r="E55" s="258" t="n">
        <v>211</v>
      </c>
      <c r="F55" s="259">
        <f>IF(OR(D55="",E55="",D55=0),"",E55/D55)</f>
        <v/>
      </c>
      <c r="G55" s="258" t="n">
        <v>19</v>
      </c>
      <c r="H55" s="259">
        <f>IF(OR(E55="",G55="",E55=0),"",G55/E55)</f>
        <v/>
      </c>
      <c r="I55" s="258" t="n">
        <v>6</v>
      </c>
      <c r="J55" s="259">
        <f>IF(OR(G55="",I55="",G55=0),"",I55/G55)</f>
        <v/>
      </c>
      <c r="K55" s="275" t="n">
        <v>1</v>
      </c>
      <c r="L55" s="271" t="n"/>
      <c r="M55" s="271" t="n"/>
      <c r="N55" s="271" t="n"/>
    </row>
    <row r="56" ht="24" customHeight="1">
      <c r="A56" s="271" t="n"/>
      <c r="B56" s="274" t="inlineStr">
        <is>
          <t>Июнь</t>
        </is>
      </c>
      <c r="C56" s="274" t="inlineStr">
        <is>
          <t>Оглоблина Софья</t>
        </is>
      </c>
      <c r="D56" s="258" t="n">
        <v>210</v>
      </c>
      <c r="E56" s="258" t="n">
        <v>248</v>
      </c>
      <c r="F56" s="259">
        <f>IF(OR(D56="",E56="",D56=0),"",E56/D56)</f>
        <v/>
      </c>
      <c r="G56" s="258" t="n">
        <v>17</v>
      </c>
      <c r="H56" s="259">
        <f>IF(OR(E56="",G56="",E56=0),"",G56/E56)</f>
        <v/>
      </c>
      <c r="I56" s="258" t="n">
        <v>3</v>
      </c>
      <c r="J56" s="259">
        <f>IF(OR(G56="",I56="",G56=0),"",I56/G56)</f>
        <v/>
      </c>
      <c r="K56" s="275" t="n">
        <v>1</v>
      </c>
      <c r="L56" s="271" t="n"/>
      <c r="M56" s="271" t="n"/>
      <c r="N56" s="271" t="n"/>
    </row>
    <row r="57" ht="24" customHeight="1">
      <c r="A57" s="271" t="n"/>
      <c r="B57" s="274" t="inlineStr">
        <is>
          <t>Июль</t>
        </is>
      </c>
      <c r="C57" s="274" t="inlineStr">
        <is>
          <t>Юлиана Юнусова</t>
        </is>
      </c>
      <c r="D57" s="258" t="n">
        <v>350</v>
      </c>
      <c r="E57" s="258" t="n">
        <v>433</v>
      </c>
      <c r="F57" s="259">
        <f>IF(OR(D57="",E57="",D57=0),"",E57/D57)</f>
        <v/>
      </c>
      <c r="G57" s="258" t="n">
        <v>32</v>
      </c>
      <c r="H57" s="259">
        <f>IF(OR(E57="",G57="",E57=0),"",G57/E57)</f>
        <v/>
      </c>
      <c r="I57" s="258" t="n">
        <v>19</v>
      </c>
      <c r="J57" s="259">
        <f>IF(OR(G57="",I57="",G57=0),"",I57/G57)</f>
        <v/>
      </c>
      <c r="K57" s="275" t="n">
        <v>1</v>
      </c>
      <c r="L57" s="271" t="n"/>
      <c r="M57" s="271" t="n"/>
      <c r="N57" s="271" t="n"/>
    </row>
    <row r="58" ht="24" customHeight="1">
      <c r="A58" s="271" t="n"/>
      <c r="B58" s="274" t="inlineStr">
        <is>
          <t>Июль</t>
        </is>
      </c>
      <c r="C58" s="274" t="inlineStr">
        <is>
          <t>Оглоблина Софья</t>
        </is>
      </c>
      <c r="D58" s="258" t="n">
        <v>350</v>
      </c>
      <c r="E58" s="258" t="n">
        <v>383</v>
      </c>
      <c r="F58" s="259">
        <f>IF(OR(D58="",E58="",D58=0),"",E58/D58)</f>
        <v/>
      </c>
      <c r="G58" s="258" t="n">
        <v>16</v>
      </c>
      <c r="H58" s="259">
        <f>IF(OR(E58="",G58="",E58=0),"",G58/E58)</f>
        <v/>
      </c>
      <c r="I58" s="258" t="n">
        <v>5</v>
      </c>
      <c r="J58" s="259">
        <f>IF(OR(G58="",I58="",G58=0),"",I58/G58)</f>
        <v/>
      </c>
      <c r="K58" s="275" t="n">
        <v>1</v>
      </c>
      <c r="L58" s="271" t="n"/>
      <c r="M58" s="271" t="n"/>
      <c r="N58" s="271" t="n"/>
    </row>
    <row r="59" ht="24" customHeight="1">
      <c r="A59" s="271" t="n"/>
      <c r="B59" s="274" t="inlineStr">
        <is>
          <t>Август</t>
        </is>
      </c>
      <c r="C59" s="274" t="inlineStr">
        <is>
          <t>Юлиана Юнусова</t>
        </is>
      </c>
      <c r="D59" s="258" t="n">
        <v>350</v>
      </c>
      <c r="E59" s="258" t="n">
        <v>352</v>
      </c>
      <c r="F59" s="259">
        <f>IF(OR(D59="",E59="",D59=0),"",E59/D59)</f>
        <v/>
      </c>
      <c r="G59" s="258" t="n">
        <v>15</v>
      </c>
      <c r="H59" s="259">
        <f>IF(OR(E59="",G59="",E59=0),"",G59/E59)</f>
        <v/>
      </c>
      <c r="I59" s="258" t="n">
        <v>28</v>
      </c>
      <c r="J59" s="259">
        <f>IF(OR(G59="",I59="",G59=0),"",I59/G59)</f>
        <v/>
      </c>
      <c r="K59" s="275" t="n">
        <v>1</v>
      </c>
      <c r="L59" s="271" t="n"/>
      <c r="M59" s="271" t="n"/>
      <c r="N59" s="271" t="n"/>
    </row>
    <row r="60" ht="24" customHeight="1">
      <c r="A60" s="271" t="n"/>
      <c r="B60" s="274" t="inlineStr">
        <is>
          <t>Август</t>
        </is>
      </c>
      <c r="C60" s="274" t="inlineStr">
        <is>
          <t>Оглоблина Софья</t>
        </is>
      </c>
      <c r="D60" s="258" t="n">
        <v>350</v>
      </c>
      <c r="E60" s="258" t="n">
        <v>481</v>
      </c>
      <c r="F60" s="259">
        <f>IF(OR(D60="",E60="",D60=0),"",E60/D60)</f>
        <v/>
      </c>
      <c r="G60" s="258" t="n">
        <v>23</v>
      </c>
      <c r="H60" s="259">
        <f>IF(OR(E60="",G60="",E60=0),"",G60/E60)</f>
        <v/>
      </c>
      <c r="I60" s="258" t="n">
        <v>12</v>
      </c>
      <c r="J60" s="259">
        <f>IF(OR(G60="",I60="",G60=0),"",I60/G60)</f>
        <v/>
      </c>
      <c r="K60" s="275" t="n">
        <v>1</v>
      </c>
      <c r="L60" s="271" t="n"/>
      <c r="M60" s="271" t="n"/>
      <c r="N60" s="271" t="n"/>
    </row>
    <row r="61" ht="24" customHeight="1">
      <c r="A61" s="271" t="n"/>
      <c r="B61" s="274" t="inlineStr">
        <is>
          <t>Август</t>
        </is>
      </c>
      <c r="C61" s="274" t="inlineStr">
        <is>
          <t>Кургузов Данил</t>
        </is>
      </c>
      <c r="D61" s="258" t="n">
        <v>350</v>
      </c>
      <c r="E61" s="258" t="n">
        <v>395</v>
      </c>
      <c r="F61" s="259">
        <f>IF(OR(D61="",E61="",D61=0),"",E61/D61)</f>
        <v/>
      </c>
      <c r="G61" s="258" t="n">
        <v>18</v>
      </c>
      <c r="H61" s="259">
        <f>IF(OR(E61="",G61="",E61=0),"",G61/E61)</f>
        <v/>
      </c>
      <c r="I61" s="258" t="n">
        <v>15</v>
      </c>
      <c r="J61" s="259">
        <f>IF(OR(G61="",I61="",G61=0),"",I61/G61)</f>
        <v/>
      </c>
      <c r="K61" s="275" t="n">
        <v>1</v>
      </c>
      <c r="L61" s="271" t="n"/>
      <c r="M61" s="271" t="n"/>
      <c r="N61" s="271" t="n"/>
    </row>
    <row r="62" ht="18" customHeight="1">
      <c r="A62" s="271" t="n"/>
      <c r="B62" s="271" t="n"/>
      <c r="C62" s="271" t="n"/>
      <c r="D62" s="271" t="n"/>
      <c r="E62" s="271" t="n"/>
      <c r="F62" s="271" t="n"/>
      <c r="G62" s="271" t="n"/>
      <c r="H62" s="271" t="n"/>
      <c r="I62" s="271" t="n"/>
      <c r="J62" s="271" t="n"/>
      <c r="K62" s="271" t="n"/>
      <c r="L62" s="271" t="n"/>
      <c r="M62" s="271" t="n"/>
      <c r="N62" s="271" t="n"/>
    </row>
    <row r="63" ht="22" customHeight="1">
      <c r="A63" s="271" t="n"/>
      <c r="B63" s="272" t="inlineStr">
        <is>
          <t>ПОКАЗАТЕЛИ ПО ПРОЕКТАМ И МЕНЕДЖЕРАМ</t>
        </is>
      </c>
      <c r="C63" s="95" t="n"/>
      <c r="D63" s="95" t="n"/>
      <c r="E63" s="95" t="n"/>
      <c r="F63" s="95" t="n"/>
      <c r="G63" s="95" t="n"/>
      <c r="H63" s="95" t="n"/>
      <c r="I63" s="95" t="n"/>
      <c r="J63" s="95" t="n"/>
      <c r="K63" s="95" t="n"/>
      <c r="L63" s="95" t="n"/>
      <c r="M63" s="271" t="n"/>
      <c r="N63" s="271" t="n"/>
    </row>
    <row r="64" ht="18" customHeight="1">
      <c r="A64" s="271" t="n"/>
      <c r="B64" s="271" t="inlineStr">
        <is>
          <t>Сумма звонков и сделок по проектам равна месячной строке сотрудника.</t>
        </is>
      </c>
      <c r="C64" s="95" t="n"/>
      <c r="D64" s="95" t="n"/>
      <c r="E64" s="95" t="n"/>
      <c r="F64" s="95" t="n"/>
      <c r="G64" s="95" t="n"/>
      <c r="H64" s="95" t="n"/>
      <c r="I64" s="95" t="n"/>
      <c r="J64" s="95" t="n"/>
      <c r="K64" s="95" t="n"/>
      <c r="L64" s="95" t="n"/>
      <c r="M64" s="271" t="n"/>
      <c r="N64" s="271" t="n"/>
    </row>
    <row r="65" ht="30" customHeight="1">
      <c r="A65" s="271" t="n"/>
      <c r="B65" s="239" t="inlineStr">
        <is>
          <t>Месяц</t>
        </is>
      </c>
      <c r="C65" s="239" t="inlineStr">
        <is>
          <t>Проект</t>
        </is>
      </c>
      <c r="D65" s="239" t="inlineStr">
        <is>
          <t>Менеджер</t>
        </is>
      </c>
      <c r="E65" s="239" t="inlineStr">
        <is>
          <t>KPI</t>
        </is>
      </c>
      <c r="F65" s="239" t="inlineStr">
        <is>
          <t>План</t>
        </is>
      </c>
      <c r="G65" s="239" t="inlineStr">
        <is>
          <t>Факт</t>
        </is>
      </c>
      <c r="H65" s="239" t="inlineStr">
        <is>
          <t>Выполнение</t>
        </is>
      </c>
      <c r="I65" s="239" t="inlineStr">
        <is>
          <t>Звонки</t>
        </is>
      </c>
      <c r="J65" s="239" t="inlineStr">
        <is>
          <t>Сделки</t>
        </is>
      </c>
      <c r="K65" s="239" t="inlineStr">
        <is>
          <t>Звонок → сделка</t>
        </is>
      </c>
      <c r="L65" s="239" t="inlineStr">
        <is>
          <t>Сделка → результат</t>
        </is>
      </c>
      <c r="M65" s="271" t="n"/>
      <c r="N65" s="271" t="n"/>
    </row>
    <row r="66" ht="22" customHeight="1">
      <c r="A66" s="271" t="n"/>
      <c r="B66" s="257" t="inlineStr">
        <is>
          <t>Апрель</t>
        </is>
      </c>
      <c r="C66" s="257" t="inlineStr">
        <is>
          <t>Скорая помощь</t>
        </is>
      </c>
      <c r="D66" s="257" t="inlineStr">
        <is>
          <t>Юлиана Юнусова</t>
        </is>
      </c>
      <c r="E66" s="257" t="inlineStr">
        <is>
          <t>Продажи</t>
        </is>
      </c>
      <c r="F66" s="258" t="n">
        <v>5</v>
      </c>
      <c r="G66" s="258" t="n">
        <v>8</v>
      </c>
      <c r="H66" s="259">
        <f>IF(OR(F66="",G66="",F66=0),"",G66/F66)</f>
        <v/>
      </c>
      <c r="I66" s="258" t="n">
        <v>220</v>
      </c>
      <c r="J66" s="258" t="n">
        <v>28</v>
      </c>
      <c r="K66" s="259">
        <f>IF(OR(I66="",J66="",I66=0),"",J66/I66)</f>
        <v/>
      </c>
      <c r="L66" s="259">
        <f>IF(OR(J66="",G66="",J66=0),"",G66/J66)</f>
        <v/>
      </c>
      <c r="M66" s="271" t="n"/>
      <c r="N66" s="271" t="n"/>
    </row>
    <row r="67" ht="22" customHeight="1">
      <c r="A67" s="271" t="n"/>
      <c r="B67" s="257" t="inlineStr">
        <is>
          <t>Апрель</t>
        </is>
      </c>
      <c r="C67" s="257" t="inlineStr">
        <is>
          <t>1С-ЭПД</t>
        </is>
      </c>
      <c r="D67" s="257" t="inlineStr">
        <is>
          <t>Юлиана Юнусова</t>
        </is>
      </c>
      <c r="E67" s="257" t="inlineStr">
        <is>
          <t>Продажи</t>
        </is>
      </c>
      <c r="F67" s="258" t="n">
        <v>22</v>
      </c>
      <c r="G67" s="258" t="n">
        <v>2</v>
      </c>
      <c r="H67" s="259">
        <f>IF(OR(F67="",G67="",F67=0),"",G67/F67)</f>
        <v/>
      </c>
      <c r="I67" s="258" t="n">
        <v>132</v>
      </c>
      <c r="J67" s="258" t="n">
        <v>17</v>
      </c>
      <c r="K67" s="259">
        <f>IF(OR(I67="",J67="",I67=0),"",J67/I67)</f>
        <v/>
      </c>
      <c r="L67" s="259">
        <f>IF(OR(J67="",G67="",J67=0),"",G67/J67)</f>
        <v/>
      </c>
      <c r="M67" s="271" t="n"/>
      <c r="N67" s="271" t="n"/>
    </row>
    <row r="68" ht="22" customHeight="1">
      <c r="A68" s="271" t="n"/>
      <c r="B68" s="257" t="inlineStr">
        <is>
          <t>Апрель</t>
        </is>
      </c>
      <c r="C68" s="257" t="inlineStr">
        <is>
          <t>Скорая помощь</t>
        </is>
      </c>
      <c r="D68" s="257" t="inlineStr">
        <is>
          <t>Оглоблина Софья</t>
        </is>
      </c>
      <c r="E68" s="257" t="inlineStr">
        <is>
          <t>Продажи</t>
        </is>
      </c>
      <c r="F68" s="258" t="n">
        <v>5</v>
      </c>
      <c r="G68" s="258" t="n">
        <v>0</v>
      </c>
      <c r="H68" s="259">
        <f>IF(OR(F68="",G68="",F68=0),"",G68/F68)</f>
        <v/>
      </c>
      <c r="I68" s="258" t="n">
        <v>80</v>
      </c>
      <c r="J68" s="258" t="n">
        <v>1</v>
      </c>
      <c r="K68" s="259">
        <f>IF(OR(I68="",J68="",I68=0),"",J68/I68)</f>
        <v/>
      </c>
      <c r="L68" s="259">
        <f>IF(OR(J68="",G68="",J68=0),"",G68/J68)</f>
        <v/>
      </c>
      <c r="M68" s="271" t="n"/>
      <c r="N68" s="271" t="n"/>
    </row>
    <row r="69" ht="22" customHeight="1">
      <c r="A69" s="271" t="n"/>
      <c r="B69" s="257" t="inlineStr">
        <is>
          <t>Апрель</t>
        </is>
      </c>
      <c r="C69" s="257" t="inlineStr">
        <is>
          <t>1С-ЭПД</t>
        </is>
      </c>
      <c r="D69" s="257" t="inlineStr">
        <is>
          <t>Оглоблина Софья</t>
        </is>
      </c>
      <c r="E69" s="257" t="inlineStr">
        <is>
          <t>Продажи</t>
        </is>
      </c>
      <c r="F69" s="258" t="n">
        <v>22</v>
      </c>
      <c r="G69" s="258" t="n">
        <v>0</v>
      </c>
      <c r="H69" s="259">
        <f>IF(OR(F69="",G69="",F69=0),"",G69/F69)</f>
        <v/>
      </c>
      <c r="I69" s="258" t="n">
        <v>206</v>
      </c>
      <c r="J69" s="258" t="n">
        <v>2</v>
      </c>
      <c r="K69" s="259">
        <f>IF(OR(I69="",J69="",I69=0),"",J69/I69)</f>
        <v/>
      </c>
      <c r="L69" s="259">
        <f>IF(OR(J69="",G69="",J69=0),"",G69/J69)</f>
        <v/>
      </c>
      <c r="M69" s="271" t="n"/>
      <c r="N69" s="271" t="n"/>
    </row>
    <row r="70" ht="22" customHeight="1">
      <c r="A70" s="271" t="n"/>
      <c r="B70" s="257" t="inlineStr">
        <is>
          <t>Май</t>
        </is>
      </c>
      <c r="C70" s="257" t="inlineStr">
        <is>
          <t>1С-ЭПД</t>
        </is>
      </c>
      <c r="D70" s="257" t="inlineStr">
        <is>
          <t>Юлиана Юнусова</t>
        </is>
      </c>
      <c r="E70" s="257" t="inlineStr">
        <is>
          <t>Продажи</t>
        </is>
      </c>
      <c r="F70" s="258" t="n">
        <v>22</v>
      </c>
      <c r="G70" s="258" t="n">
        <v>16</v>
      </c>
      <c r="H70" s="259">
        <f>IF(OR(F70="",G70="",F70=0),"",G70/F70)</f>
        <v/>
      </c>
      <c r="I70" s="258" t="n">
        <v>318</v>
      </c>
      <c r="J70" s="258" t="n">
        <v>18</v>
      </c>
      <c r="K70" s="259">
        <f>IF(OR(I70="",J70="",I70=0),"",J70/I70)</f>
        <v/>
      </c>
      <c r="L70" s="259">
        <f>IF(OR(J70="",G70="",J70=0),"",G70/J70)</f>
        <v/>
      </c>
      <c r="M70" s="271" t="n"/>
      <c r="N70" s="271" t="n"/>
    </row>
    <row r="71" ht="22" customHeight="1">
      <c r="A71" s="271" t="n"/>
      <c r="B71" s="257" t="inlineStr">
        <is>
          <t>Май</t>
        </is>
      </c>
      <c r="C71" s="257" t="inlineStr">
        <is>
          <t>1С-ЭПД</t>
        </is>
      </c>
      <c r="D71" s="257" t="inlineStr">
        <is>
          <t>Оглоблина Софья</t>
        </is>
      </c>
      <c r="E71" s="257" t="inlineStr">
        <is>
          <t>Продажи</t>
        </is>
      </c>
      <c r="F71" s="258" t="n">
        <v>22</v>
      </c>
      <c r="G71" s="258" t="n">
        <v>6</v>
      </c>
      <c r="H71" s="259">
        <f>IF(OR(F71="",G71="",F71=0),"",G71/F71)</f>
        <v/>
      </c>
      <c r="I71" s="258" t="n">
        <v>338</v>
      </c>
      <c r="J71" s="258" t="n">
        <v>7</v>
      </c>
      <c r="K71" s="259">
        <f>IF(OR(I71="",J71="",I71=0),"",J71/I71)</f>
        <v/>
      </c>
      <c r="L71" s="259">
        <f>IF(OR(J71="",G71="",J71=0),"",G71/J71)</f>
        <v/>
      </c>
      <c r="M71" s="271" t="n"/>
      <c r="N71" s="271" t="n"/>
    </row>
    <row r="72" ht="22" customHeight="1">
      <c r="A72" s="271" t="n"/>
      <c r="B72" s="257" t="inlineStr">
        <is>
          <t>Июнь</t>
        </is>
      </c>
      <c r="C72" s="257" t="inlineStr">
        <is>
          <t>Доки / Доки.логистика</t>
        </is>
      </c>
      <c r="D72" s="257" t="inlineStr">
        <is>
          <t>Юлиана Юнусова</t>
        </is>
      </c>
      <c r="E72" s="257" t="inlineStr">
        <is>
          <t>Подключения</t>
        </is>
      </c>
      <c r="F72" s="258" t="n">
        <v>2</v>
      </c>
      <c r="G72" s="258" t="n">
        <v>1</v>
      </c>
      <c r="H72" s="259">
        <f>IF(OR(F72="",G72="",F72=0),"",G72/F72)</f>
        <v/>
      </c>
      <c r="I72" s="258" t="n">
        <v>86</v>
      </c>
      <c r="J72" s="258" t="n">
        <v>4</v>
      </c>
      <c r="K72" s="259">
        <f>IF(OR(I72="",J72="",I72=0),"",J72/I72)</f>
        <v/>
      </c>
      <c r="L72" s="259">
        <f>IF(OR(J72="",G72="",J72=0),"",G72/J72)</f>
        <v/>
      </c>
      <c r="M72" s="271" t="n"/>
      <c r="N72" s="271" t="n"/>
    </row>
    <row r="73" ht="22" customHeight="1">
      <c r="A73" s="271" t="n"/>
      <c r="B73" s="257" t="inlineStr">
        <is>
          <t>Июнь</t>
        </is>
      </c>
      <c r="C73" s="257" t="inlineStr">
        <is>
          <t>1С-ЭПД</t>
        </is>
      </c>
      <c r="D73" s="257" t="inlineStr">
        <is>
          <t>Юлиана Юнусова</t>
        </is>
      </c>
      <c r="E73" s="257" t="inlineStr">
        <is>
          <t>Продажи (поддержка)</t>
        </is>
      </c>
      <c r="F73" s="258" t="n">
        <v>10</v>
      </c>
      <c r="G73" s="258" t="n">
        <v>5</v>
      </c>
      <c r="H73" s="259">
        <f>IF(OR(F73="",G73="",F73=0),"",G73/F73)</f>
        <v/>
      </c>
      <c r="I73" s="258" t="n">
        <v>125</v>
      </c>
      <c r="J73" s="258" t="n">
        <v>15</v>
      </c>
      <c r="K73" s="259">
        <f>IF(OR(I73="",J73="",I73=0),"",J73/I73)</f>
        <v/>
      </c>
      <c r="L73" s="259">
        <f>IF(OR(J73="",G73="",J73=0),"",G73/J73)</f>
        <v/>
      </c>
      <c r="M73" s="271" t="n"/>
      <c r="N73" s="271" t="n"/>
    </row>
    <row r="74" ht="22" customHeight="1">
      <c r="A74" s="271" t="n"/>
      <c r="B74" s="257" t="inlineStr">
        <is>
          <t>Июнь</t>
        </is>
      </c>
      <c r="C74" s="257" t="inlineStr">
        <is>
          <t>Доки / Доки.логистика</t>
        </is>
      </c>
      <c r="D74" s="257" t="inlineStr">
        <is>
          <t>Оглоблина Софья</t>
        </is>
      </c>
      <c r="E74" s="257" t="inlineStr">
        <is>
          <t>Подключения</t>
        </is>
      </c>
      <c r="F74" s="258" t="n">
        <v>2</v>
      </c>
      <c r="G74" s="258" t="n">
        <v>1</v>
      </c>
      <c r="H74" s="259">
        <f>IF(OR(F74="",G74="",F74=0),"",G74/F74)</f>
        <v/>
      </c>
      <c r="I74" s="258" t="n">
        <v>94</v>
      </c>
      <c r="J74" s="258" t="n">
        <v>3</v>
      </c>
      <c r="K74" s="259">
        <f>IF(OR(I74="",J74="",I74=0),"",J74/I74)</f>
        <v/>
      </c>
      <c r="L74" s="259">
        <f>IF(OR(J74="",G74="",J74=0),"",G74/J74)</f>
        <v/>
      </c>
      <c r="M74" s="271" t="n"/>
      <c r="N74" s="271" t="n"/>
    </row>
    <row r="75" ht="22" customHeight="1">
      <c r="A75" s="271" t="n"/>
      <c r="B75" s="257" t="inlineStr">
        <is>
          <t>Июнь</t>
        </is>
      </c>
      <c r="C75" s="257" t="inlineStr">
        <is>
          <t>1С-ЭПД</t>
        </is>
      </c>
      <c r="D75" s="257" t="inlineStr">
        <is>
          <t>Оглоблина Софья</t>
        </is>
      </c>
      <c r="E75" s="257" t="inlineStr">
        <is>
          <t>Продажи (поддержка)</t>
        </is>
      </c>
      <c r="F75" s="258" t="n">
        <v>10</v>
      </c>
      <c r="G75" s="258" t="n">
        <v>2</v>
      </c>
      <c r="H75" s="259">
        <f>IF(OR(F75="",G75="",F75=0),"",G75/F75)</f>
        <v/>
      </c>
      <c r="I75" s="258" t="n">
        <v>154</v>
      </c>
      <c r="J75" s="258" t="n">
        <v>14</v>
      </c>
      <c r="K75" s="259">
        <f>IF(OR(I75="",J75="",I75=0),"",J75/I75)</f>
        <v/>
      </c>
      <c r="L75" s="259">
        <f>IF(OR(J75="",G75="",J75=0),"",G75/J75)</f>
        <v/>
      </c>
      <c r="M75" s="271" t="n"/>
      <c r="N75" s="271" t="n"/>
    </row>
    <row r="76" ht="22" customHeight="1">
      <c r="A76" s="271" t="n"/>
      <c r="B76" s="257" t="inlineStr">
        <is>
          <t>Июль</t>
        </is>
      </c>
      <c r="C76" s="257" t="inlineStr">
        <is>
          <t>Доки / Доки.логистика</t>
        </is>
      </c>
      <c r="D76" s="257" t="inlineStr">
        <is>
          <t>Юлиана Юнусова</t>
        </is>
      </c>
      <c r="E76" s="257" t="inlineStr">
        <is>
          <t>Подключения</t>
        </is>
      </c>
      <c r="F76" s="258" t="n">
        <v>8</v>
      </c>
      <c r="G76" s="258" t="n">
        <v>4</v>
      </c>
      <c r="H76" s="259">
        <f>IF(OR(F76="",G76="",F76=0),"",G76/F76)</f>
        <v/>
      </c>
      <c r="I76" s="258" t="n">
        <v>179</v>
      </c>
      <c r="J76" s="258" t="n">
        <v>22</v>
      </c>
      <c r="K76" s="259">
        <f>IF(OR(I76="",J76="",I76=0),"",J76/I76)</f>
        <v/>
      </c>
      <c r="L76" s="259">
        <f>IF(OR(J76="",G76="",J76=0),"",G76/J76)</f>
        <v/>
      </c>
      <c r="M76" s="271" t="n"/>
      <c r="N76" s="271" t="n"/>
    </row>
    <row r="77" ht="22" customHeight="1">
      <c r="A77" s="271" t="n"/>
      <c r="B77" s="257" t="inlineStr">
        <is>
          <t>Июль</t>
        </is>
      </c>
      <c r="C77" s="257" t="inlineStr">
        <is>
          <t>Кабинет сотрудника</t>
        </is>
      </c>
      <c r="D77" s="257" t="inlineStr">
        <is>
          <t>Юлиана Юнусова</t>
        </is>
      </c>
      <c r="E77" s="257" t="inlineStr">
        <is>
          <t>Демонстрации</t>
        </is>
      </c>
      <c r="F77" s="258" t="n">
        <v>15</v>
      </c>
      <c r="G77" s="258" t="n">
        <v>15</v>
      </c>
      <c r="H77" s="259">
        <f>IF(OR(F77="",G77="",F77=0),"",G77/F77)</f>
        <v/>
      </c>
      <c r="I77" s="258" t="n">
        <v>254</v>
      </c>
      <c r="J77" s="258" t="n">
        <v>10</v>
      </c>
      <c r="K77" s="259">
        <f>IF(OR(I77="",J77="",I77=0),"",J77/I77)</f>
        <v/>
      </c>
      <c r="L77" s="259">
        <f>IF(OR(J77="",G77="",J77=0),"",G77/J77)</f>
        <v/>
      </c>
      <c r="M77" s="271" t="n"/>
      <c r="N77" s="271" t="n"/>
    </row>
    <row r="78" ht="22" customHeight="1">
      <c r="A78" s="271" t="n"/>
      <c r="B78" s="257" t="inlineStr">
        <is>
          <t>Июль</t>
        </is>
      </c>
      <c r="C78" s="257" t="inlineStr">
        <is>
          <t>Доки / Доки.логистика</t>
        </is>
      </c>
      <c r="D78" s="257" t="inlineStr">
        <is>
          <t>Оглоблина Софья</t>
        </is>
      </c>
      <c r="E78" s="257" t="inlineStr">
        <is>
          <t>Подключения</t>
        </is>
      </c>
      <c r="F78" s="258" t="n">
        <v>8</v>
      </c>
      <c r="G78" s="258" t="n">
        <v>1</v>
      </c>
      <c r="H78" s="259">
        <f>IF(OR(F78="",G78="",F78=0),"",G78/F78)</f>
        <v/>
      </c>
      <c r="I78" s="258" t="n">
        <v>198</v>
      </c>
      <c r="J78" s="258" t="n">
        <v>8</v>
      </c>
      <c r="K78" s="259">
        <f>IF(OR(I78="",J78="",I78=0),"",J78/I78)</f>
        <v/>
      </c>
      <c r="L78" s="259">
        <f>IF(OR(J78="",G78="",J78=0),"",G78/J78)</f>
        <v/>
      </c>
      <c r="M78" s="271" t="n"/>
      <c r="N78" s="271" t="n"/>
    </row>
    <row r="79" ht="22" customHeight="1">
      <c r="A79" s="271" t="n"/>
      <c r="B79" s="257" t="inlineStr">
        <is>
          <t>Июль</t>
        </is>
      </c>
      <c r="C79" s="257" t="inlineStr">
        <is>
          <t>Кабинет сотрудника</t>
        </is>
      </c>
      <c r="D79" s="257" t="inlineStr">
        <is>
          <t>Оглоблина Софья</t>
        </is>
      </c>
      <c r="E79" s="257" t="inlineStr">
        <is>
          <t>Демонстрации</t>
        </is>
      </c>
      <c r="F79" s="258" t="n">
        <v>15</v>
      </c>
      <c r="G79" s="258" t="n">
        <v>4</v>
      </c>
      <c r="H79" s="259">
        <f>IF(OR(F79="",G79="",F79=0),"",G79/F79)</f>
        <v/>
      </c>
      <c r="I79" s="258" t="n">
        <v>185</v>
      </c>
      <c r="J79" s="258" t="n">
        <v>8</v>
      </c>
      <c r="K79" s="259">
        <f>IF(OR(I79="",J79="",I79=0),"",J79/I79)</f>
        <v/>
      </c>
      <c r="L79" s="259">
        <f>IF(OR(J79="",G79="",J79=0),"",G79/J79)</f>
        <v/>
      </c>
      <c r="M79" s="271" t="n"/>
      <c r="N79" s="271" t="n"/>
    </row>
    <row r="80" ht="22" customHeight="1">
      <c r="A80" s="271" t="n"/>
      <c r="B80" s="257" t="inlineStr">
        <is>
          <t>Август</t>
        </is>
      </c>
      <c r="C80" s="257" t="inlineStr">
        <is>
          <t>Кабинет сотрудника</t>
        </is>
      </c>
      <c r="D80" s="257" t="inlineStr">
        <is>
          <t>Юлиана Юнусова</t>
        </is>
      </c>
      <c r="E80" s="257" t="inlineStr">
        <is>
          <t>Демонстрации</t>
        </is>
      </c>
      <c r="F80" s="258" t="n">
        <v>10</v>
      </c>
      <c r="G80" s="258" t="n">
        <v>8</v>
      </c>
      <c r="H80" s="259">
        <f>IF(OR(F80="",G80="",F80=0),"",G80/F80)</f>
        <v/>
      </c>
      <c r="I80" s="258" t="n">
        <v>180</v>
      </c>
      <c r="J80" s="258" t="n">
        <v>8</v>
      </c>
      <c r="K80" s="259">
        <f>IF(OR(I80="",J80="",I80=0),"",J80/I80)</f>
        <v/>
      </c>
      <c r="L80" s="259">
        <f>IF(OR(J80="",G80="",J80=0),"",G80/J80)</f>
        <v/>
      </c>
      <c r="M80" s="271" t="n"/>
      <c r="N80" s="271" t="n"/>
    </row>
    <row r="81" ht="22" customHeight="1">
      <c r="A81" s="271" t="n"/>
      <c r="B81" s="257" t="inlineStr">
        <is>
          <t>Август</t>
        </is>
      </c>
      <c r="C81" s="257" t="inlineStr">
        <is>
          <t>Доки / Доки.логистика</t>
        </is>
      </c>
      <c r="D81" s="257" t="inlineStr">
        <is>
          <t>Юлиана Юнусова</t>
        </is>
      </c>
      <c r="E81" s="257" t="inlineStr">
        <is>
          <t>Подключения</t>
        </is>
      </c>
      <c r="F81" s="258" t="n">
        <v>10</v>
      </c>
      <c r="G81" s="258" t="n">
        <v>9</v>
      </c>
      <c r="H81" s="259">
        <f>IF(OR(F81="",G81="",F81=0),"",G81/F81)</f>
        <v/>
      </c>
      <c r="I81" s="258" t="n">
        <v>90</v>
      </c>
      <c r="J81" s="258" t="n">
        <v>4</v>
      </c>
      <c r="K81" s="259">
        <f>IF(OR(I81="",J81="",I81=0),"",J81/I81)</f>
        <v/>
      </c>
      <c r="L81" s="259">
        <f>IF(OR(J81="",G81="",J81=0),"",G81/J81)</f>
        <v/>
      </c>
      <c r="M81" s="271" t="n"/>
      <c r="N81" s="271" t="n"/>
    </row>
    <row r="82" ht="22" customHeight="1">
      <c r="A82" s="271" t="n"/>
      <c r="B82" s="257" t="inlineStr">
        <is>
          <t>Август</t>
        </is>
      </c>
      <c r="C82" s="257" t="inlineStr">
        <is>
          <t>Smartway</t>
        </is>
      </c>
      <c r="D82" s="257" t="inlineStr">
        <is>
          <t>Юлиана Юнусова</t>
        </is>
      </c>
      <c r="E82" s="257" t="inlineStr">
        <is>
          <t>Предложения</t>
        </is>
      </c>
      <c r="F82" s="258" t="n">
        <v>10</v>
      </c>
      <c r="G82" s="258" t="n">
        <v>11</v>
      </c>
      <c r="H82" s="259">
        <f>IF(OR(F82="",G82="",F82=0),"",G82/F82)</f>
        <v/>
      </c>
      <c r="I82" s="258" t="n">
        <v>82</v>
      </c>
      <c r="J82" s="258" t="n">
        <v>3</v>
      </c>
      <c r="K82" s="259">
        <f>IF(OR(I82="",J82="",I82=0),"",J82/I82)</f>
        <v/>
      </c>
      <c r="L82" s="259">
        <f>IF(OR(J82="",G82="",J82=0),"",G82/J82)</f>
        <v/>
      </c>
      <c r="M82" s="271" t="n"/>
      <c r="N82" s="271" t="n"/>
    </row>
    <row r="83" ht="22" customHeight="1">
      <c r="A83" s="271" t="n"/>
      <c r="B83" s="257" t="inlineStr">
        <is>
          <t>Август</t>
        </is>
      </c>
      <c r="C83" s="257" t="inlineStr">
        <is>
          <t>Кабинет сотрудника</t>
        </is>
      </c>
      <c r="D83" s="257" t="inlineStr">
        <is>
          <t>Оглоблина Софья</t>
        </is>
      </c>
      <c r="E83" s="257" t="inlineStr">
        <is>
          <t>Демонстрации</t>
        </is>
      </c>
      <c r="F83" s="258" t="n">
        <v>10</v>
      </c>
      <c r="G83" s="258" t="n">
        <v>2</v>
      </c>
      <c r="H83" s="259">
        <f>IF(OR(F83="",G83="",F83=0),"",G83/F83)</f>
        <v/>
      </c>
      <c r="I83" s="258" t="n">
        <v>280</v>
      </c>
      <c r="J83" s="258" t="n">
        <v>12</v>
      </c>
      <c r="K83" s="259">
        <f>IF(OR(I83="",J83="",I83=0),"",J83/I83)</f>
        <v/>
      </c>
      <c r="L83" s="259">
        <f>IF(OR(J83="",G83="",J83=0),"",G83/J83)</f>
        <v/>
      </c>
      <c r="M83" s="271" t="n"/>
      <c r="N83" s="271" t="n"/>
    </row>
    <row r="84" ht="22" customHeight="1">
      <c r="A84" s="271" t="n"/>
      <c r="B84" s="257" t="inlineStr">
        <is>
          <t>Август</t>
        </is>
      </c>
      <c r="C84" s="257" t="inlineStr">
        <is>
          <t>Доки / Доки.логистика</t>
        </is>
      </c>
      <c r="D84" s="257" t="inlineStr">
        <is>
          <t>Оглоблина Софья</t>
        </is>
      </c>
      <c r="E84" s="257" t="inlineStr">
        <is>
          <t>Подключения</t>
        </is>
      </c>
      <c r="F84" s="258" t="n">
        <v>10</v>
      </c>
      <c r="G84" s="258" t="n">
        <v>1</v>
      </c>
      <c r="H84" s="259">
        <f>IF(OR(F84="",G84="",F84=0),"",G84/F84)</f>
        <v/>
      </c>
      <c r="I84" s="258" t="n">
        <v>90</v>
      </c>
      <c r="J84" s="258" t="n">
        <v>4</v>
      </c>
      <c r="K84" s="259">
        <f>IF(OR(I84="",J84="",I84=0),"",J84/I84)</f>
        <v/>
      </c>
      <c r="L84" s="259">
        <f>IF(OR(J84="",G84="",J84=0),"",G84/J84)</f>
        <v/>
      </c>
      <c r="M84" s="271" t="n"/>
      <c r="N84" s="271" t="n"/>
    </row>
    <row r="85" ht="22" customHeight="1">
      <c r="A85" s="271" t="n"/>
      <c r="B85" s="257" t="inlineStr">
        <is>
          <t>Август</t>
        </is>
      </c>
      <c r="C85" s="257" t="inlineStr">
        <is>
          <t>Smartway</t>
        </is>
      </c>
      <c r="D85" s="257" t="inlineStr">
        <is>
          <t>Оглоблина Софья</t>
        </is>
      </c>
      <c r="E85" s="257" t="inlineStr">
        <is>
          <t>Предложения</t>
        </is>
      </c>
      <c r="F85" s="258" t="n">
        <v>10</v>
      </c>
      <c r="G85" s="258" t="n">
        <v>9</v>
      </c>
      <c r="H85" s="259">
        <f>IF(OR(F85="",G85="",F85=0),"",G85/F85)</f>
        <v/>
      </c>
      <c r="I85" s="258" t="n">
        <v>111</v>
      </c>
      <c r="J85" s="258" t="n">
        <v>7</v>
      </c>
      <c r="K85" s="259">
        <f>IF(OR(I85="",J85="",I85=0),"",J85/I85)</f>
        <v/>
      </c>
      <c r="L85" s="259">
        <f>IF(OR(J85="",G85="",J85=0),"",G85/J85)</f>
        <v/>
      </c>
      <c r="M85" s="271" t="n"/>
      <c r="N85" s="271" t="n"/>
    </row>
    <row r="86" ht="22" customHeight="1">
      <c r="A86" s="271" t="n"/>
      <c r="B86" s="257" t="inlineStr">
        <is>
          <t>Август</t>
        </is>
      </c>
      <c r="C86" s="257" t="inlineStr">
        <is>
          <t>Кабинет сотрудника</t>
        </is>
      </c>
      <c r="D86" s="257" t="inlineStr">
        <is>
          <t>Кургузов Данил</t>
        </is>
      </c>
      <c r="E86" s="257" t="inlineStr">
        <is>
          <t>Демонстрации</t>
        </is>
      </c>
      <c r="F86" s="258" t="n">
        <v>10</v>
      </c>
      <c r="G86" s="258" t="n">
        <v>2</v>
      </c>
      <c r="H86" s="259">
        <f>IF(OR(F86="",G86="",F86=0),"",G86/F86)</f>
        <v/>
      </c>
      <c r="I86" s="258" t="n">
        <v>220</v>
      </c>
      <c r="J86" s="258" t="n">
        <v>8</v>
      </c>
      <c r="K86" s="259">
        <f>IF(OR(I86="",J86="",I86=0),"",J86/I86)</f>
        <v/>
      </c>
      <c r="L86" s="259">
        <f>IF(OR(J86="",G86="",J86=0),"",G86/J86)</f>
        <v/>
      </c>
      <c r="M86" s="271" t="n"/>
      <c r="N86" s="271" t="n"/>
    </row>
    <row r="87" ht="22" customHeight="1">
      <c r="A87" s="271" t="n"/>
      <c r="B87" s="257" t="inlineStr">
        <is>
          <t>Август</t>
        </is>
      </c>
      <c r="C87" s="257" t="inlineStr">
        <is>
          <t>Доки / Доки.логистика</t>
        </is>
      </c>
      <c r="D87" s="257" t="inlineStr">
        <is>
          <t>Кургузов Данил</t>
        </is>
      </c>
      <c r="E87" s="257" t="inlineStr">
        <is>
          <t>Подключения</t>
        </is>
      </c>
      <c r="F87" s="258" t="n">
        <v>10</v>
      </c>
      <c r="G87" s="258" t="n">
        <v>1</v>
      </c>
      <c r="H87" s="259">
        <f>IF(OR(F87="",G87="",F87=0),"",G87/F87)</f>
        <v/>
      </c>
      <c r="I87" s="258" t="n">
        <v>70</v>
      </c>
      <c r="J87" s="258" t="n">
        <v>3</v>
      </c>
      <c r="K87" s="259">
        <f>IF(OR(I87="",J87="",I87=0),"",J87/I87)</f>
        <v/>
      </c>
      <c r="L87" s="259">
        <f>IF(OR(J87="",G87="",J87=0),"",G87/J87)</f>
        <v/>
      </c>
      <c r="M87" s="271" t="n"/>
      <c r="N87" s="271" t="n"/>
    </row>
    <row r="88" ht="22" customHeight="1">
      <c r="A88" s="271" t="n"/>
      <c r="B88" s="257" t="inlineStr">
        <is>
          <t>Август</t>
        </is>
      </c>
      <c r="C88" s="257" t="inlineStr">
        <is>
          <t>Smartway</t>
        </is>
      </c>
      <c r="D88" s="257" t="inlineStr">
        <is>
          <t>Кургузов Данил</t>
        </is>
      </c>
      <c r="E88" s="257" t="inlineStr">
        <is>
          <t>Предложения</t>
        </is>
      </c>
      <c r="F88" s="258" t="n">
        <v>10</v>
      </c>
      <c r="G88" s="258" t="n">
        <v>12</v>
      </c>
      <c r="H88" s="259">
        <f>IF(OR(F88="",G88="",F88=0),"",G88/F88)</f>
        <v/>
      </c>
      <c r="I88" s="258" t="n">
        <v>105</v>
      </c>
      <c r="J88" s="258" t="n">
        <v>7</v>
      </c>
      <c r="K88" s="259">
        <f>IF(OR(I88="",J88="",I88=0),"",J88/I88)</f>
        <v/>
      </c>
      <c r="L88" s="259">
        <f>IF(OR(J88="",G88="",J88=0),"",G88/J88)</f>
        <v/>
      </c>
      <c r="M88" s="271" t="n"/>
      <c r="N88" s="271" t="n"/>
    </row>
    <row r="89" ht="18" customHeight="1">
      <c r="A89" s="271" t="n"/>
      <c r="B89" s="271" t="n"/>
      <c r="C89" s="271" t="n"/>
      <c r="D89" s="271" t="n"/>
      <c r="E89" s="271" t="n"/>
      <c r="F89" s="271" t="n"/>
      <c r="G89" s="271" t="n"/>
      <c r="H89" s="271" t="n"/>
      <c r="I89" s="271" t="n"/>
      <c r="J89" s="271" t="n"/>
      <c r="K89" s="271" t="n"/>
      <c r="L89" s="271" t="n"/>
      <c r="M89" s="271" t="n"/>
      <c r="N89" s="271" t="n"/>
    </row>
    <row r="90" ht="22" customHeight="1">
      <c r="A90" s="271" t="n"/>
      <c r="B90" s="272" t="inlineStr">
        <is>
          <t>ДЕТАЛИЗАЦИЯ ЭФФЕКТИВНОСТИ</t>
        </is>
      </c>
      <c r="C90" s="95" t="n"/>
      <c r="D90" s="95" t="n"/>
      <c r="E90" s="95" t="n"/>
      <c r="F90" s="95" t="n"/>
      <c r="G90" s="95" t="n"/>
      <c r="H90" s="95" t="n"/>
      <c r="I90" s="95" t="n"/>
      <c r="J90" s="95" t="n"/>
      <c r="K90" s="271" t="n"/>
      <c r="L90" s="271" t="n"/>
      <c r="M90" s="271" t="n"/>
      <c r="N90" s="271" t="n"/>
    </row>
    <row r="91" ht="30" customHeight="1">
      <c r="A91" s="271" t="n"/>
      <c r="B91" s="239" t="inlineStr">
        <is>
          <t>Показатель</t>
        </is>
      </c>
      <c r="C91" s="239" t="inlineStr">
        <is>
          <t>Роль</t>
        </is>
      </c>
      <c r="D91" s="239" t="inlineStr">
        <is>
          <t>Норматив</t>
        </is>
      </c>
      <c r="E91" s="239" t="inlineStr">
        <is>
          <t>Период</t>
        </is>
      </c>
      <c r="F91" s="239" t="inlineStr">
        <is>
          <t>Сотрудник</t>
        </is>
      </c>
      <c r="G91" s="239" t="inlineStr">
        <is>
          <t>Факт</t>
        </is>
      </c>
      <c r="H91" s="239" t="inlineStr">
        <is>
          <t>Оценка</t>
        </is>
      </c>
      <c r="I91" s="271" t="n"/>
      <c r="J91" s="271" t="n"/>
      <c r="K91" s="271" t="n"/>
      <c r="L91" s="271" t="n"/>
      <c r="M91" s="271" t="n"/>
      <c r="N91" s="271" t="n"/>
    </row>
    <row r="92" ht="20" customHeight="1">
      <c r="A92" s="271" t="n"/>
      <c r="B92" s="257" t="inlineStr">
        <is>
          <t>Соблюдение скрипта</t>
        </is>
      </c>
      <c r="C92" s="257" t="inlineStr">
        <is>
          <t>Старший менеджер</t>
        </is>
      </c>
      <c r="D92" s="257" t="inlineStr">
        <is>
          <t>100%</t>
        </is>
      </c>
      <c r="E92" s="257" t="inlineStr">
        <is>
          <t>Апрель–август</t>
        </is>
      </c>
      <c r="F92" s="257" t="inlineStr">
        <is>
          <t>Юлиана Юнусова</t>
        </is>
      </c>
      <c r="G92" s="263" t="inlineStr">
        <is>
          <t>100%</t>
        </is>
      </c>
      <c r="H92" s="257" t="inlineStr">
        <is>
          <t>Норматив</t>
        </is>
      </c>
      <c r="I92" s="271" t="n"/>
      <c r="J92" s="271" t="n"/>
      <c r="K92" s="271" t="n"/>
      <c r="L92" s="271" t="n"/>
      <c r="M92" s="271" t="n"/>
      <c r="N92" s="271" t="n"/>
    </row>
    <row r="93" ht="20" customHeight="1">
      <c r="A93" s="271" t="n"/>
      <c r="B93" s="257" t="inlineStr">
        <is>
          <t>Соблюдение скрипта</t>
        </is>
      </c>
      <c r="C93" s="257" t="inlineStr">
        <is>
          <t>Менеджер</t>
        </is>
      </c>
      <c r="D93" s="257" t="inlineStr">
        <is>
          <t>100%</t>
        </is>
      </c>
      <c r="E93" s="257" t="inlineStr">
        <is>
          <t>Апрель–май</t>
        </is>
      </c>
      <c r="F93" s="257" t="inlineStr">
        <is>
          <t>Оглоблина Софья</t>
        </is>
      </c>
      <c r="G93" s="263" t="inlineStr">
        <is>
          <t>80%</t>
        </is>
      </c>
      <c r="H93" s="257" t="inlineStr">
        <is>
          <t>Ниже норматива</t>
        </is>
      </c>
      <c r="I93" s="271" t="n"/>
      <c r="J93" s="271" t="n"/>
      <c r="K93" s="271" t="n"/>
      <c r="L93" s="271" t="n"/>
      <c r="M93" s="271" t="n"/>
      <c r="N93" s="271" t="n"/>
    </row>
    <row r="94" ht="20" customHeight="1">
      <c r="A94" s="271" t="n"/>
      <c r="B94" s="257" t="inlineStr">
        <is>
          <t>Соблюдение скрипта</t>
        </is>
      </c>
      <c r="C94" s="257" t="inlineStr">
        <is>
          <t>Менеджер</t>
        </is>
      </c>
      <c r="D94" s="257" t="inlineStr">
        <is>
          <t>100%</t>
        </is>
      </c>
      <c r="E94" s="257" t="inlineStr">
        <is>
          <t>Июнь–август</t>
        </is>
      </c>
      <c r="F94" s="257" t="inlineStr">
        <is>
          <t>Оглоблина Софья</t>
        </is>
      </c>
      <c r="G94" s="263" t="inlineStr">
        <is>
          <t>100%</t>
        </is>
      </c>
      <c r="H94" s="257" t="inlineStr">
        <is>
          <t>Норматив</t>
        </is>
      </c>
      <c r="I94" s="271" t="n"/>
      <c r="J94" s="271" t="n"/>
      <c r="K94" s="271" t="n"/>
      <c r="L94" s="271" t="n"/>
      <c r="M94" s="271" t="n"/>
      <c r="N94" s="271" t="n"/>
    </row>
    <row r="95" ht="20" customHeight="1">
      <c r="A95" s="271" t="n"/>
      <c r="B95" s="257" t="inlineStr">
        <is>
          <t>Соблюдение скрипта</t>
        </is>
      </c>
      <c r="C95" s="257" t="inlineStr">
        <is>
          <t>Менеджер</t>
        </is>
      </c>
      <c r="D95" s="257" t="inlineStr">
        <is>
          <t>100%</t>
        </is>
      </c>
      <c r="E95" s="257" t="inlineStr">
        <is>
          <t>Август</t>
        </is>
      </c>
      <c r="F95" s="257" t="inlineStr">
        <is>
          <t>Кургузов Данил</t>
        </is>
      </c>
      <c r="G95" s="263" t="inlineStr">
        <is>
          <t>100%</t>
        </is>
      </c>
      <c r="H95" s="257" t="inlineStr">
        <is>
          <t>Норматив</t>
        </is>
      </c>
      <c r="I95" s="271" t="n"/>
      <c r="J95" s="271" t="n"/>
      <c r="K95" s="271" t="n"/>
      <c r="L95" s="271" t="n"/>
      <c r="M95" s="271" t="n"/>
      <c r="N95" s="271" t="n"/>
    </row>
    <row r="96" ht="20" customHeight="1">
      <c r="A96" s="271" t="n"/>
      <c r="B96" s="257" t="inlineStr">
        <is>
          <t>Дисциплина процесса</t>
        </is>
      </c>
      <c r="C96" s="257" t="inlineStr">
        <is>
          <t>Старший менеджер</t>
        </is>
      </c>
      <c r="D96" s="257" t="inlineStr">
        <is>
          <t>5/5</t>
        </is>
      </c>
      <c r="E96" s="257" t="inlineStr">
        <is>
          <t>Апрель–август</t>
        </is>
      </c>
      <c r="F96" s="257" t="inlineStr">
        <is>
          <t>Юлиана Юнусова</t>
        </is>
      </c>
      <c r="G96" s="263" t="inlineStr">
        <is>
          <t>5/5</t>
        </is>
      </c>
      <c r="H96" s="257" t="inlineStr">
        <is>
          <t>100%</t>
        </is>
      </c>
      <c r="I96" s="271" t="n"/>
      <c r="J96" s="271" t="n"/>
      <c r="K96" s="271" t="n"/>
      <c r="L96" s="271" t="n"/>
      <c r="M96" s="271" t="n"/>
      <c r="N96" s="271" t="n"/>
    </row>
    <row r="97" ht="20" customHeight="1">
      <c r="A97" s="271" t="n"/>
      <c r="B97" s="257" t="inlineStr">
        <is>
          <t>Дисциплина процесса</t>
        </is>
      </c>
      <c r="C97" s="257" t="inlineStr">
        <is>
          <t>Менеджер</t>
        </is>
      </c>
      <c r="D97" s="257" t="inlineStr">
        <is>
          <t>5/5</t>
        </is>
      </c>
      <c r="E97" s="257" t="inlineStr">
        <is>
          <t>Июнь–август</t>
        </is>
      </c>
      <c r="F97" s="257" t="inlineStr">
        <is>
          <t>Оглоблина Софья</t>
        </is>
      </c>
      <c r="G97" s="263" t="inlineStr">
        <is>
          <t>5/5</t>
        </is>
      </c>
      <c r="H97" s="257" t="inlineStr">
        <is>
          <t>100%</t>
        </is>
      </c>
      <c r="I97" s="271" t="n"/>
      <c r="J97" s="271" t="n"/>
      <c r="K97" s="271" t="n"/>
      <c r="L97" s="271" t="n"/>
      <c r="M97" s="271" t="n"/>
      <c r="N97" s="271" t="n"/>
    </row>
    <row r="98" ht="20" customHeight="1">
      <c r="A98" s="271" t="n"/>
      <c r="B98" s="257" t="inlineStr">
        <is>
          <t>Дисциплина процесса</t>
        </is>
      </c>
      <c r="C98" s="257" t="inlineStr">
        <is>
          <t>Менеджер</t>
        </is>
      </c>
      <c r="D98" s="257" t="inlineStr">
        <is>
          <t>5/5</t>
        </is>
      </c>
      <c r="E98" s="257" t="inlineStr">
        <is>
          <t>Август</t>
        </is>
      </c>
      <c r="F98" s="257" t="inlineStr">
        <is>
          <t>Кургузов Данил</t>
        </is>
      </c>
      <c r="G98" s="263" t="inlineStr">
        <is>
          <t>5/5</t>
        </is>
      </c>
      <c r="H98" s="257" t="inlineStr">
        <is>
          <t>100%</t>
        </is>
      </c>
      <c r="I98" s="271" t="n"/>
      <c r="J98" s="271" t="n"/>
      <c r="K98" s="271" t="n"/>
      <c r="L98" s="271" t="n"/>
      <c r="M98" s="271" t="n"/>
      <c r="N98" s="271" t="n"/>
    </row>
    <row r="99" ht="20" customHeight="1">
      <c r="A99" s="271" t="n"/>
      <c r="B99" s="257" t="inlineStr">
        <is>
          <t>План звонков</t>
        </is>
      </c>
      <c r="C99" s="257" t="inlineStr">
        <is>
          <t>Старший менеджер</t>
        </is>
      </c>
      <c r="D99" s="257" t="inlineStr">
        <is>
          <t>210</t>
        </is>
      </c>
      <c r="E99" s="257" t="inlineStr">
        <is>
          <t>Апрель</t>
        </is>
      </c>
      <c r="F99" s="257" t="inlineStr">
        <is>
          <t>Юлиана Юнусова</t>
        </is>
      </c>
      <c r="G99" s="263" t="inlineStr">
        <is>
          <t>352</t>
        </is>
      </c>
      <c r="H99" s="257" t="inlineStr">
        <is>
          <t>168%</t>
        </is>
      </c>
      <c r="I99" s="271" t="n"/>
      <c r="J99" s="271" t="n"/>
      <c r="K99" s="271" t="n"/>
      <c r="L99" s="271" t="n"/>
      <c r="M99" s="271" t="n"/>
      <c r="N99" s="271" t="n"/>
    </row>
    <row r="100" ht="20" customHeight="1">
      <c r="A100" s="271" t="n"/>
      <c r="B100" s="257" t="inlineStr">
        <is>
          <t>План звонков</t>
        </is>
      </c>
      <c r="C100" s="257" t="inlineStr">
        <is>
          <t>Менеджер</t>
        </is>
      </c>
      <c r="D100" s="257" t="inlineStr">
        <is>
          <t>210</t>
        </is>
      </c>
      <c r="E100" s="257" t="inlineStr">
        <is>
          <t>Апрель</t>
        </is>
      </c>
      <c r="F100" s="257" t="inlineStr">
        <is>
          <t>Оглоблина Софья</t>
        </is>
      </c>
      <c r="G100" s="263" t="inlineStr">
        <is>
          <t>286</t>
        </is>
      </c>
      <c r="H100" s="257" t="inlineStr">
        <is>
          <t>136%</t>
        </is>
      </c>
      <c r="I100" s="271" t="n"/>
      <c r="J100" s="271" t="n"/>
      <c r="K100" s="271" t="n"/>
      <c r="L100" s="271" t="n"/>
      <c r="M100" s="271" t="n"/>
      <c r="N100" s="271" t="n"/>
    </row>
    <row r="101" ht="20" customHeight="1">
      <c r="A101" s="271" t="n"/>
      <c r="B101" s="257" t="inlineStr">
        <is>
          <t>План звонков</t>
        </is>
      </c>
      <c r="C101" s="257" t="inlineStr">
        <is>
          <t>Старший менеджер</t>
        </is>
      </c>
      <c r="D101" s="257" t="inlineStr">
        <is>
          <t>210</t>
        </is>
      </c>
      <c r="E101" s="257" t="inlineStr">
        <is>
          <t>Май</t>
        </is>
      </c>
      <c r="F101" s="257" t="inlineStr">
        <is>
          <t>Юлиана Юнусова</t>
        </is>
      </c>
      <c r="G101" s="263" t="inlineStr">
        <is>
          <t>318</t>
        </is>
      </c>
      <c r="H101" s="257" t="inlineStr">
        <is>
          <t>151%</t>
        </is>
      </c>
      <c r="I101" s="271" t="n"/>
      <c r="J101" s="271" t="n"/>
      <c r="K101" s="271" t="n"/>
      <c r="L101" s="271" t="n"/>
      <c r="M101" s="271" t="n"/>
      <c r="N101" s="271" t="n"/>
    </row>
    <row r="102" ht="20" customHeight="1">
      <c r="A102" s="271" t="n"/>
      <c r="B102" s="257" t="inlineStr">
        <is>
          <t>План звонков</t>
        </is>
      </c>
      <c r="C102" s="257" t="inlineStr">
        <is>
          <t>Менеджер</t>
        </is>
      </c>
      <c r="D102" s="257" t="inlineStr">
        <is>
          <t>210</t>
        </is>
      </c>
      <c r="E102" s="257" t="inlineStr">
        <is>
          <t>Май</t>
        </is>
      </c>
      <c r="F102" s="257" t="inlineStr">
        <is>
          <t>Оглоблина Софья</t>
        </is>
      </c>
      <c r="G102" s="263" t="inlineStr">
        <is>
          <t>338</t>
        </is>
      </c>
      <c r="H102" s="257" t="inlineStr">
        <is>
          <t>161%</t>
        </is>
      </c>
      <c r="I102" s="271" t="n"/>
      <c r="J102" s="271" t="n"/>
      <c r="K102" s="271" t="n"/>
      <c r="L102" s="271" t="n"/>
      <c r="M102" s="271" t="n"/>
      <c r="N102" s="271" t="n"/>
    </row>
    <row r="103" ht="20" customHeight="1">
      <c r="A103" s="271" t="n"/>
      <c r="B103" s="257" t="inlineStr">
        <is>
          <t>План звонков</t>
        </is>
      </c>
      <c r="C103" s="257" t="inlineStr">
        <is>
          <t>Старший менеджер</t>
        </is>
      </c>
      <c r="D103" s="257" t="inlineStr">
        <is>
          <t>210</t>
        </is>
      </c>
      <c r="E103" s="257" t="inlineStr">
        <is>
          <t>Июнь</t>
        </is>
      </c>
      <c r="F103" s="257" t="inlineStr">
        <is>
          <t>Юлиана Юнусова</t>
        </is>
      </c>
      <c r="G103" s="263" t="inlineStr">
        <is>
          <t>211</t>
        </is>
      </c>
      <c r="H103" s="257" t="inlineStr">
        <is>
          <t>100%</t>
        </is>
      </c>
      <c r="I103" s="271" t="n"/>
      <c r="J103" s="271" t="n"/>
      <c r="K103" s="271" t="n"/>
      <c r="L103" s="271" t="n"/>
      <c r="M103" s="271" t="n"/>
      <c r="N103" s="271" t="n"/>
    </row>
    <row r="104" ht="20" customHeight="1">
      <c r="A104" s="271" t="n"/>
      <c r="B104" s="257" t="inlineStr">
        <is>
          <t>План звонков</t>
        </is>
      </c>
      <c r="C104" s="257" t="inlineStr">
        <is>
          <t>Менеджер</t>
        </is>
      </c>
      <c r="D104" s="257" t="inlineStr">
        <is>
          <t>210</t>
        </is>
      </c>
      <c r="E104" s="257" t="inlineStr">
        <is>
          <t>Июнь</t>
        </is>
      </c>
      <c r="F104" s="257" t="inlineStr">
        <is>
          <t>Оглоблина Софья</t>
        </is>
      </c>
      <c r="G104" s="263" t="inlineStr">
        <is>
          <t>248</t>
        </is>
      </c>
      <c r="H104" s="257" t="inlineStr">
        <is>
          <t>118%</t>
        </is>
      </c>
      <c r="I104" s="271" t="n"/>
      <c r="J104" s="271" t="n"/>
      <c r="K104" s="271" t="n"/>
      <c r="L104" s="271" t="n"/>
      <c r="M104" s="271" t="n"/>
      <c r="N104" s="271" t="n"/>
    </row>
    <row r="105" ht="20" customHeight="1">
      <c r="A105" s="271" t="n"/>
      <c r="B105" s="257" t="inlineStr">
        <is>
          <t>План звонков</t>
        </is>
      </c>
      <c r="C105" s="257" t="inlineStr">
        <is>
          <t>Старший менеджер</t>
        </is>
      </c>
      <c r="D105" s="257" t="inlineStr">
        <is>
          <t>350</t>
        </is>
      </c>
      <c r="E105" s="257" t="inlineStr">
        <is>
          <t>Июль</t>
        </is>
      </c>
      <c r="F105" s="257" t="inlineStr">
        <is>
          <t>Юлиана Юнусова</t>
        </is>
      </c>
      <c r="G105" s="263" t="inlineStr">
        <is>
          <t>433</t>
        </is>
      </c>
      <c r="H105" s="257" t="inlineStr">
        <is>
          <t>124%</t>
        </is>
      </c>
      <c r="I105" s="271" t="n"/>
      <c r="J105" s="271" t="n"/>
      <c r="K105" s="271" t="n"/>
      <c r="L105" s="271" t="n"/>
      <c r="M105" s="271" t="n"/>
      <c r="N105" s="271" t="n"/>
    </row>
    <row r="106" ht="20" customHeight="1">
      <c r="A106" s="271" t="n"/>
      <c r="B106" s="257" t="inlineStr">
        <is>
          <t>План звонков</t>
        </is>
      </c>
      <c r="C106" s="257" t="inlineStr">
        <is>
          <t>Менеджер</t>
        </is>
      </c>
      <c r="D106" s="257" t="inlineStr">
        <is>
          <t>350</t>
        </is>
      </c>
      <c r="E106" s="257" t="inlineStr">
        <is>
          <t>Июль</t>
        </is>
      </c>
      <c r="F106" s="257" t="inlineStr">
        <is>
          <t>Оглоблина Софья</t>
        </is>
      </c>
      <c r="G106" s="263" t="inlineStr">
        <is>
          <t>383</t>
        </is>
      </c>
      <c r="H106" s="257" t="inlineStr">
        <is>
          <t>109%</t>
        </is>
      </c>
      <c r="I106" s="271" t="n"/>
      <c r="J106" s="271" t="n"/>
      <c r="K106" s="271" t="n"/>
      <c r="L106" s="271" t="n"/>
      <c r="M106" s="271" t="n"/>
      <c r="N106" s="271" t="n"/>
    </row>
    <row r="107" ht="20" customHeight="1">
      <c r="A107" s="271" t="n"/>
      <c r="B107" s="257" t="inlineStr">
        <is>
          <t>План звонков</t>
        </is>
      </c>
      <c r="C107" s="257" t="inlineStr">
        <is>
          <t>Старший менеджер</t>
        </is>
      </c>
      <c r="D107" s="257" t="inlineStr">
        <is>
          <t>350</t>
        </is>
      </c>
      <c r="E107" s="257" t="inlineStr">
        <is>
          <t>Август</t>
        </is>
      </c>
      <c r="F107" s="257" t="inlineStr">
        <is>
          <t>Юлиана Юнусова</t>
        </is>
      </c>
      <c r="G107" s="263" t="inlineStr">
        <is>
          <t>352</t>
        </is>
      </c>
      <c r="H107" s="257" t="inlineStr">
        <is>
          <t>101%</t>
        </is>
      </c>
      <c r="I107" s="271" t="n"/>
      <c r="J107" s="271" t="n"/>
      <c r="K107" s="271" t="n"/>
      <c r="L107" s="271" t="n"/>
      <c r="M107" s="271" t="n"/>
      <c r="N107" s="271" t="n"/>
    </row>
    <row r="108" ht="20" customHeight="1">
      <c r="A108" s="271" t="n"/>
      <c r="B108" s="257" t="inlineStr">
        <is>
          <t>План звонков</t>
        </is>
      </c>
      <c r="C108" s="257" t="inlineStr">
        <is>
          <t>Менеджер</t>
        </is>
      </c>
      <c r="D108" s="257" t="inlineStr">
        <is>
          <t>350</t>
        </is>
      </c>
      <c r="E108" s="257" t="inlineStr">
        <is>
          <t>Август</t>
        </is>
      </c>
      <c r="F108" s="257" t="inlineStr">
        <is>
          <t>Оглоблина Софья</t>
        </is>
      </c>
      <c r="G108" s="263" t="inlineStr">
        <is>
          <t>481</t>
        </is>
      </c>
      <c r="H108" s="257" t="inlineStr">
        <is>
          <t>137%</t>
        </is>
      </c>
      <c r="I108" s="271" t="n"/>
      <c r="J108" s="271" t="n"/>
      <c r="K108" s="271" t="n"/>
      <c r="L108" s="271" t="n"/>
      <c r="M108" s="271" t="n"/>
      <c r="N108" s="271" t="n"/>
    </row>
    <row r="109" ht="20" customHeight="1">
      <c r="A109" s="271" t="n"/>
      <c r="B109" s="257" t="inlineStr">
        <is>
          <t>План звонков</t>
        </is>
      </c>
      <c r="C109" s="257" t="inlineStr">
        <is>
          <t>Менеджер</t>
        </is>
      </c>
      <c r="D109" s="257" t="inlineStr">
        <is>
          <t>350</t>
        </is>
      </c>
      <c r="E109" s="257" t="inlineStr">
        <is>
          <t>Август</t>
        </is>
      </c>
      <c r="F109" s="257" t="inlineStr">
        <is>
          <t>Кургузов Данил</t>
        </is>
      </c>
      <c r="G109" s="263" t="inlineStr">
        <is>
          <t>395</t>
        </is>
      </c>
      <c r="H109" s="257" t="inlineStr">
        <is>
          <t>113%</t>
        </is>
      </c>
      <c r="I109" s="271" t="n"/>
      <c r="J109" s="271" t="n"/>
      <c r="K109" s="271" t="n"/>
      <c r="L109" s="271" t="n"/>
      <c r="M109" s="271" t="n"/>
      <c r="N109" s="271" t="n"/>
    </row>
    <row r="110" ht="20" customHeight="1">
      <c r="A110" s="271" t="n"/>
      <c r="B110" s="257" t="inlineStr">
        <is>
          <t>Разговоры / день</t>
        </is>
      </c>
      <c r="C110" s="257" t="inlineStr">
        <is>
          <t>Старший менеджер</t>
        </is>
      </c>
      <c r="D110" s="257" t="inlineStr">
        <is>
          <t>&gt;20</t>
        </is>
      </c>
      <c r="E110" s="257" t="inlineStr">
        <is>
          <t>Апрель–август</t>
        </is>
      </c>
      <c r="F110" s="257" t="inlineStr">
        <is>
          <t>Юлиана Юнусова</t>
        </is>
      </c>
      <c r="G110" s="263" t="inlineStr">
        <is>
          <t>18,0</t>
        </is>
      </c>
      <c r="H110" s="257" t="inlineStr">
        <is>
          <t>90%</t>
        </is>
      </c>
      <c r="I110" s="271" t="n"/>
      <c r="J110" s="271" t="n"/>
      <c r="K110" s="271" t="n"/>
      <c r="L110" s="271" t="n"/>
      <c r="M110" s="271" t="n"/>
      <c r="N110" s="271" t="n"/>
    </row>
    <row r="111" ht="20" customHeight="1">
      <c r="A111" s="271" t="n"/>
      <c r="B111" s="257" t="inlineStr">
        <is>
          <t>Разговоры / день</t>
        </is>
      </c>
      <c r="C111" s="257" t="inlineStr">
        <is>
          <t>Менеджер</t>
        </is>
      </c>
      <c r="D111" s="257" t="inlineStr">
        <is>
          <t>&gt;20</t>
        </is>
      </c>
      <c r="E111" s="257" t="inlineStr">
        <is>
          <t>Апрель–август</t>
        </is>
      </c>
      <c r="F111" s="257" t="inlineStr">
        <is>
          <t>Оглоблина Софья</t>
        </is>
      </c>
      <c r="G111" s="263" t="inlineStr">
        <is>
          <t>19,4</t>
        </is>
      </c>
      <c r="H111" s="257" t="inlineStr">
        <is>
          <t>97%</t>
        </is>
      </c>
      <c r="I111" s="271" t="n"/>
      <c r="J111" s="271" t="n"/>
      <c r="K111" s="271" t="n"/>
      <c r="L111" s="271" t="n"/>
      <c r="M111" s="271" t="n"/>
      <c r="N111" s="271" t="n"/>
    </row>
    <row r="112" ht="20" customHeight="1">
      <c r="A112" s="271" t="n"/>
      <c r="B112" s="257" t="inlineStr">
        <is>
          <t>Разговоры / день</t>
        </is>
      </c>
      <c r="C112" s="257" t="inlineStr">
        <is>
          <t>Менеджер</t>
        </is>
      </c>
      <c r="D112" s="257" t="inlineStr">
        <is>
          <t>&gt;20</t>
        </is>
      </c>
      <c r="E112" s="257" t="inlineStr">
        <is>
          <t>Август</t>
        </is>
      </c>
      <c r="F112" s="257" t="inlineStr">
        <is>
          <t>Кургузов Данил</t>
        </is>
      </c>
      <c r="G112" s="263" t="inlineStr">
        <is>
          <t>18,8</t>
        </is>
      </c>
      <c r="H112" s="257" t="inlineStr">
        <is>
          <t>94%</t>
        </is>
      </c>
      <c r="I112" s="271" t="n"/>
      <c r="J112" s="271" t="n"/>
      <c r="K112" s="271" t="n"/>
      <c r="L112" s="271" t="n"/>
      <c r="M112" s="271" t="n"/>
      <c r="N112" s="271" t="n"/>
    </row>
    <row r="113" ht="20" customHeight="1">
      <c r="A113" s="271" t="n"/>
      <c r="B113" s="257" t="inlineStr">
        <is>
          <t>Скорость включения</t>
        </is>
      </c>
      <c r="C113" s="257" t="inlineStr">
        <is>
          <t>Все</t>
        </is>
      </c>
      <c r="D113" s="257" t="inlineStr">
        <is>
          <t>По сроку</t>
        </is>
      </c>
      <c r="E113" s="257" t="inlineStr">
        <is>
          <t>Апрель–август</t>
        </is>
      </c>
      <c r="F113" s="257" t="inlineStr">
        <is>
          <t>Команда</t>
        </is>
      </c>
      <c r="G113" s="263" t="inlineStr">
        <is>
          <t>1 день</t>
        </is>
      </c>
      <c r="H113" s="257" t="inlineStr">
        <is>
          <t>В срок</t>
        </is>
      </c>
      <c r="I113" s="271" t="n"/>
      <c r="J113" s="271" t="n"/>
      <c r="K113" s="271" t="n"/>
      <c r="L113" s="271" t="n"/>
      <c r="M113" s="271" t="n"/>
      <c r="N113" s="271" t="n"/>
    </row>
    <row r="114" ht="20" customHeight="1">
      <c r="A114" s="271" t="n"/>
      <c r="B114" s="257" t="inlineStr">
        <is>
          <t>Обратная связь</t>
        </is>
      </c>
      <c r="C114" s="257" t="inlineStr">
        <is>
          <t>Все</t>
        </is>
      </c>
      <c r="D114" s="257" t="inlineStr">
        <is>
          <t>100%</t>
        </is>
      </c>
      <c r="E114" s="257" t="inlineStr">
        <is>
          <t>Апрель–август</t>
        </is>
      </c>
      <c r="F114" s="257" t="inlineStr">
        <is>
          <t>Команда</t>
        </is>
      </c>
      <c r="G114" s="263" t="inlineStr">
        <is>
          <t>94%</t>
        </is>
      </c>
      <c r="H114" s="257" t="inlineStr">
        <is>
          <t>Ниже норматива</t>
        </is>
      </c>
      <c r="I114" s="271" t="n"/>
      <c r="J114" s="271" t="n"/>
      <c r="K114" s="271" t="n"/>
      <c r="L114" s="271" t="n"/>
      <c r="M114" s="271" t="n"/>
      <c r="N114" s="271" t="n"/>
    </row>
    <row r="115" ht="20" customHeight="1">
      <c r="A115" s="271" t="n"/>
      <c r="B115" s="257" t="inlineStr">
        <is>
          <t>Демонстрации</t>
        </is>
      </c>
      <c r="C115" s="257" t="inlineStr">
        <is>
          <t>Старший менеджер</t>
        </is>
      </c>
      <c r="D115" s="257" t="inlineStr">
        <is>
          <t>План проекта</t>
        </is>
      </c>
      <c r="E115" s="257" t="inlineStr">
        <is>
          <t>Июль</t>
        </is>
      </c>
      <c r="F115" s="257" t="inlineStr">
        <is>
          <t>Юлиана Юнусова</t>
        </is>
      </c>
      <c r="G115" s="263" t="inlineStr">
        <is>
          <t>15/15 Кабинет сотрудника</t>
        </is>
      </c>
      <c r="H115" s="257" t="inlineStr">
        <is>
          <t>100%</t>
        </is>
      </c>
      <c r="I115" s="271" t="n"/>
      <c r="J115" s="271" t="n"/>
      <c r="K115" s="271" t="n"/>
      <c r="L115" s="271" t="n"/>
      <c r="M115" s="271" t="n"/>
      <c r="N115" s="271" t="n"/>
    </row>
    <row r="116" ht="20" customHeight="1">
      <c r="A116" s="271" t="n"/>
      <c r="B116" s="257" t="inlineStr">
        <is>
          <t>Демонстрации</t>
        </is>
      </c>
      <c r="C116" s="257" t="inlineStr">
        <is>
          <t>Менеджер</t>
        </is>
      </c>
      <c r="D116" s="257" t="inlineStr">
        <is>
          <t>План проекта</t>
        </is>
      </c>
      <c r="E116" s="257" t="inlineStr">
        <is>
          <t>Июль</t>
        </is>
      </c>
      <c r="F116" s="257" t="inlineStr">
        <is>
          <t>Оглоблина Софья</t>
        </is>
      </c>
      <c r="G116" s="263" t="inlineStr">
        <is>
          <t>4/15 Кабинет сотрудника</t>
        </is>
      </c>
      <c r="H116" s="257" t="inlineStr">
        <is>
          <t>27%</t>
        </is>
      </c>
      <c r="I116" s="271" t="n"/>
      <c r="J116" s="271" t="n"/>
      <c r="K116" s="271" t="n"/>
      <c r="L116" s="271" t="n"/>
      <c r="M116" s="271" t="n"/>
      <c r="N116" s="271" t="n"/>
    </row>
    <row r="117" ht="20" customHeight="1">
      <c r="A117" s="271" t="n"/>
      <c r="B117" s="257" t="inlineStr">
        <is>
          <t>Демонстрации</t>
        </is>
      </c>
      <c r="C117" s="257" t="inlineStr">
        <is>
          <t>Старший менеджер</t>
        </is>
      </c>
      <c r="D117" s="257" t="inlineStr">
        <is>
          <t>План проекта</t>
        </is>
      </c>
      <c r="E117" s="257" t="inlineStr">
        <is>
          <t>Август</t>
        </is>
      </c>
      <c r="F117" s="257" t="inlineStr">
        <is>
          <t>Юлиана Юнусова</t>
        </is>
      </c>
      <c r="G117" s="263" t="inlineStr">
        <is>
          <t>8/10 Кабинет сотрудника</t>
        </is>
      </c>
      <c r="H117" s="257" t="inlineStr">
        <is>
          <t>80%</t>
        </is>
      </c>
      <c r="I117" s="271" t="n"/>
      <c r="J117" s="271" t="n"/>
      <c r="K117" s="271" t="n"/>
      <c r="L117" s="271" t="n"/>
      <c r="M117" s="271" t="n"/>
      <c r="N117" s="271" t="n"/>
    </row>
    <row r="118" ht="20" customHeight="1">
      <c r="A118" s="271" t="n"/>
      <c r="B118" s="257" t="inlineStr">
        <is>
          <t>Демонстрации</t>
        </is>
      </c>
      <c r="C118" s="257" t="inlineStr">
        <is>
          <t>Менеджер</t>
        </is>
      </c>
      <c r="D118" s="257" t="inlineStr">
        <is>
          <t>План проекта</t>
        </is>
      </c>
      <c r="E118" s="257" t="inlineStr">
        <is>
          <t>Август</t>
        </is>
      </c>
      <c r="F118" s="257" t="inlineStr">
        <is>
          <t>Оглоблина Софья</t>
        </is>
      </c>
      <c r="G118" s="263" t="inlineStr">
        <is>
          <t>2/10 Кабинет сотрудника</t>
        </is>
      </c>
      <c r="H118" s="257" t="inlineStr">
        <is>
          <t>20%</t>
        </is>
      </c>
      <c r="I118" s="271" t="n"/>
      <c r="J118" s="271" t="n"/>
      <c r="K118" s="271" t="n"/>
      <c r="L118" s="271" t="n"/>
      <c r="M118" s="271" t="n"/>
      <c r="N118" s="271" t="n"/>
    </row>
    <row r="119" ht="20" customHeight="1">
      <c r="A119" s="271" t="n"/>
      <c r="B119" s="257" t="inlineStr">
        <is>
          <t>Демонстрации</t>
        </is>
      </c>
      <c r="C119" s="257" t="inlineStr">
        <is>
          <t>Менеджер</t>
        </is>
      </c>
      <c r="D119" s="257" t="inlineStr">
        <is>
          <t>План проекта</t>
        </is>
      </c>
      <c r="E119" s="257" t="inlineStr">
        <is>
          <t>Август</t>
        </is>
      </c>
      <c r="F119" s="257" t="inlineStr">
        <is>
          <t>Кургузов Данил</t>
        </is>
      </c>
      <c r="G119" s="263" t="inlineStr">
        <is>
          <t>2/10 Кабинет сотрудника</t>
        </is>
      </c>
      <c r="H119" s="257" t="inlineStr">
        <is>
          <t>20%</t>
        </is>
      </c>
      <c r="I119" s="271" t="n"/>
      <c r="J119" s="271" t="n"/>
      <c r="K119" s="271" t="n"/>
      <c r="L119" s="271" t="n"/>
      <c r="M119" s="271" t="n"/>
      <c r="N119" s="271" t="n"/>
    </row>
    <row r="120" ht="20" customHeight="1">
      <c r="A120" s="271" t="n"/>
      <c r="B120" s="257" t="inlineStr">
        <is>
          <t>Launch-пакет</t>
        </is>
      </c>
      <c r="C120" s="257" t="inlineStr">
        <is>
          <t>Тимлид</t>
        </is>
      </c>
      <c r="D120" s="257" t="inlineStr">
        <is>
          <t>100%</t>
        </is>
      </c>
      <c r="E120" s="257" t="inlineStr">
        <is>
          <t>Апрель–август</t>
        </is>
      </c>
      <c r="F120" s="257" t="inlineStr">
        <is>
          <t>Блохина Елизавета</t>
        </is>
      </c>
      <c r="G120" s="263" t="inlineStr">
        <is>
          <t>Скорая помощь и 1С-ЭПД закрыты; Доки 2/4</t>
        </is>
      </c>
      <c r="H120" s="257" t="inlineStr">
        <is>
          <t>Частично</t>
        </is>
      </c>
      <c r="I120" s="271" t="n"/>
      <c r="J120" s="271" t="n"/>
      <c r="K120" s="271" t="n"/>
      <c r="L120" s="271" t="n"/>
      <c r="M120" s="271" t="n"/>
      <c r="N120" s="271" t="n"/>
    </row>
    <row r="121" ht="18" customHeight="1">
      <c r="A121" s="271" t="n"/>
      <c r="B121" s="271" t="n"/>
      <c r="C121" s="271" t="n"/>
      <c r="D121" s="271" t="n"/>
      <c r="E121" s="271" t="n"/>
      <c r="F121" s="271" t="n"/>
      <c r="G121" s="271" t="n"/>
      <c r="H121" s="271" t="n"/>
      <c r="I121" s="271" t="n"/>
      <c r="J121" s="271" t="n"/>
      <c r="K121" s="271" t="n"/>
      <c r="L121" s="271" t="n"/>
      <c r="M121" s="271" t="n"/>
      <c r="N121" s="271" t="n"/>
    </row>
    <row r="122" ht="22" customHeight="1">
      <c r="A122" s="271" t="n"/>
      <c r="B122" s="272" t="inlineStr">
        <is>
          <t>ДЕТАЛИЗАЦИЯ РЕЗУЛЬТАТИВНОСТИ</t>
        </is>
      </c>
      <c r="C122" s="95" t="n"/>
      <c r="D122" s="95" t="n"/>
      <c r="E122" s="95" t="n"/>
      <c r="F122" s="95" t="n"/>
      <c r="G122" s="95" t="n"/>
      <c r="H122" s="95" t="n"/>
      <c r="I122" s="95" t="n"/>
      <c r="J122" s="271" t="n"/>
      <c r="K122" s="271" t="n"/>
      <c r="L122" s="271" t="n"/>
      <c r="M122" s="271" t="n"/>
      <c r="N122" s="271" t="n"/>
    </row>
    <row r="123" ht="30" customHeight="1">
      <c r="A123" s="271" t="n"/>
      <c r="B123" s="239" t="inlineStr">
        <is>
          <t>Показатель</t>
        </is>
      </c>
      <c r="C123" s="239" t="inlineStr">
        <is>
          <t>Роль</t>
        </is>
      </c>
      <c r="D123" s="239" t="inlineStr">
        <is>
          <t>Норматив</t>
        </is>
      </c>
      <c r="E123" s="239" t="inlineStr">
        <is>
          <t>Проект</t>
        </is>
      </c>
      <c r="F123" s="239" t="inlineStr">
        <is>
          <t>Факт</t>
        </is>
      </c>
      <c r="G123" s="239" t="inlineStr">
        <is>
          <t>Статус</t>
        </is>
      </c>
      <c r="H123" s="271" t="n"/>
      <c r="I123" s="271" t="n"/>
      <c r="J123" s="271" t="n"/>
      <c r="K123" s="271" t="n"/>
      <c r="L123" s="271" t="n"/>
      <c r="M123" s="271" t="n"/>
      <c r="N123" s="271" t="n"/>
    </row>
    <row r="124" ht="22" customHeight="1">
      <c r="A124" s="271" t="n"/>
      <c r="B124" s="257" t="inlineStr">
        <is>
          <t>Передача в тираж</t>
        </is>
      </c>
      <c r="C124" s="257" t="inlineStr">
        <is>
          <t>Тимлид</t>
        </is>
      </c>
      <c r="D124" s="257" t="inlineStr">
        <is>
          <t>Цель + готовность</t>
        </is>
      </c>
      <c r="E124" s="257" t="inlineStr">
        <is>
          <t>Скорая помощь</t>
        </is>
      </c>
      <c r="F124" s="263" t="inlineStr">
        <is>
          <t>8/5 продаж, передан</t>
        </is>
      </c>
      <c r="G124" s="257" t="inlineStr">
        <is>
          <t>Выполнено</t>
        </is>
      </c>
      <c r="H124" s="271" t="n"/>
      <c r="I124" s="271" t="n"/>
      <c r="J124" s="271" t="n"/>
      <c r="K124" s="271" t="n"/>
      <c r="L124" s="271" t="n"/>
      <c r="M124" s="271" t="n"/>
      <c r="N124" s="271" t="n"/>
    </row>
    <row r="125" ht="22" customHeight="1">
      <c r="A125" s="271" t="n"/>
      <c r="B125" s="257" t="inlineStr">
        <is>
          <t>Передача в тираж</t>
        </is>
      </c>
      <c r="C125" s="257" t="inlineStr">
        <is>
          <t>Тимлид</t>
        </is>
      </c>
      <c r="D125" s="257" t="inlineStr">
        <is>
          <t>Цель + готовность</t>
        </is>
      </c>
      <c r="E125" s="257" t="inlineStr">
        <is>
          <t>1С-ЭПД</t>
        </is>
      </c>
      <c r="F125" s="263" t="inlineStr">
        <is>
          <t>22/22, передан; на поддержке</t>
        </is>
      </c>
      <c r="G125" s="257" t="inlineStr">
        <is>
          <t>Выполнено</t>
        </is>
      </c>
      <c r="H125" s="271" t="n"/>
      <c r="I125" s="271" t="n"/>
      <c r="J125" s="271" t="n"/>
      <c r="K125" s="271" t="n"/>
      <c r="L125" s="271" t="n"/>
      <c r="M125" s="271" t="n"/>
      <c r="N125" s="271" t="n"/>
    </row>
    <row r="126" ht="22" customHeight="1">
      <c r="A126" s="271" t="n"/>
      <c r="B126" s="257" t="inlineStr">
        <is>
          <t>Передача в тираж</t>
        </is>
      </c>
      <c r="C126" s="257" t="inlineStr">
        <is>
          <t>Тимлид</t>
        </is>
      </c>
      <c r="D126" s="257" t="inlineStr">
        <is>
          <t>Гипотезы к тиражу</t>
        </is>
      </c>
      <c r="E126" s="257" t="inlineStr">
        <is>
          <t>Доки / Доки.логистика</t>
        </is>
      </c>
      <c r="F126" s="263" t="inlineStr">
        <is>
          <t>2 гипотезы переданы, 2 в проработке</t>
        </is>
      </c>
      <c r="G126" s="257" t="inlineStr">
        <is>
          <t>Частично</t>
        </is>
      </c>
      <c r="H126" s="271" t="n"/>
      <c r="I126" s="271" t="n"/>
      <c r="J126" s="271" t="n"/>
      <c r="K126" s="271" t="n"/>
      <c r="L126" s="271" t="n"/>
      <c r="M126" s="271" t="n"/>
      <c r="N126" s="271" t="n"/>
    </row>
    <row r="127" ht="22" customHeight="1">
      <c r="A127" s="271" t="n"/>
      <c r="B127" s="257" t="inlineStr">
        <is>
          <t>Цель проекта</t>
        </is>
      </c>
      <c r="C127" s="257" t="inlineStr">
        <is>
          <t>МПП</t>
        </is>
      </c>
      <c r="D127" s="257" t="inlineStr">
        <is>
          <t>100% плана</t>
        </is>
      </c>
      <c r="E127" s="257" t="inlineStr">
        <is>
          <t>Кабинет сотрудника, июль</t>
        </is>
      </c>
      <c r="F127" s="263" t="inlineStr">
        <is>
          <t>19/30 демо</t>
        </is>
      </c>
      <c r="G127" s="257" t="inlineStr">
        <is>
          <t>Не достигнуто</t>
        </is>
      </c>
      <c r="H127" s="271" t="n"/>
      <c r="I127" s="271" t="n"/>
      <c r="J127" s="271" t="n"/>
      <c r="K127" s="271" t="n"/>
      <c r="L127" s="271" t="n"/>
      <c r="M127" s="271" t="n"/>
      <c r="N127" s="271" t="n"/>
    </row>
    <row r="128" ht="22" customHeight="1">
      <c r="A128" s="271" t="n"/>
      <c r="B128" s="257" t="inlineStr">
        <is>
          <t>Цель проекта</t>
        </is>
      </c>
      <c r="C128" s="257" t="inlineStr">
        <is>
          <t>МПП</t>
        </is>
      </c>
      <c r="D128" s="257" t="inlineStr">
        <is>
          <t>100% плана</t>
        </is>
      </c>
      <c r="E128" s="257" t="inlineStr">
        <is>
          <t>Кабинет сотрудника, август</t>
        </is>
      </c>
      <c r="F128" s="263" t="inlineStr">
        <is>
          <t>12/30 демо (8+2+2)</t>
        </is>
      </c>
      <c r="G128" s="257" t="inlineStr">
        <is>
          <t>Не достигнуто</t>
        </is>
      </c>
      <c r="H128" s="271" t="n"/>
      <c r="I128" s="271" t="n"/>
      <c r="J128" s="271" t="n"/>
      <c r="K128" s="271" t="n"/>
      <c r="L128" s="271" t="n"/>
      <c r="M128" s="271" t="n"/>
      <c r="N128" s="271" t="n"/>
    </row>
    <row r="129" ht="22" customHeight="1">
      <c r="A129" s="271" t="n"/>
      <c r="B129" s="257" t="inlineStr">
        <is>
          <t>Цель проекта</t>
        </is>
      </c>
      <c r="C129" s="257" t="inlineStr">
        <is>
          <t>МПП</t>
        </is>
      </c>
      <c r="D129" s="257" t="inlineStr">
        <is>
          <t>100% плана</t>
        </is>
      </c>
      <c r="E129" s="257" t="inlineStr">
        <is>
          <t>Smartway, август</t>
        </is>
      </c>
      <c r="F129" s="263" t="inlineStr">
        <is>
          <t>32/30 предложений (11+9+12)</t>
        </is>
      </c>
      <c r="G129" s="257" t="inlineStr">
        <is>
          <t>Выполнено</t>
        </is>
      </c>
      <c r="H129" s="271" t="n"/>
      <c r="I129" s="271" t="n"/>
      <c r="J129" s="271" t="n"/>
      <c r="K129" s="271" t="n"/>
      <c r="L129" s="271" t="n"/>
      <c r="M129" s="271" t="n"/>
      <c r="N129" s="271" t="n"/>
    </row>
    <row r="130" ht="22" customHeight="1">
      <c r="A130" s="271" t="n"/>
      <c r="B130" s="257" t="inlineStr">
        <is>
          <t>Цель проекта</t>
        </is>
      </c>
      <c r="C130" s="257" t="inlineStr">
        <is>
          <t>МПП</t>
        </is>
      </c>
      <c r="D130" s="257" t="inlineStr">
        <is>
          <t>План подключений</t>
        </is>
      </c>
      <c r="E130" s="257" t="inlineStr">
        <is>
          <t>Доки / Доки.логистика, июль</t>
        </is>
      </c>
      <c r="F130" s="263" t="inlineStr">
        <is>
          <t>5 подключений (4+1)</t>
        </is>
      </c>
      <c r="G130" s="257" t="inlineStr">
        <is>
          <t>Частично</t>
        </is>
      </c>
      <c r="H130" s="271" t="n"/>
      <c r="I130" s="271" t="n"/>
      <c r="J130" s="271" t="n"/>
      <c r="K130" s="271" t="n"/>
      <c r="L130" s="271" t="n"/>
      <c r="M130" s="271" t="n"/>
      <c r="N130" s="271" t="n"/>
    </row>
    <row r="131" ht="22" customHeight="1">
      <c r="A131" s="271" t="n"/>
      <c r="B131" s="257" t="inlineStr">
        <is>
          <t>Цель проекта</t>
        </is>
      </c>
      <c r="C131" s="257" t="inlineStr">
        <is>
          <t>МПП</t>
        </is>
      </c>
      <c r="D131" s="257" t="inlineStr">
        <is>
          <t>План подключений</t>
        </is>
      </c>
      <c r="E131" s="257" t="inlineStr">
        <is>
          <t>Доки / Доки.логистика, август</t>
        </is>
      </c>
      <c r="F131" s="263" t="inlineStr">
        <is>
          <t>11 подключений (9+1+1)</t>
        </is>
      </c>
      <c r="G131" s="257" t="inlineStr">
        <is>
          <t>Частично</t>
        </is>
      </c>
      <c r="H131" s="271" t="n"/>
      <c r="I131" s="271" t="n"/>
      <c r="J131" s="271" t="n"/>
      <c r="K131" s="271" t="n"/>
      <c r="L131" s="271" t="n"/>
      <c r="M131" s="271" t="n"/>
      <c r="N131" s="271" t="n"/>
    </row>
    <row r="132" ht="22" customHeight="1">
      <c r="A132" s="271" t="n"/>
      <c r="B132" s="257" t="inlineStr">
        <is>
          <t>Продажи проекта</t>
        </is>
      </c>
      <c r="C132" s="257" t="inlineStr">
        <is>
          <t>МПП</t>
        </is>
      </c>
      <c r="D132" s="257" t="inlineStr">
        <is>
          <t>План проекта</t>
        </is>
      </c>
      <c r="E132" s="257" t="inlineStr">
        <is>
          <t>1С-ЭПД, май</t>
        </is>
      </c>
      <c r="F132" s="263" t="inlineStr">
        <is>
          <t>22/22 (16+6)</t>
        </is>
      </c>
      <c r="G132" s="257" t="inlineStr">
        <is>
          <t>Выполнено</t>
        </is>
      </c>
      <c r="H132" s="271" t="n"/>
      <c r="I132" s="271" t="n"/>
      <c r="J132" s="271" t="n"/>
      <c r="K132" s="271" t="n"/>
      <c r="L132" s="271" t="n"/>
      <c r="M132" s="271" t="n"/>
      <c r="N132" s="271" t="n"/>
    </row>
    <row r="133" ht="22" customHeight="1">
      <c r="A133" s="271" t="n"/>
      <c r="B133" s="257" t="inlineStr">
        <is>
          <t>Продажи проекта</t>
        </is>
      </c>
      <c r="C133" s="257" t="inlineStr">
        <is>
          <t>МПП</t>
        </is>
      </c>
      <c r="D133" s="257" t="inlineStr">
        <is>
          <t>План проекта</t>
        </is>
      </c>
      <c r="E133" s="257" t="inlineStr">
        <is>
          <t>Скорая помощь, апрель</t>
        </is>
      </c>
      <c r="F133" s="263" t="inlineStr">
        <is>
          <t>8/5 (8+0)</t>
        </is>
      </c>
      <c r="G133" s="257" t="inlineStr">
        <is>
          <t>Выполнено</t>
        </is>
      </c>
      <c r="H133" s="271" t="n"/>
      <c r="I133" s="271" t="n"/>
      <c r="J133" s="271" t="n"/>
      <c r="K133" s="271" t="n"/>
      <c r="L133" s="271" t="n"/>
      <c r="M133" s="271" t="n"/>
      <c r="N133" s="271" t="n"/>
    </row>
    <row r="134" ht="22" customHeight="1">
      <c r="A134" s="271" t="n"/>
      <c r="B134" s="257" t="inlineStr">
        <is>
          <t>В работе</t>
        </is>
      </c>
      <c r="C134" s="257" t="inlineStr">
        <is>
          <t>Тимлид</t>
        </is>
      </c>
      <c r="D134" s="257" t="inlineStr">
        <is>
          <t>Контур запуска</t>
        </is>
      </c>
      <c r="E134" s="257" t="inlineStr">
        <is>
          <t>Кабинет сотрудника, Доки, Smartway, Блиц.запись</t>
        </is>
      </c>
      <c r="F134" s="263" t="inlineStr">
        <is>
          <t>Активные запуски августа</t>
        </is>
      </c>
      <c r="G134" s="257" t="inlineStr">
        <is>
          <t>В работе</t>
        </is>
      </c>
      <c r="H134" s="271" t="n"/>
      <c r="I134" s="271" t="n"/>
      <c r="J134" s="271" t="n"/>
      <c r="K134" s="271" t="n"/>
      <c r="L134" s="271" t="n"/>
      <c r="M134" s="271" t="n"/>
      <c r="N134" s="271" t="n"/>
    </row>
    <row r="135" ht="22" customHeight="1">
      <c r="A135" s="271" t="n"/>
      <c r="B135" s="257" t="inlineStr">
        <is>
          <t>Поддержка</t>
        </is>
      </c>
      <c r="C135" s="257" t="inlineStr">
        <is>
          <t>Тимлид</t>
        </is>
      </c>
      <c r="D135" s="257" t="inlineStr">
        <is>
          <t>После передачи</t>
        </is>
      </c>
      <c r="E135" s="257" t="inlineStr">
        <is>
          <t>1С-ЭПД</t>
        </is>
      </c>
      <c r="F135" s="263" t="inlineStr">
        <is>
          <t>На поддержке после передачи в тираж</t>
        </is>
      </c>
      <c r="G135" s="257" t="inlineStr">
        <is>
          <t>Поддержка</t>
        </is>
      </c>
      <c r="H135" s="271" t="n"/>
      <c r="I135" s="271" t="n"/>
      <c r="J135" s="271" t="n"/>
      <c r="K135" s="271" t="n"/>
      <c r="L135" s="271" t="n"/>
      <c r="M135" s="271" t="n"/>
      <c r="N135" s="271" t="n"/>
    </row>
    <row r="136" ht="18" customHeight="1">
      <c r="A136" s="271" t="n"/>
      <c r="B136" s="271" t="n"/>
      <c r="C136" s="271" t="n"/>
      <c r="D136" s="271" t="n"/>
      <c r="E136" s="271" t="n"/>
      <c r="F136" s="271" t="n"/>
      <c r="G136" s="271" t="n"/>
      <c r="H136" s="271" t="n"/>
      <c r="I136" s="271" t="n"/>
      <c r="J136" s="271" t="n"/>
      <c r="K136" s="271" t="n"/>
      <c r="L136" s="271" t="n"/>
      <c r="M136" s="271" t="n"/>
      <c r="N136" s="271" t="n"/>
    </row>
    <row r="137" ht="18" customHeight="1">
      <c r="A137" s="271" t="n"/>
      <c r="B137" s="271" t="n"/>
      <c r="C137" s="271" t="n"/>
      <c r="D137" s="271" t="n"/>
      <c r="E137" s="271" t="n"/>
      <c r="F137" s="271" t="n"/>
      <c r="G137" s="271" t="n"/>
      <c r="H137" s="271" t="n"/>
      <c r="I137" s="271" t="n"/>
      <c r="J137" s="271" t="n"/>
      <c r="K137" s="271" t="n"/>
      <c r="L137" s="271" t="n"/>
      <c r="M137" s="271" t="n"/>
      <c r="N137" s="271" t="n"/>
    </row>
    <row r="138" ht="18" customHeight="1">
      <c r="A138" s="271" t="n"/>
      <c r="B138" s="271" t="n"/>
      <c r="C138" s="271" t="n"/>
      <c r="D138" s="271" t="n"/>
      <c r="E138" s="271" t="n"/>
      <c r="F138" s="271" t="n"/>
      <c r="G138" s="271" t="n"/>
      <c r="H138" s="271" t="n"/>
      <c r="I138" s="271" t="n"/>
      <c r="J138" s="271" t="n"/>
      <c r="K138" s="271" t="n"/>
      <c r="L138" s="271" t="n"/>
      <c r="M138" s="271" t="n"/>
      <c r="N138" s="271" t="n"/>
    </row>
    <row r="139" ht="18" customHeight="1">
      <c r="A139" s="271" t="n"/>
      <c r="B139" s="271" t="n"/>
      <c r="C139" s="271" t="n"/>
      <c r="D139" s="271" t="n"/>
      <c r="E139" s="271" t="n"/>
      <c r="F139" s="271" t="n"/>
      <c r="G139" s="271" t="n"/>
      <c r="H139" s="271" t="n"/>
      <c r="I139" s="271" t="n"/>
      <c r="J139" s="271" t="n"/>
      <c r="K139" s="271" t="n"/>
      <c r="L139" s="271" t="n"/>
      <c r="M139" s="271" t="n"/>
      <c r="N139" s="271" t="n"/>
    </row>
    <row r="140" ht="18" customHeight="1">
      <c r="A140" s="271" t="n"/>
      <c r="B140" s="271" t="n"/>
      <c r="C140" s="271" t="n"/>
      <c r="D140" s="271" t="n"/>
      <c r="E140" s="271" t="n"/>
      <c r="F140" s="271" t="n"/>
      <c r="G140" s="271" t="n"/>
      <c r="H140" s="271" t="n"/>
      <c r="I140" s="271" t="n"/>
      <c r="J140" s="271" t="n"/>
      <c r="K140" s="271" t="n"/>
      <c r="L140" s="271" t="n"/>
      <c r="M140" s="271" t="n"/>
      <c r="N140" s="271" t="n"/>
    </row>
    <row r="141" ht="18" customHeight="1">
      <c r="A141" s="271" t="n"/>
      <c r="B141" s="271" t="n"/>
      <c r="C141" s="271" t="n"/>
      <c r="D141" s="271" t="n"/>
      <c r="E141" s="271" t="n"/>
      <c r="F141" s="271" t="n"/>
      <c r="G141" s="271" t="n"/>
      <c r="H141" s="271" t="n"/>
      <c r="I141" s="271" t="n"/>
      <c r="J141" s="271" t="n"/>
      <c r="K141" s="271" t="n"/>
      <c r="L141" s="271" t="n"/>
      <c r="M141" s="271" t="n"/>
      <c r="N141" s="271" t="n"/>
    </row>
    <row r="142" ht="18" customHeight="1">
      <c r="A142" s="271" t="n"/>
      <c r="B142" s="271" t="n"/>
      <c r="C142" s="271" t="n"/>
      <c r="D142" s="271" t="n"/>
      <c r="E142" s="271" t="n"/>
      <c r="F142" s="271" t="n"/>
      <c r="G142" s="271" t="n"/>
      <c r="H142" s="271" t="n"/>
      <c r="I142" s="271" t="n"/>
      <c r="J142" s="271" t="n"/>
      <c r="K142" s="271" t="n"/>
      <c r="L142" s="271" t="n"/>
      <c r="M142" s="271" t="n"/>
      <c r="N142" s="271" t="n"/>
    </row>
    <row r="143" ht="18" customHeight="1">
      <c r="A143" s="271" t="n"/>
      <c r="B143" s="271" t="n"/>
      <c r="C143" s="271" t="n"/>
      <c r="D143" s="271" t="n"/>
      <c r="E143" s="271" t="n"/>
      <c r="F143" s="271" t="n"/>
      <c r="G143" s="271" t="n"/>
      <c r="H143" s="271" t="n"/>
      <c r="I143" s="271" t="n"/>
      <c r="J143" s="271" t="n"/>
      <c r="K143" s="271" t="n"/>
      <c r="L143" s="271" t="n"/>
      <c r="M143" s="271" t="n"/>
      <c r="N143" s="271" t="n"/>
    </row>
    <row r="144" ht="18" customHeight="1">
      <c r="A144" s="271" t="n"/>
      <c r="B144" s="271" t="n"/>
      <c r="C144" s="271" t="n"/>
      <c r="D144" s="271" t="n"/>
      <c r="E144" s="271" t="n"/>
      <c r="F144" s="271" t="n"/>
      <c r="G144" s="271" t="n"/>
      <c r="H144" s="271" t="n"/>
      <c r="I144" s="271" t="n"/>
      <c r="J144" s="271" t="n"/>
      <c r="K144" s="271" t="n"/>
      <c r="L144" s="271" t="n"/>
      <c r="M144" s="271" t="n"/>
      <c r="N144" s="271" t="n"/>
    </row>
    <row r="145" ht="18" customHeight="1">
      <c r="A145" s="271" t="n"/>
      <c r="B145" s="271" t="n"/>
      <c r="C145" s="271" t="n"/>
      <c r="D145" s="271" t="n"/>
      <c r="E145" s="271" t="n"/>
      <c r="F145" s="271" t="n"/>
      <c r="G145" s="271" t="n"/>
      <c r="H145" s="271" t="n"/>
      <c r="I145" s="271" t="n"/>
      <c r="J145" s="271" t="n"/>
      <c r="K145" s="271" t="n"/>
      <c r="L145" s="271" t="n"/>
      <c r="M145" s="271" t="n"/>
      <c r="N145" s="271" t="n"/>
    </row>
    <row r="146" ht="18" customHeight="1">
      <c r="A146" s="271" t="n"/>
      <c r="B146" s="271" t="n"/>
      <c r="C146" s="271" t="n"/>
      <c r="D146" s="271" t="n"/>
      <c r="E146" s="271" t="n"/>
      <c r="F146" s="271" t="n"/>
      <c r="G146" s="271" t="n"/>
      <c r="H146" s="271" t="n"/>
      <c r="I146" s="271" t="n"/>
      <c r="J146" s="271" t="n"/>
      <c r="K146" s="271" t="n"/>
      <c r="L146" s="271" t="n"/>
      <c r="M146" s="271" t="n"/>
      <c r="N146" s="271" t="n"/>
    </row>
    <row r="147" ht="18" customHeight="1">
      <c r="A147" s="271" t="n"/>
      <c r="B147" s="271" t="n"/>
      <c r="C147" s="271" t="n"/>
      <c r="D147" s="271" t="n"/>
      <c r="E147" s="271" t="n"/>
      <c r="F147" s="271" t="n"/>
      <c r="G147" s="271" t="n"/>
      <c r="H147" s="271" t="n"/>
      <c r="I147" s="271" t="n"/>
      <c r="J147" s="271" t="n"/>
      <c r="K147" s="271" t="n"/>
      <c r="L147" s="271" t="n"/>
      <c r="M147" s="271" t="n"/>
      <c r="N147" s="271" t="n"/>
    </row>
    <row r="148" ht="18" customHeight="1">
      <c r="A148" s="271" t="n"/>
      <c r="B148" s="271" t="n"/>
      <c r="C148" s="271" t="n"/>
      <c r="D148" s="271" t="n"/>
      <c r="E148" s="271" t="n"/>
      <c r="F148" s="271" t="n"/>
      <c r="G148" s="271" t="n"/>
      <c r="H148" s="271" t="n"/>
      <c r="I148" s="271" t="n"/>
      <c r="J148" s="271" t="n"/>
      <c r="K148" s="271" t="n"/>
      <c r="L148" s="271" t="n"/>
      <c r="M148" s="271" t="n"/>
      <c r="N148" s="271" t="n"/>
    </row>
    <row r="149" ht="18" customHeight="1">
      <c r="A149" s="271" t="n"/>
      <c r="B149" s="271" t="n"/>
      <c r="C149" s="271" t="n"/>
      <c r="D149" s="271" t="n"/>
      <c r="E149" s="271" t="n"/>
      <c r="F149" s="271" t="n"/>
      <c r="G149" s="271" t="n"/>
      <c r="H149" s="271" t="n"/>
      <c r="I149" s="271" t="n"/>
      <c r="J149" s="271" t="n"/>
      <c r="K149" s="271" t="n"/>
      <c r="L149" s="271" t="n"/>
      <c r="M149" s="271" t="n"/>
      <c r="N149" s="271" t="n"/>
    </row>
    <row r="150" ht="18" customHeight="1">
      <c r="A150" s="271" t="n"/>
      <c r="B150" s="271" t="n"/>
      <c r="C150" s="271" t="n"/>
      <c r="D150" s="271" t="n"/>
      <c r="E150" s="271" t="n"/>
      <c r="F150" s="271" t="n"/>
      <c r="G150" s="271" t="n"/>
      <c r="H150" s="271" t="n"/>
      <c r="I150" s="271" t="n"/>
      <c r="J150" s="271" t="n"/>
      <c r="K150" s="271" t="n"/>
      <c r="L150" s="271" t="n"/>
      <c r="M150" s="271" t="n"/>
      <c r="N150" s="271" t="n"/>
    </row>
    <row r="151" ht="18" customHeight="1">
      <c r="A151" s="271" t="n"/>
      <c r="B151" s="271" t="n"/>
      <c r="C151" s="271" t="n"/>
      <c r="D151" s="271" t="n"/>
      <c r="E151" s="271" t="n"/>
      <c r="F151" s="271" t="n"/>
      <c r="G151" s="271" t="n"/>
      <c r="H151" s="271" t="n"/>
      <c r="I151" s="271" t="n"/>
      <c r="J151" s="271" t="n"/>
      <c r="K151" s="271" t="n"/>
      <c r="L151" s="271" t="n"/>
      <c r="M151" s="271" t="n"/>
      <c r="N151" s="271" t="n"/>
    </row>
    <row r="152" ht="18" customHeight="1">
      <c r="A152" s="271" t="n"/>
      <c r="B152" s="271" t="n"/>
      <c r="C152" s="271" t="n"/>
      <c r="D152" s="271" t="n"/>
      <c r="E152" s="271" t="n"/>
      <c r="F152" s="271" t="n"/>
      <c r="G152" s="271" t="n"/>
      <c r="H152" s="271" t="n"/>
      <c r="I152" s="271" t="n"/>
      <c r="J152" s="271" t="n"/>
      <c r="K152" s="271" t="n"/>
      <c r="L152" s="271" t="n"/>
      <c r="M152" s="271" t="n"/>
      <c r="N152" s="271" t="n"/>
    </row>
    <row r="153" ht="18" customHeight="1">
      <c r="A153" s="271" t="n"/>
      <c r="B153" s="271" t="n"/>
      <c r="C153" s="271" t="n"/>
      <c r="D153" s="271" t="n"/>
      <c r="E153" s="271" t="n"/>
      <c r="F153" s="271" t="n"/>
      <c r="G153" s="271" t="n"/>
      <c r="H153" s="271" t="n"/>
      <c r="I153" s="271" t="n"/>
      <c r="J153" s="271" t="n"/>
      <c r="K153" s="271" t="n"/>
      <c r="L153" s="271" t="n"/>
      <c r="M153" s="271" t="n"/>
      <c r="N153" s="271" t="n"/>
    </row>
    <row r="154" ht="18" customHeight="1">
      <c r="A154" s="271" t="n"/>
      <c r="B154" s="271" t="n"/>
      <c r="C154" s="271" t="n"/>
      <c r="D154" s="271" t="n"/>
      <c r="E154" s="271" t="n"/>
      <c r="F154" s="271" t="n"/>
      <c r="G154" s="271" t="n"/>
      <c r="H154" s="271" t="n"/>
      <c r="I154" s="271" t="n"/>
      <c r="J154" s="271" t="n"/>
      <c r="K154" s="271" t="n"/>
      <c r="L154" s="271" t="n"/>
      <c r="M154" s="271" t="n"/>
      <c r="N154" s="271" t="n"/>
    </row>
    <row r="155" ht="18" customHeight="1">
      <c r="A155" s="271" t="n"/>
      <c r="B155" s="271" t="n"/>
      <c r="C155" s="271" t="n"/>
      <c r="D155" s="271" t="n"/>
      <c r="E155" s="271" t="n"/>
      <c r="F155" s="271" t="n"/>
      <c r="G155" s="271" t="n"/>
      <c r="H155" s="271" t="n"/>
      <c r="I155" s="271" t="n"/>
      <c r="J155" s="271" t="n"/>
      <c r="K155" s="271" t="n"/>
      <c r="L155" s="271" t="n"/>
      <c r="M155" s="271" t="n"/>
      <c r="N155" s="271" t="n"/>
    </row>
    <row r="156" ht="18" customHeight="1">
      <c r="A156" s="271" t="n"/>
      <c r="B156" s="271" t="n"/>
      <c r="C156" s="271" t="n"/>
      <c r="D156" s="271" t="n"/>
      <c r="E156" s="271" t="n"/>
      <c r="F156" s="271" t="n"/>
      <c r="G156" s="271" t="n"/>
      <c r="H156" s="271" t="n"/>
      <c r="I156" s="271" t="n"/>
      <c r="J156" s="271" t="n"/>
      <c r="K156" s="271" t="n"/>
      <c r="L156" s="271" t="n"/>
      <c r="M156" s="271" t="n"/>
      <c r="N156" s="271" t="n"/>
    </row>
    <row r="157" ht="18" customHeight="1">
      <c r="A157" s="271" t="n"/>
      <c r="B157" s="271" t="n"/>
      <c r="C157" s="271" t="n"/>
      <c r="D157" s="271" t="n"/>
      <c r="E157" s="271" t="n"/>
      <c r="F157" s="271" t="n"/>
      <c r="G157" s="271" t="n"/>
      <c r="H157" s="271" t="n"/>
      <c r="I157" s="271" t="n"/>
      <c r="J157" s="271" t="n"/>
      <c r="K157" s="271" t="n"/>
      <c r="L157" s="271" t="n"/>
      <c r="M157" s="271" t="n"/>
      <c r="N157" s="271" t="n"/>
    </row>
    <row r="158" ht="18" customHeight="1">
      <c r="A158" s="271" t="n"/>
      <c r="B158" s="271" t="n"/>
      <c r="C158" s="271" t="n"/>
      <c r="D158" s="271" t="n"/>
      <c r="E158" s="271" t="n"/>
      <c r="F158" s="271" t="n"/>
      <c r="G158" s="271" t="n"/>
      <c r="H158" s="271" t="n"/>
      <c r="I158" s="271" t="n"/>
      <c r="J158" s="271" t="n"/>
      <c r="K158" s="271" t="n"/>
      <c r="L158" s="271" t="n"/>
      <c r="M158" s="271" t="n"/>
      <c r="N158" s="271" t="n"/>
    </row>
    <row r="159" ht="18" customHeight="1">
      <c r="A159" s="271" t="n"/>
      <c r="B159" s="271" t="n"/>
      <c r="C159" s="271" t="n"/>
      <c r="D159" s="271" t="n"/>
      <c r="E159" s="271" t="n"/>
      <c r="F159" s="271" t="n"/>
      <c r="G159" s="271" t="n"/>
      <c r="H159" s="271" t="n"/>
      <c r="I159" s="271" t="n"/>
      <c r="J159" s="271" t="n"/>
      <c r="K159" s="271" t="n"/>
      <c r="L159" s="271" t="n"/>
      <c r="M159" s="271" t="n"/>
      <c r="N159" s="271" t="n"/>
    </row>
    <row r="160" ht="18" customHeight="1">
      <c r="A160" s="271" t="n"/>
      <c r="B160" s="271" t="n"/>
      <c r="C160" s="271" t="n"/>
      <c r="D160" s="271" t="n"/>
      <c r="E160" s="271" t="n"/>
      <c r="F160" s="271" t="n"/>
      <c r="G160" s="271" t="n"/>
      <c r="H160" s="271" t="n"/>
      <c r="I160" s="271" t="n"/>
      <c r="J160" s="271" t="n"/>
      <c r="K160" s="271" t="n"/>
      <c r="L160" s="271" t="n"/>
      <c r="M160" s="271" t="n"/>
      <c r="N160" s="271" t="n"/>
    </row>
    <row r="161" ht="18" customHeight="1">
      <c r="A161" s="271" t="n"/>
      <c r="B161" s="271" t="n"/>
      <c r="C161" s="271" t="n"/>
      <c r="D161" s="271" t="n"/>
      <c r="E161" s="271" t="n"/>
      <c r="F161" s="271" t="n"/>
      <c r="G161" s="271" t="n"/>
      <c r="H161" s="271" t="n"/>
      <c r="I161" s="271" t="n"/>
      <c r="J161" s="271" t="n"/>
      <c r="K161" s="271" t="n"/>
      <c r="L161" s="271" t="n"/>
      <c r="M161" s="271" t="n"/>
      <c r="N161" s="271" t="n"/>
    </row>
    <row r="162" ht="18" customHeight="1">
      <c r="A162" s="271" t="n"/>
      <c r="B162" s="271" t="n"/>
      <c r="C162" s="271" t="n"/>
      <c r="D162" s="271" t="n"/>
      <c r="E162" s="271" t="n"/>
      <c r="F162" s="271" t="n"/>
      <c r="G162" s="271" t="n"/>
      <c r="H162" s="271" t="n"/>
      <c r="I162" s="271" t="n"/>
      <c r="J162" s="271" t="n"/>
      <c r="K162" s="271" t="n"/>
      <c r="L162" s="271" t="n"/>
      <c r="M162" s="271" t="n"/>
      <c r="N162" s="271" t="n"/>
    </row>
    <row r="163" ht="18" customHeight="1">
      <c r="A163" s="271" t="n"/>
      <c r="B163" s="271" t="n"/>
      <c r="C163" s="271" t="n"/>
      <c r="D163" s="271" t="n"/>
      <c r="E163" s="271" t="n"/>
      <c r="F163" s="271" t="n"/>
      <c r="G163" s="271" t="n"/>
      <c r="H163" s="271" t="n"/>
      <c r="I163" s="271" t="n"/>
      <c r="J163" s="271" t="n"/>
      <c r="K163" s="271" t="n"/>
      <c r="L163" s="271" t="n"/>
      <c r="M163" s="271" t="n"/>
      <c r="N163" s="271" t="n"/>
    </row>
    <row r="164" ht="18" customHeight="1">
      <c r="A164" s="271" t="n"/>
      <c r="B164" s="271" t="n"/>
      <c r="C164" s="271" t="n"/>
      <c r="D164" s="271" t="n"/>
      <c r="E164" s="271" t="n"/>
      <c r="F164" s="271" t="n"/>
      <c r="G164" s="271" t="n"/>
      <c r="H164" s="271" t="n"/>
      <c r="I164" s="271" t="n"/>
      <c r="J164" s="271" t="n"/>
      <c r="K164" s="271" t="n"/>
      <c r="L164" s="271" t="n"/>
      <c r="M164" s="271" t="n"/>
      <c r="N164" s="271" t="n"/>
    </row>
    <row r="165" ht="18" customHeight="1">
      <c r="A165" s="271" t="n"/>
      <c r="B165" s="271" t="n"/>
      <c r="C165" s="271" t="n"/>
      <c r="D165" s="271" t="n"/>
      <c r="E165" s="271" t="n"/>
      <c r="F165" s="271" t="n"/>
      <c r="G165" s="271" t="n"/>
      <c r="H165" s="271" t="n"/>
      <c r="I165" s="271" t="n"/>
      <c r="J165" s="271" t="n"/>
      <c r="K165" s="271" t="n"/>
      <c r="L165" s="271" t="n"/>
      <c r="M165" s="271" t="n"/>
      <c r="N165" s="271" t="n"/>
    </row>
    <row r="166" ht="18" customHeight="1">
      <c r="A166" s="271" t="n"/>
      <c r="B166" s="271" t="n"/>
      <c r="C166" s="271" t="n"/>
      <c r="D166" s="271" t="n"/>
      <c r="E166" s="271" t="n"/>
      <c r="F166" s="271" t="n"/>
      <c r="G166" s="271" t="n"/>
      <c r="H166" s="271" t="n"/>
      <c r="I166" s="271" t="n"/>
      <c r="J166" s="271" t="n"/>
      <c r="K166" s="271" t="n"/>
      <c r="L166" s="271" t="n"/>
      <c r="M166" s="271" t="n"/>
      <c r="N166" s="271" t="n"/>
    </row>
    <row r="167" ht="18" customHeight="1">
      <c r="A167" s="271" t="n"/>
      <c r="B167" s="271" t="n"/>
      <c r="C167" s="271" t="n"/>
      <c r="D167" s="271" t="n"/>
      <c r="E167" s="271" t="n"/>
      <c r="F167" s="271" t="n"/>
      <c r="G167" s="271" t="n"/>
      <c r="H167" s="271" t="n"/>
      <c r="I167" s="271" t="n"/>
      <c r="J167" s="271" t="n"/>
      <c r="K167" s="271" t="n"/>
      <c r="L167" s="271" t="n"/>
      <c r="M167" s="271" t="n"/>
      <c r="N167" s="271" t="n"/>
    </row>
    <row r="168" ht="18" customHeight="1">
      <c r="A168" s="271" t="n"/>
      <c r="B168" s="271" t="n"/>
      <c r="C168" s="271" t="n"/>
      <c r="D168" s="271" t="n"/>
      <c r="E168" s="271" t="n"/>
      <c r="F168" s="271" t="n"/>
      <c r="G168" s="271" t="n"/>
      <c r="H168" s="271" t="n"/>
      <c r="I168" s="271" t="n"/>
      <c r="J168" s="271" t="n"/>
      <c r="K168" s="271" t="n"/>
      <c r="L168" s="271" t="n"/>
      <c r="M168" s="271" t="n"/>
      <c r="N168" s="271" t="n"/>
    </row>
    <row r="169" ht="18" customHeight="1">
      <c r="A169" s="271" t="n"/>
      <c r="B169" s="271" t="n"/>
      <c r="C169" s="271" t="n"/>
      <c r="D169" s="271" t="n"/>
      <c r="E169" s="271" t="n"/>
      <c r="F169" s="271" t="n"/>
      <c r="G169" s="271" t="n"/>
      <c r="H169" s="271" t="n"/>
      <c r="I169" s="271" t="n"/>
      <c r="J169" s="271" t="n"/>
      <c r="K169" s="271" t="n"/>
      <c r="L169" s="271" t="n"/>
      <c r="M169" s="271" t="n"/>
      <c r="N169" s="271" t="n"/>
    </row>
    <row r="170" ht="18" customHeight="1">
      <c r="A170" s="271" t="n"/>
      <c r="B170" s="271" t="n"/>
      <c r="C170" s="271" t="n"/>
      <c r="D170" s="271" t="n"/>
      <c r="E170" s="271" t="n"/>
      <c r="F170" s="271" t="n"/>
      <c r="G170" s="271" t="n"/>
      <c r="H170" s="271" t="n"/>
      <c r="I170" s="271" t="n"/>
      <c r="J170" s="271" t="n"/>
      <c r="K170" s="271" t="n"/>
      <c r="L170" s="271" t="n"/>
      <c r="M170" s="271" t="n"/>
      <c r="N170" s="271" t="n"/>
    </row>
    <row r="171" ht="18" customHeight="1">
      <c r="A171" s="271" t="n"/>
      <c r="B171" s="271" t="n"/>
      <c r="C171" s="271" t="n"/>
      <c r="D171" s="271" t="n"/>
      <c r="E171" s="271" t="n"/>
      <c r="F171" s="271" t="n"/>
      <c r="G171" s="271" t="n"/>
      <c r="H171" s="271" t="n"/>
      <c r="I171" s="271" t="n"/>
      <c r="J171" s="271" t="n"/>
      <c r="K171" s="271" t="n"/>
      <c r="L171" s="271" t="n"/>
      <c r="M171" s="271" t="n"/>
      <c r="N171" s="271" t="n"/>
    </row>
    <row r="172" ht="18" customHeight="1">
      <c r="A172" s="271" t="n"/>
      <c r="B172" s="271" t="n"/>
      <c r="C172" s="271" t="n"/>
      <c r="D172" s="271" t="n"/>
      <c r="E172" s="271" t="n"/>
      <c r="F172" s="271" t="n"/>
      <c r="G172" s="271" t="n"/>
      <c r="H172" s="271" t="n"/>
      <c r="I172" s="271" t="n"/>
      <c r="J172" s="271" t="n"/>
      <c r="K172" s="271" t="n"/>
      <c r="L172" s="271" t="n"/>
      <c r="M172" s="271" t="n"/>
      <c r="N172" s="271" t="n"/>
    </row>
    <row r="173" ht="18" customHeight="1">
      <c r="A173" s="271" t="n"/>
      <c r="B173" s="271" t="n"/>
      <c r="C173" s="271" t="n"/>
      <c r="D173" s="271" t="n"/>
      <c r="E173" s="271" t="n"/>
      <c r="F173" s="271" t="n"/>
      <c r="G173" s="271" t="n"/>
      <c r="H173" s="271" t="n"/>
      <c r="I173" s="271" t="n"/>
      <c r="J173" s="271" t="n"/>
      <c r="K173" s="271" t="n"/>
      <c r="L173" s="271" t="n"/>
      <c r="M173" s="271" t="n"/>
      <c r="N173" s="271" t="n"/>
    </row>
    <row r="174" ht="18" customHeight="1">
      <c r="A174" s="271" t="n"/>
      <c r="B174" s="271" t="n"/>
      <c r="C174" s="271" t="n"/>
      <c r="D174" s="271" t="n"/>
      <c r="E174" s="271" t="n"/>
      <c r="F174" s="271" t="n"/>
      <c r="G174" s="271" t="n"/>
      <c r="H174" s="271" t="n"/>
      <c r="I174" s="271" t="n"/>
      <c r="J174" s="271" t="n"/>
      <c r="K174" s="271" t="n"/>
      <c r="L174" s="271" t="n"/>
      <c r="M174" s="271" t="n"/>
      <c r="N174" s="271" t="n"/>
    </row>
    <row r="175" ht="18" customHeight="1">
      <c r="A175" s="271" t="n"/>
      <c r="B175" s="271" t="n"/>
      <c r="C175" s="271" t="n"/>
      <c r="D175" s="271" t="n"/>
      <c r="E175" s="271" t="n"/>
      <c r="F175" s="271" t="n"/>
      <c r="G175" s="271" t="n"/>
      <c r="H175" s="271" t="n"/>
      <c r="I175" s="271" t="n"/>
      <c r="J175" s="271" t="n"/>
      <c r="K175" s="271" t="n"/>
      <c r="L175" s="271" t="n"/>
      <c r="M175" s="271" t="n"/>
      <c r="N175" s="271" t="n"/>
    </row>
    <row r="176" ht="18" customHeight="1">
      <c r="A176" s="271" t="n"/>
      <c r="B176" s="271" t="n"/>
      <c r="C176" s="271" t="n"/>
      <c r="D176" s="271" t="n"/>
      <c r="E176" s="271" t="n"/>
      <c r="F176" s="271" t="n"/>
      <c r="G176" s="271" t="n"/>
      <c r="H176" s="271" t="n"/>
      <c r="I176" s="271" t="n"/>
      <c r="J176" s="271" t="n"/>
      <c r="K176" s="271" t="n"/>
      <c r="L176" s="271" t="n"/>
      <c r="M176" s="271" t="n"/>
      <c r="N176" s="271" t="n"/>
    </row>
    <row r="177" ht="18" customHeight="1">
      <c r="A177" s="271" t="n"/>
      <c r="B177" s="271" t="n"/>
      <c r="C177" s="271" t="n"/>
      <c r="D177" s="271" t="n"/>
      <c r="E177" s="271" t="n"/>
      <c r="F177" s="271" t="n"/>
      <c r="G177" s="271" t="n"/>
      <c r="H177" s="271" t="n"/>
      <c r="I177" s="271" t="n"/>
      <c r="J177" s="271" t="n"/>
      <c r="K177" s="271" t="n"/>
      <c r="L177" s="271" t="n"/>
      <c r="M177" s="271" t="n"/>
      <c r="N177" s="271" t="n"/>
    </row>
    <row r="178" ht="18" customHeight="1">
      <c r="A178" s="271" t="n"/>
      <c r="B178" s="271" t="n"/>
      <c r="C178" s="271" t="n"/>
      <c r="D178" s="271" t="n"/>
      <c r="E178" s="271" t="n"/>
      <c r="F178" s="271" t="n"/>
      <c r="G178" s="271" t="n"/>
      <c r="H178" s="271" t="n"/>
      <c r="I178" s="271" t="n"/>
      <c r="J178" s="271" t="n"/>
      <c r="K178" s="271" t="n"/>
      <c r="L178" s="271" t="n"/>
      <c r="M178" s="271" t="n"/>
      <c r="N178" s="271" t="n"/>
    </row>
    <row r="179" ht="18" customHeight="1">
      <c r="A179" s="271" t="n"/>
      <c r="B179" s="271" t="n"/>
      <c r="C179" s="271" t="n"/>
      <c r="D179" s="271" t="n"/>
      <c r="E179" s="271" t="n"/>
      <c r="F179" s="271" t="n"/>
      <c r="G179" s="271" t="n"/>
      <c r="H179" s="271" t="n"/>
      <c r="I179" s="271" t="n"/>
      <c r="J179" s="271" t="n"/>
      <c r="K179" s="271" t="n"/>
      <c r="L179" s="271" t="n"/>
      <c r="M179" s="271" t="n"/>
      <c r="N179" s="271" t="n"/>
    </row>
    <row r="180" ht="18" customHeight="1">
      <c r="A180" s="271" t="n"/>
      <c r="B180" s="271" t="n"/>
      <c r="C180" s="271" t="n"/>
      <c r="D180" s="271" t="n"/>
      <c r="E180" s="271" t="n"/>
      <c r="F180" s="271" t="n"/>
      <c r="G180" s="271" t="n"/>
      <c r="H180" s="271" t="n"/>
      <c r="I180" s="271" t="n"/>
      <c r="J180" s="271" t="n"/>
      <c r="K180" s="271" t="n"/>
      <c r="L180" s="271" t="n"/>
      <c r="M180" s="271" t="n"/>
      <c r="N180" s="271" t="n"/>
    </row>
    <row r="181" ht="18" customHeight="1">
      <c r="A181" s="271" t="n"/>
      <c r="B181" s="271" t="n"/>
      <c r="C181" s="271" t="n"/>
      <c r="D181" s="271" t="n"/>
      <c r="E181" s="271" t="n"/>
      <c r="F181" s="271" t="n"/>
      <c r="G181" s="271" t="n"/>
      <c r="H181" s="271" t="n"/>
      <c r="I181" s="271" t="n"/>
      <c r="J181" s="271" t="n"/>
      <c r="K181" s="271" t="n"/>
      <c r="L181" s="271" t="n"/>
      <c r="M181" s="271" t="n"/>
      <c r="N181" s="271" t="n"/>
    </row>
    <row r="182" ht="18" customHeight="1">
      <c r="A182" s="271" t="n"/>
      <c r="B182" s="271" t="n"/>
      <c r="C182" s="271" t="n"/>
      <c r="D182" s="271" t="n"/>
      <c r="E182" s="271" t="n"/>
      <c r="F182" s="271" t="n"/>
      <c r="G182" s="271" t="n"/>
      <c r="H182" s="271" t="n"/>
      <c r="I182" s="271" t="n"/>
      <c r="J182" s="271" t="n"/>
      <c r="K182" s="271" t="n"/>
      <c r="L182" s="271" t="n"/>
      <c r="M182" s="271" t="n"/>
      <c r="N182" s="271" t="n"/>
    </row>
    <row r="183" ht="18" customHeight="1">
      <c r="A183" s="271" t="n"/>
      <c r="B183" s="271" t="n"/>
      <c r="C183" s="271" t="n"/>
      <c r="D183" s="271" t="n"/>
      <c r="E183" s="271" t="n"/>
      <c r="F183" s="271" t="n"/>
      <c r="G183" s="271" t="n"/>
      <c r="H183" s="271" t="n"/>
      <c r="I183" s="271" t="n"/>
      <c r="J183" s="271" t="n"/>
      <c r="K183" s="271" t="n"/>
      <c r="L183" s="271" t="n"/>
      <c r="M183" s="271" t="n"/>
      <c r="N183" s="271" t="n"/>
    </row>
    <row r="184" ht="18" customHeight="1">
      <c r="A184" s="271" t="n"/>
      <c r="B184" s="271" t="n"/>
      <c r="C184" s="271" t="n"/>
      <c r="D184" s="271" t="n"/>
      <c r="E184" s="271" t="n"/>
      <c r="F184" s="271" t="n"/>
      <c r="G184" s="271" t="n"/>
      <c r="H184" s="271" t="n"/>
      <c r="I184" s="271" t="n"/>
      <c r="J184" s="271" t="n"/>
      <c r="K184" s="271" t="n"/>
      <c r="L184" s="271" t="n"/>
      <c r="M184" s="271" t="n"/>
      <c r="N184" s="271" t="n"/>
    </row>
    <row r="185" ht="18" customHeight="1">
      <c r="A185" s="271" t="n"/>
      <c r="B185" s="271" t="n"/>
      <c r="C185" s="271" t="n"/>
      <c r="D185" s="271" t="n"/>
      <c r="E185" s="271" t="n"/>
      <c r="F185" s="271" t="n"/>
      <c r="G185" s="271" t="n"/>
      <c r="H185" s="271" t="n"/>
      <c r="I185" s="271" t="n"/>
      <c r="J185" s="271" t="n"/>
      <c r="K185" s="271" t="n"/>
      <c r="L185" s="271" t="n"/>
      <c r="M185" s="271" t="n"/>
      <c r="N185" s="271" t="n"/>
    </row>
    <row r="186" ht="18" customHeight="1">
      <c r="A186" s="271" t="n"/>
      <c r="B186" s="271" t="n"/>
      <c r="C186" s="271" t="n"/>
      <c r="D186" s="271" t="n"/>
      <c r="E186" s="271" t="n"/>
      <c r="F186" s="271" t="n"/>
      <c r="G186" s="271" t="n"/>
      <c r="H186" s="271" t="n"/>
      <c r="I186" s="271" t="n"/>
      <c r="J186" s="271" t="n"/>
      <c r="K186" s="271" t="n"/>
      <c r="L186" s="271" t="n"/>
      <c r="M186" s="271" t="n"/>
      <c r="N186" s="271" t="n"/>
    </row>
    <row r="187" ht="18" customHeight="1">
      <c r="A187" s="271" t="n"/>
      <c r="B187" s="271" t="n"/>
      <c r="C187" s="271" t="n"/>
      <c r="D187" s="271" t="n"/>
      <c r="E187" s="271" t="n"/>
      <c r="F187" s="271" t="n"/>
      <c r="G187" s="271" t="n"/>
      <c r="H187" s="271" t="n"/>
      <c r="I187" s="271" t="n"/>
      <c r="J187" s="271" t="n"/>
      <c r="K187" s="271" t="n"/>
      <c r="L187" s="271" t="n"/>
      <c r="M187" s="271" t="n"/>
      <c r="N187" s="271" t="n"/>
    </row>
    <row r="188" ht="18" customHeight="1">
      <c r="A188" s="271" t="n"/>
      <c r="B188" s="271" t="n"/>
      <c r="C188" s="271" t="n"/>
      <c r="D188" s="271" t="n"/>
      <c r="E188" s="271" t="n"/>
      <c r="F188" s="271" t="n"/>
      <c r="G188" s="271" t="n"/>
      <c r="H188" s="271" t="n"/>
      <c r="I188" s="271" t="n"/>
      <c r="J188" s="271" t="n"/>
      <c r="K188" s="271" t="n"/>
      <c r="L188" s="271" t="n"/>
      <c r="M188" s="271" t="n"/>
      <c r="N188" s="271" t="n"/>
    </row>
    <row r="189" ht="18" customHeight="1">
      <c r="A189" s="271" t="n"/>
      <c r="B189" s="271" t="n"/>
      <c r="C189" s="271" t="n"/>
      <c r="D189" s="271" t="n"/>
      <c r="E189" s="271" t="n"/>
      <c r="F189" s="271" t="n"/>
      <c r="G189" s="271" t="n"/>
      <c r="H189" s="271" t="n"/>
      <c r="I189" s="271" t="n"/>
      <c r="J189" s="271" t="n"/>
      <c r="K189" s="271" t="n"/>
      <c r="L189" s="271" t="n"/>
      <c r="M189" s="271" t="n"/>
      <c r="N189" s="271" t="n"/>
    </row>
    <row r="190" ht="18" customHeight="1">
      <c r="A190" s="271" t="n"/>
      <c r="B190" s="271" t="n"/>
      <c r="C190" s="271" t="n"/>
      <c r="D190" s="271" t="n"/>
      <c r="E190" s="271" t="n"/>
      <c r="F190" s="271" t="n"/>
      <c r="G190" s="271" t="n"/>
      <c r="H190" s="271" t="n"/>
      <c r="I190" s="271" t="n"/>
      <c r="J190" s="271" t="n"/>
      <c r="K190" s="271" t="n"/>
      <c r="L190" s="271" t="n"/>
      <c r="M190" s="271" t="n"/>
      <c r="N190" s="271" t="n"/>
    </row>
    <row r="191" ht="18" customHeight="1">
      <c r="A191" s="271" t="n"/>
      <c r="B191" s="271" t="n"/>
      <c r="C191" s="271" t="n"/>
      <c r="D191" s="271" t="n"/>
      <c r="E191" s="271" t="n"/>
      <c r="F191" s="271" t="n"/>
      <c r="G191" s="271" t="n"/>
      <c r="H191" s="271" t="n"/>
      <c r="I191" s="271" t="n"/>
      <c r="J191" s="271" t="n"/>
      <c r="K191" s="271" t="n"/>
      <c r="L191" s="271" t="n"/>
      <c r="M191" s="271" t="n"/>
      <c r="N191" s="271" t="n"/>
    </row>
    <row r="192" ht="18" customHeight="1">
      <c r="A192" s="271" t="n"/>
      <c r="B192" s="271" t="n"/>
      <c r="C192" s="271" t="n"/>
      <c r="D192" s="271" t="n"/>
      <c r="E192" s="271" t="n"/>
      <c r="F192" s="271" t="n"/>
      <c r="G192" s="271" t="n"/>
      <c r="H192" s="271" t="n"/>
      <c r="I192" s="271" t="n"/>
      <c r="J192" s="271" t="n"/>
      <c r="K192" s="271" t="n"/>
      <c r="L192" s="271" t="n"/>
      <c r="M192" s="271" t="n"/>
      <c r="N192" s="271" t="n"/>
    </row>
    <row r="193" ht="18" customHeight="1">
      <c r="A193" s="271" t="n"/>
      <c r="B193" s="271" t="n"/>
      <c r="C193" s="271" t="n"/>
      <c r="D193" s="271" t="n"/>
      <c r="E193" s="271" t="n"/>
      <c r="F193" s="271" t="n"/>
      <c r="G193" s="271" t="n"/>
      <c r="H193" s="271" t="n"/>
      <c r="I193" s="271" t="n"/>
      <c r="J193" s="271" t="n"/>
      <c r="K193" s="271" t="n"/>
      <c r="L193" s="271" t="n"/>
      <c r="M193" s="271" t="n"/>
      <c r="N193" s="271" t="n"/>
    </row>
    <row r="194" ht="18" customHeight="1">
      <c r="A194" s="271" t="n"/>
      <c r="B194" s="271" t="n"/>
      <c r="C194" s="271" t="n"/>
      <c r="D194" s="271" t="n"/>
      <c r="E194" s="271" t="n"/>
      <c r="F194" s="271" t="n"/>
      <c r="G194" s="271" t="n"/>
      <c r="H194" s="271" t="n"/>
      <c r="I194" s="271" t="n"/>
      <c r="J194" s="271" t="n"/>
      <c r="K194" s="271" t="n"/>
      <c r="L194" s="271" t="n"/>
      <c r="M194" s="271" t="n"/>
      <c r="N194" s="271" t="n"/>
    </row>
    <row r="195" ht="18" customHeight="1">
      <c r="A195" s="271" t="n"/>
      <c r="B195" s="271" t="n"/>
      <c r="C195" s="271" t="n"/>
      <c r="D195" s="271" t="n"/>
      <c r="E195" s="271" t="n"/>
      <c r="F195" s="271" t="n"/>
      <c r="G195" s="271" t="n"/>
      <c r="H195" s="271" t="n"/>
      <c r="I195" s="271" t="n"/>
      <c r="J195" s="271" t="n"/>
      <c r="K195" s="271" t="n"/>
      <c r="L195" s="271" t="n"/>
      <c r="M195" s="271" t="n"/>
      <c r="N195" s="271" t="n"/>
    </row>
    <row r="196" ht="18" customHeight="1">
      <c r="A196" s="271" t="n"/>
      <c r="B196" s="271" t="n"/>
      <c r="C196" s="271" t="n"/>
      <c r="D196" s="271" t="n"/>
      <c r="E196" s="271" t="n"/>
      <c r="F196" s="271" t="n"/>
      <c r="G196" s="271" t="n"/>
      <c r="H196" s="271" t="n"/>
      <c r="I196" s="271" t="n"/>
      <c r="J196" s="271" t="n"/>
      <c r="K196" s="271" t="n"/>
      <c r="L196" s="271" t="n"/>
      <c r="M196" s="271" t="n"/>
      <c r="N196" s="271" t="n"/>
    </row>
    <row r="197" ht="18" customHeight="1">
      <c r="A197" s="271" t="n"/>
      <c r="B197" s="271" t="n"/>
      <c r="C197" s="271" t="n"/>
      <c r="D197" s="271" t="n"/>
      <c r="E197" s="271" t="n"/>
      <c r="F197" s="271" t="n"/>
      <c r="G197" s="271" t="n"/>
      <c r="H197" s="271" t="n"/>
      <c r="I197" s="271" t="n"/>
      <c r="J197" s="271" t="n"/>
      <c r="K197" s="271" t="n"/>
      <c r="L197" s="271" t="n"/>
      <c r="M197" s="271" t="n"/>
      <c r="N197" s="271" t="n"/>
    </row>
    <row r="198" ht="18" customHeight="1">
      <c r="A198" s="271" t="n"/>
      <c r="B198" s="271" t="n"/>
      <c r="C198" s="271" t="n"/>
      <c r="D198" s="271" t="n"/>
      <c r="E198" s="271" t="n"/>
      <c r="F198" s="271" t="n"/>
      <c r="G198" s="271" t="n"/>
      <c r="H198" s="271" t="n"/>
      <c r="I198" s="271" t="n"/>
      <c r="J198" s="271" t="n"/>
      <c r="K198" s="271" t="n"/>
      <c r="L198" s="271" t="n"/>
      <c r="M198" s="271" t="n"/>
      <c r="N198" s="271" t="n"/>
    </row>
    <row r="199" ht="18" customHeight="1">
      <c r="A199" s="271" t="n"/>
      <c r="B199" s="271" t="n"/>
      <c r="C199" s="271" t="n"/>
      <c r="D199" s="271" t="n"/>
      <c r="E199" s="271" t="n"/>
      <c r="F199" s="271" t="n"/>
      <c r="G199" s="271" t="n"/>
      <c r="H199" s="271" t="n"/>
      <c r="I199" s="271" t="n"/>
      <c r="J199" s="271" t="n"/>
      <c r="K199" s="271" t="n"/>
      <c r="L199" s="271" t="n"/>
      <c r="M199" s="271" t="n"/>
      <c r="N199" s="271" t="n"/>
    </row>
    <row r="200" ht="18" customHeight="1">
      <c r="A200" s="271" t="n"/>
      <c r="B200" s="271" t="n"/>
      <c r="C200" s="271" t="n"/>
      <c r="D200" s="271" t="n"/>
      <c r="E200" s="271" t="n"/>
      <c r="F200" s="271" t="n"/>
      <c r="G200" s="271" t="n"/>
      <c r="H200" s="271" t="n"/>
      <c r="I200" s="271" t="n"/>
      <c r="J200" s="271" t="n"/>
      <c r="K200" s="271" t="n"/>
      <c r="L200" s="271" t="n"/>
      <c r="M200" s="271" t="n"/>
      <c r="N200" s="271" t="n"/>
    </row>
  </sheetData>
  <mergeCells count="13">
    <mergeCell ref="B14:H14"/>
    <mergeCell ref="B36:H36"/>
    <mergeCell ref="B90:J90"/>
    <mergeCell ref="B26:H26"/>
    <mergeCell ref="B18:H18"/>
    <mergeCell ref="B17:H17"/>
    <mergeCell ref="B49:K49"/>
    <mergeCell ref="B64:L64"/>
    <mergeCell ref="B6:H6"/>
    <mergeCell ref="B122:I122"/>
    <mergeCell ref="B48:K48"/>
    <mergeCell ref="B63:L63"/>
    <mergeCell ref="B37:H37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"/>
  <sheetViews>
    <sheetView topLeftCell="A1" zoomScale="100" zoomScaleNormal="100" workbookViewId="0">
      <selection pane="topLeft" activeCell="A1" sqref="A1"/>
    </sheetView>
  </sheetViews>
  <sheetFormatPr baseColWidth="8" defaultRowHeight="13.2"/>
  <cols>
    <col width="28" customWidth="1" min="1" max="1"/>
    <col width="42" customWidth="1" min="2" max="2"/>
    <col width="16" customWidth="1" min="3" max="3"/>
    <col width="28" customWidth="1" min="4" max="5"/>
    <col width="14" customWidth="1" min="5" max="5"/>
    <col width="36" customWidth="1" min="6" max="6"/>
    <col width="42" customWidth="1" min="7" max="7"/>
    <col width="36" customWidth="1" min="8" max="8"/>
    <col width="34" customWidth="1" min="9" max="9"/>
  </cols>
  <sheetData>
    <row r="1" ht="18" customHeight="1">
      <c r="A1" s="276" t="inlineStr">
        <is>
          <t>Проект</t>
        </is>
      </c>
      <c r="B1" s="276" t="inlineStr">
        <is>
          <t>Период / статус</t>
        </is>
      </c>
      <c r="C1" s="276" t="inlineStr">
        <is>
          <t>План</t>
        </is>
      </c>
      <c r="D1" s="276" t="inlineStr">
        <is>
          <t>Факт</t>
        </is>
      </c>
      <c r="E1" s="276" t="inlineStr">
        <is>
          <t>Выполнение</t>
        </is>
      </c>
      <c r="F1" s="276" t="inlineStr">
        <is>
          <t>Участники</t>
        </is>
      </c>
      <c r="G1" s="276" t="inlineStr">
        <is>
          <t>Решение</t>
        </is>
      </c>
      <c r="H1" s="276" t="inlineStr">
        <is>
          <t>Показатель</t>
        </is>
      </c>
      <c r="I1" s="271" t="n"/>
      <c r="J1" s="271" t="n"/>
      <c r="K1" s="271" t="n"/>
      <c r="L1" s="271" t="n"/>
    </row>
    <row r="2" ht="36" customHeight="1">
      <c r="A2" s="257" t="inlineStr">
        <is>
          <t>Скорая помощь</t>
        </is>
      </c>
      <c r="B2" s="257" t="inlineStr">
        <is>
          <t>апрель–май; передан в тираж</t>
        </is>
      </c>
      <c r="C2" s="257" t="n">
        <v>5</v>
      </c>
      <c r="D2" s="257" t="n">
        <v>8</v>
      </c>
      <c r="E2" s="257" t="inlineStr">
        <is>
          <t>160%</t>
        </is>
      </c>
      <c r="F2" s="257" t="inlineStr">
        <is>
          <t>Группа</t>
        </is>
      </c>
      <c r="G2" s="257" t="inlineStr">
        <is>
          <t>Передан в тираж</t>
        </is>
      </c>
      <c r="H2" s="257" t="inlineStr">
        <is>
          <t>Продажи 8/5</t>
        </is>
      </c>
      <c r="I2" s="271" t="n"/>
      <c r="J2" s="271" t="n"/>
      <c r="K2" s="271" t="n"/>
      <c r="L2" s="271" t="n"/>
    </row>
    <row r="3" ht="36" customHeight="1">
      <c r="A3" s="257" t="inlineStr">
        <is>
          <t>1С-ЭПД</t>
        </is>
      </c>
      <c r="B3" s="257" t="inlineStr">
        <is>
          <t>апрель–май; передан в тираж, далее поддержка</t>
        </is>
      </c>
      <c r="C3" s="257" t="n">
        <v>22</v>
      </c>
      <c r="D3" s="257" t="n">
        <v>22</v>
      </c>
      <c r="E3" s="257" t="inlineStr">
        <is>
          <t>100%</t>
        </is>
      </c>
      <c r="F3" s="257" t="inlineStr">
        <is>
          <t>Юнусова 16, Оглоблина 6</t>
        </is>
      </c>
      <c r="G3" s="257" t="inlineStr">
        <is>
          <t>Передан в тираж; на поддержке</t>
        </is>
      </c>
      <c r="H3" s="257" t="inlineStr">
        <is>
          <t>Продажи 22/22</t>
        </is>
      </c>
      <c r="I3" s="271" t="n"/>
      <c r="J3" s="271" t="n"/>
      <c r="K3" s="271" t="n"/>
      <c r="L3" s="271" t="n"/>
    </row>
    <row r="4" ht="36" customHeight="1">
      <c r="A4" s="257" t="inlineStr">
        <is>
          <t>Доки / Доки.логистика</t>
        </is>
      </c>
      <c r="B4" s="257" t="inlineStr">
        <is>
          <t>июнь–август; частичная передача</t>
        </is>
      </c>
      <c r="C4" s="257" t="inlineStr">
        <is>
          <t>4 гипотезы</t>
        </is>
      </c>
      <c r="D4" s="257" t="inlineStr">
        <is>
          <t>2 переданы, 2 в проработке</t>
        </is>
      </c>
      <c r="E4" s="257" t="inlineStr">
        <is>
          <t>50%</t>
        </is>
      </c>
      <c r="F4" s="257" t="inlineStr">
        <is>
          <t>Юнусова, Оглоблина, Кургузов (август)</t>
        </is>
      </c>
      <c r="G4" s="257" t="inlineStr">
        <is>
          <t>2 продуктовые гипотезы переданы, 2 остались в проработке</t>
        </is>
      </c>
      <c r="H4" s="257" t="inlineStr">
        <is>
          <t>Гипотезы 2/4; подключения июль 5, август 11</t>
        </is>
      </c>
      <c r="I4" s="271" t="n"/>
      <c r="J4" s="271" t="n"/>
      <c r="K4" s="271" t="n"/>
      <c r="L4" s="271" t="n"/>
    </row>
    <row r="5" ht="36" customHeight="1">
      <c r="A5" s="257" t="inlineStr">
        <is>
          <t>Кабинет сотрудника</t>
        </is>
      </c>
      <c r="B5" s="257" t="inlineStr">
        <is>
          <t>июль–август; в работе</t>
        </is>
      </c>
      <c r="C5" s="257" t="inlineStr">
        <is>
          <t>30 демо / мес</t>
        </is>
      </c>
      <c r="D5" s="257" t="inlineStr">
        <is>
          <t>июль 19; август 12</t>
        </is>
      </c>
      <c r="E5" s="257" t="inlineStr">
        <is>
          <t>63% / 40%</t>
        </is>
      </c>
      <c r="F5" s="257" t="inlineStr">
        <is>
          <t>Юнусова, Оглоблина; август + Кургузов</t>
        </is>
      </c>
      <c r="G5" s="257" t="inlineStr">
        <is>
          <t>В работе</t>
        </is>
      </c>
      <c r="H5" s="257" t="inlineStr">
        <is>
          <t>Демо: июль 15+4; август 8+2+2</t>
        </is>
      </c>
      <c r="I5" s="271" t="n"/>
      <c r="J5" s="271" t="n"/>
      <c r="K5" s="271" t="n"/>
      <c r="L5" s="271" t="n"/>
    </row>
    <row r="6" ht="36" customHeight="1">
      <c r="A6" s="257" t="inlineStr">
        <is>
          <t>Smartway</t>
        </is>
      </c>
      <c r="B6" s="257" t="inlineStr">
        <is>
          <t>август; в работе</t>
        </is>
      </c>
      <c r="C6" s="257" t="n">
        <v>30</v>
      </c>
      <c r="D6" s="257" t="n">
        <v>32</v>
      </c>
      <c r="E6" s="257" t="inlineStr">
        <is>
          <t>107%</t>
        </is>
      </c>
      <c r="F6" s="257" t="inlineStr">
        <is>
          <t>Юнусова 11, Оглоблина 9, Кургузов 12</t>
        </is>
      </c>
      <c r="G6" s="257" t="inlineStr">
        <is>
          <t>В работе</t>
        </is>
      </c>
      <c r="H6" s="257" t="inlineStr">
        <is>
          <t>Предложения 11+9+12</t>
        </is>
      </c>
      <c r="I6" s="271" t="n"/>
      <c r="J6" s="271" t="n"/>
      <c r="K6" s="271" t="n"/>
      <c r="L6" s="271" t="n"/>
    </row>
    <row r="7" ht="36" customHeight="1">
      <c r="A7" s="257" t="inlineStr">
        <is>
          <t>Блиц.запись</t>
        </is>
      </c>
      <c r="B7" s="257" t="inlineStr">
        <is>
          <t>август; в работе</t>
        </is>
      </c>
      <c r="C7" s="257" t="inlineStr">
        <is>
          <t>—</t>
        </is>
      </c>
      <c r="D7" s="257" t="inlineStr">
        <is>
          <t>в проработке</t>
        </is>
      </c>
      <c r="E7" s="257" t="inlineStr">
        <is>
          <t>—</t>
        </is>
      </c>
      <c r="F7" s="257" t="inlineStr">
        <is>
          <t>Группа</t>
        </is>
      </c>
      <c r="G7" s="257" t="inlineStr">
        <is>
          <t>В работе</t>
        </is>
      </c>
      <c r="H7" s="257" t="inlineStr">
        <is>
          <t>Стадия запуска</t>
        </is>
      </c>
      <c r="I7" s="271" t="n"/>
      <c r="J7" s="271" t="n"/>
      <c r="K7" s="271" t="n"/>
      <c r="L7" s="271" t="n"/>
    </row>
    <row r="8" ht="18" customHeight="1">
      <c r="A8" s="271" t="n"/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</row>
    <row r="9" ht="18" customHeight="1">
      <c r="A9" s="271" t="n"/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</row>
    <row r="10" ht="18" customHeight="1">
      <c r="A10" s="271" t="n"/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</row>
    <row r="11" ht="18" customHeight="1">
      <c r="A11" s="271" t="n"/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</row>
    <row r="12" ht="18" customHeight="1">
      <c r="A12" s="271" t="n"/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1" t="n"/>
      <c r="K12" s="271" t="n"/>
      <c r="L12" s="271" t="n"/>
    </row>
    <row r="13" ht="18" customHeight="1">
      <c r="A13" s="271" t="n"/>
      <c r="B13" s="271" t="n"/>
      <c r="C13" s="271" t="n"/>
      <c r="D13" s="271" t="n"/>
      <c r="E13" s="271" t="n"/>
      <c r="F13" s="271" t="n"/>
      <c r="G13" s="271" t="n"/>
      <c r="H13" s="271" t="n"/>
      <c r="I13" s="271" t="n"/>
      <c r="J13" s="271" t="n"/>
      <c r="K13" s="271" t="n"/>
      <c r="L13" s="271" t="n"/>
    </row>
    <row r="14" ht="18" customHeight="1">
      <c r="A14" s="271" t="n"/>
      <c r="B14" s="271" t="n"/>
      <c r="C14" s="271" t="n"/>
      <c r="D14" s="271" t="n"/>
      <c r="E14" s="271" t="n"/>
      <c r="F14" s="271" t="n"/>
      <c r="G14" s="271" t="n"/>
      <c r="H14" s="271" t="n"/>
      <c r="I14" s="271" t="n"/>
      <c r="J14" s="271" t="n"/>
      <c r="K14" s="271" t="n"/>
      <c r="L14" s="271" t="n"/>
    </row>
    <row r="15" ht="18" customHeight="1">
      <c r="A15" s="271" t="n"/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1" t="n"/>
      <c r="K15" s="271" t="n"/>
      <c r="L15" s="271" t="n"/>
    </row>
    <row r="16" ht="18" customHeight="1">
      <c r="A16" s="271" t="n"/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</row>
    <row r="17" ht="18" customHeight="1">
      <c r="A17" s="271" t="n"/>
      <c r="B17" s="271" t="n"/>
      <c r="C17" s="271" t="n"/>
      <c r="D17" s="271" t="n"/>
      <c r="E17" s="271" t="n"/>
      <c r="F17" s="271" t="n"/>
      <c r="G17" s="271" t="n"/>
      <c r="H17" s="271" t="n"/>
      <c r="I17" s="271" t="n"/>
      <c r="J17" s="271" t="n"/>
      <c r="K17" s="271" t="n"/>
      <c r="L17" s="271" t="n"/>
    </row>
    <row r="18" ht="18" customHeight="1">
      <c r="A18" s="271" t="n"/>
      <c r="B18" s="271" t="n"/>
      <c r="C18" s="271" t="n"/>
      <c r="D18" s="271" t="n"/>
      <c r="E18" s="271" t="n"/>
      <c r="F18" s="271" t="n"/>
      <c r="G18" s="271" t="n"/>
      <c r="H18" s="271" t="n"/>
      <c r="I18" s="271" t="n"/>
      <c r="J18" s="271" t="n"/>
      <c r="K18" s="271" t="n"/>
      <c r="L18" s="271" t="n"/>
    </row>
    <row r="19" ht="18" customHeight="1">
      <c r="A19" s="271" t="n"/>
      <c r="B19" s="271" t="n"/>
      <c r="C19" s="271" t="n"/>
      <c r="D19" s="271" t="n"/>
      <c r="E19" s="271" t="n"/>
      <c r="F19" s="271" t="n"/>
      <c r="G19" s="271" t="n"/>
      <c r="H19" s="271" t="n"/>
      <c r="I19" s="271" t="n"/>
      <c r="J19" s="271" t="n"/>
      <c r="K19" s="271" t="n"/>
      <c r="L19" s="271" t="n"/>
    </row>
    <row r="20" ht="18" customHeight="1">
      <c r="A20" s="271" t="n"/>
      <c r="B20" s="271" t="n"/>
      <c r="C20" s="271" t="n"/>
      <c r="D20" s="271" t="n"/>
      <c r="E20" s="271" t="n"/>
      <c r="F20" s="271" t="n"/>
      <c r="G20" s="271" t="n"/>
      <c r="H20" s="271" t="n"/>
      <c r="I20" s="271" t="n"/>
      <c r="J20" s="271" t="n"/>
      <c r="K20" s="271" t="n"/>
      <c r="L20" s="271" t="n"/>
    </row>
    <row r="21" ht="18" customHeight="1">
      <c r="A21" s="271" t="n"/>
      <c r="B21" s="271" t="n"/>
      <c r="C21" s="271" t="n"/>
      <c r="D21" s="271" t="n"/>
      <c r="E21" s="271" t="n"/>
      <c r="F21" s="271" t="n"/>
      <c r="G21" s="271" t="n"/>
      <c r="H21" s="271" t="n"/>
      <c r="I21" s="271" t="n"/>
      <c r="J21" s="271" t="n"/>
      <c r="K21" s="271" t="n"/>
      <c r="L21" s="271" t="n"/>
    </row>
    <row r="22" ht="18" customHeight="1">
      <c r="A22" s="271" t="n"/>
      <c r="B22" s="271" t="n"/>
      <c r="C22" s="271" t="n"/>
      <c r="D22" s="271" t="n"/>
      <c r="E22" s="271" t="n"/>
      <c r="F22" s="271" t="n"/>
      <c r="G22" s="271" t="n"/>
      <c r="H22" s="271" t="n"/>
      <c r="I22" s="271" t="n"/>
      <c r="J22" s="271" t="n"/>
      <c r="K22" s="271" t="n"/>
      <c r="L22" s="271" t="n"/>
    </row>
    <row r="23" ht="18" customHeight="1">
      <c r="A23" s="271" t="n"/>
      <c r="B23" s="271" t="n"/>
      <c r="C23" s="271" t="n"/>
      <c r="D23" s="271" t="n"/>
      <c r="E23" s="271" t="n"/>
      <c r="F23" s="271" t="n"/>
      <c r="G23" s="271" t="n"/>
      <c r="H23" s="271" t="n"/>
      <c r="I23" s="271" t="n"/>
      <c r="J23" s="271" t="n"/>
      <c r="K23" s="271" t="n"/>
      <c r="L23" s="271" t="n"/>
    </row>
    <row r="24" ht="18" customHeight="1">
      <c r="A24" s="271" t="n"/>
      <c r="B24" s="271" t="n"/>
      <c r="C24" s="271" t="n"/>
      <c r="D24" s="271" t="n"/>
      <c r="E24" s="271" t="n"/>
      <c r="F24" s="271" t="n"/>
      <c r="G24" s="271" t="n"/>
      <c r="H24" s="271" t="n"/>
      <c r="I24" s="271" t="n"/>
      <c r="J24" s="271" t="n"/>
      <c r="K24" s="271" t="n"/>
      <c r="L24" s="271" t="n"/>
    </row>
    <row r="25" ht="18" customHeight="1">
      <c r="A25" s="271" t="n"/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1" t="n"/>
      <c r="K25" s="271" t="n"/>
      <c r="L25" s="271" t="n"/>
    </row>
    <row r="26" ht="18" customHeight="1">
      <c r="A26" s="271" t="n"/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1" t="n"/>
      <c r="K26" s="271" t="n"/>
      <c r="L26" s="271" t="n"/>
    </row>
    <row r="27" ht="18" customHeight="1">
      <c r="A27" s="271" t="n"/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1" t="n"/>
      <c r="K27" s="271" t="n"/>
      <c r="L27" s="271" t="n"/>
    </row>
    <row r="28" ht="18" customHeight="1">
      <c r="A28" s="271" t="n"/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</row>
    <row r="29" ht="18" customHeight="1">
      <c r="A29" s="271" t="n"/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</row>
    <row r="30" ht="18" customHeight="1">
      <c r="A30" s="271" t="n"/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</row>
    <row r="31" ht="18" customHeight="1">
      <c r="A31" s="271" t="n"/>
      <c r="B31" s="271" t="n"/>
      <c r="C31" s="271" t="n"/>
      <c r="D31" s="271" t="n"/>
      <c r="E31" s="271" t="n"/>
      <c r="F31" s="271" t="n"/>
      <c r="G31" s="271" t="n"/>
      <c r="H31" s="271" t="n"/>
      <c r="I31" s="271" t="n"/>
      <c r="J31" s="271" t="n"/>
      <c r="K31" s="271" t="n"/>
      <c r="L31" s="271" t="n"/>
    </row>
    <row r="32" ht="18" customHeight="1">
      <c r="A32" s="271" t="n"/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</row>
    <row r="33" ht="18" customHeight="1">
      <c r="A33" s="271" t="n"/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</row>
    <row r="34" ht="18" customHeight="1">
      <c r="A34" s="271" t="n"/>
      <c r="B34" s="271" t="n"/>
      <c r="C34" s="271" t="n"/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1" t="n"/>
    </row>
    <row r="35" ht="18" customHeight="1">
      <c r="A35" s="271" t="n"/>
      <c r="B35" s="271" t="n"/>
      <c r="C35" s="271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1" t="n"/>
    </row>
    <row r="36" ht="18" customHeight="1">
      <c r="A36" s="271" t="n"/>
      <c r="B36" s="271" t="n"/>
      <c r="C36" s="271" t="n"/>
      <c r="D36" s="271" t="n"/>
      <c r="E36" s="271" t="n"/>
      <c r="F36" s="271" t="n"/>
      <c r="G36" s="271" t="n"/>
      <c r="H36" s="271" t="n"/>
      <c r="I36" s="271" t="n"/>
      <c r="J36" s="271" t="n"/>
      <c r="K36" s="271" t="n"/>
      <c r="L36" s="271" t="n"/>
    </row>
    <row r="37" ht="18" customHeight="1">
      <c r="A37" s="271" t="n"/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1" t="n"/>
      <c r="K37" s="271" t="n"/>
      <c r="L37" s="271" t="n"/>
    </row>
    <row r="38" ht="18" customHeight="1">
      <c r="A38" s="271" t="n"/>
      <c r="B38" s="271" t="n"/>
      <c r="C38" s="271" t="n"/>
      <c r="D38" s="271" t="n"/>
      <c r="E38" s="271" t="n"/>
      <c r="F38" s="271" t="n"/>
      <c r="G38" s="271" t="n"/>
      <c r="H38" s="271" t="n"/>
      <c r="I38" s="271" t="n"/>
      <c r="J38" s="271" t="n"/>
      <c r="K38" s="271" t="n"/>
      <c r="L38" s="271" t="n"/>
    </row>
    <row r="39" ht="18" customHeight="1">
      <c r="A39" s="271" t="n"/>
      <c r="B39" s="271" t="n"/>
      <c r="C39" s="271" t="n"/>
      <c r="D39" s="271" t="n"/>
      <c r="E39" s="271" t="n"/>
      <c r="F39" s="271" t="n"/>
      <c r="G39" s="271" t="n"/>
      <c r="H39" s="271" t="n"/>
      <c r="I39" s="271" t="n"/>
      <c r="J39" s="271" t="n"/>
      <c r="K39" s="271" t="n"/>
      <c r="L39" s="271" t="n"/>
    </row>
    <row r="40" ht="18" customHeight="1">
      <c r="A40" s="271" t="n"/>
      <c r="B40" s="271" t="n"/>
      <c r="C40" s="271" t="n"/>
      <c r="D40" s="271" t="n"/>
      <c r="E40" s="271" t="n"/>
      <c r="F40" s="271" t="n"/>
      <c r="G40" s="271" t="n"/>
      <c r="H40" s="271" t="n"/>
      <c r="I40" s="271" t="n"/>
      <c r="J40" s="271" t="n"/>
      <c r="K40" s="271" t="n"/>
      <c r="L40" s="27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topLeftCell="A1" zoomScale="100" zoomScaleNormal="100" workbookViewId="0">
      <selection pane="topLeft" activeCell="A1" sqref="A1"/>
    </sheetView>
  </sheetViews>
  <sheetFormatPr baseColWidth="8" defaultColWidth="12.5546875" defaultRowHeight="13.2"/>
  <cols>
    <col width="42.33203125" customWidth="1" min="1" max="1"/>
  </cols>
  <sheetData>
    <row r="1">
      <c r="A1" s="1" t="inlineStr">
        <is>
          <t>Администрация</t>
        </is>
      </c>
    </row>
    <row r="2">
      <c r="A2" s="1" t="inlineStr">
        <is>
          <t>ОП 1С и ИТС</t>
        </is>
      </c>
    </row>
    <row r="3">
      <c r="A3" s="1" t="inlineStr">
        <is>
          <t>ОП 1С и ИТС. Коммерция. Гр. Новые деньги</t>
        </is>
      </c>
    </row>
    <row r="4">
      <c r="A4" s="1" t="inlineStr">
        <is>
          <t>ОП 1С и ИТС. Коммерция. Гр. Новые клиенты</t>
        </is>
      </c>
    </row>
    <row r="5">
      <c r="A5" s="1" t="inlineStr">
        <is>
          <t>ОП 1С и ИТС. Коммерция. Гр. Новые продукты</t>
        </is>
      </c>
    </row>
    <row r="6">
      <c r="A6" s="1" t="inlineStr">
        <is>
          <t>ОП 1С и ИТС. КОРП (СбОф)</t>
        </is>
      </c>
    </row>
    <row r="7">
      <c r="A7" s="1" t="inlineStr">
        <is>
          <t>ОП 1С и ИТС. Госсектор</t>
        </is>
      </c>
    </row>
    <row r="8">
      <c r="A8" s="1" t="inlineStr">
        <is>
          <t>ОП СЭД</t>
        </is>
      </c>
    </row>
    <row r="9">
      <c r="A9" s="1" t="inlineStr">
        <is>
          <t>ОП СЭД. Масс сегмент</t>
        </is>
      </c>
    </row>
    <row r="10">
      <c r="A10" s="1" t="inlineStr">
        <is>
          <t>ОП СЭД. КОРП сегмент</t>
        </is>
      </c>
    </row>
    <row r="11">
      <c r="A11" s="1" t="inlineStr">
        <is>
          <t>ОП ИБ</t>
        </is>
      </c>
    </row>
    <row r="12">
      <c r="A12" s="1" t="inlineStr">
        <is>
          <t>ОП ИБ. ЦК ИБ</t>
        </is>
      </c>
    </row>
    <row r="13">
      <c r="A13" s="1" t="inlineStr">
        <is>
          <t>ОП Битрикс</t>
        </is>
      </c>
    </row>
    <row r="14">
      <c r="A14" s="1" t="inlineStr">
        <is>
          <t>Диспетчеризация</t>
        </is>
      </c>
    </row>
    <row r="15">
      <c r="A15" s="1" t="inlineStr">
        <is>
          <t>Логистика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Блохина Елизавета</dc:creator>
  <dcterms:created xmlns:dcterms="http://purl.org/dc/terms/" xmlns:xsi="http://www.w3.org/2001/XMLSchema-instance" xsi:type="dcterms:W3CDTF">2026-09-07T02:23:25Z</dcterms:created>
  <dcterms:modified xmlns:dcterms="http://purl.org/dc/terms/" xmlns:xsi="http://www.w3.org/2001/XMLSchema-instance" xsi:type="dcterms:W3CDTF">2026-09-07T14:15:12Z</dcterms:modified>
  <cp:lastModifiedBy>Блохина Елизавета</cp:lastModifiedBy>
</cp:coreProperties>
</file>