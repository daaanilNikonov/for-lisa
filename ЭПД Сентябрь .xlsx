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60" yWindow="2260" windowWidth="28240" windowHeight="17240" tabRatio="600" firstSheet="0" activeTab="0" autoFilterDateGrouping="1"/>
  </bookViews>
  <sheets>
    <sheet name="ЭПД Сентябрь" sheetId="1" state="visible" r:id="rId1"/>
    <sheet name="Справочник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0">
    <numFmt numFmtId="164" formatCode="dd\.mm"/>
    <numFmt numFmtId="165" formatCode="_-* #,##0.00 [$₽-419];-* #,##0.00 [$₽-419];_-* - [$₽-419];_-@"/>
    <numFmt numFmtId="166" formatCode="0.00000000"/>
    <numFmt numFmtId="167" formatCode="0.0000000"/>
    <numFmt numFmtId="168" formatCode="0.000000"/>
    <numFmt numFmtId="169" formatCode="0.00000"/>
    <numFmt numFmtId="170" formatCode="0.0000"/>
    <numFmt numFmtId="171" formatCode="0.000"/>
    <numFmt numFmtId="172" formatCode="0.0"/>
    <numFmt numFmtId="173" formatCode="0.0%"/>
  </numFmts>
  <fonts count="11">
    <font>
      <name val="Arimo"/>
      <family val="2"/>
      <color theme="1"/>
      <sz val="10"/>
    </font>
    <font>
      <b val="1"/>
      <sz val="14"/>
    </font>
    <font>
      <sz val="14"/>
    </font>
    <font>
      <color rgb="FF11734B"/>
      <sz val="14"/>
    </font>
    <font>
      <color rgb="FF0A53A8"/>
      <sz val="14"/>
    </font>
    <font>
      <color rgb="FF5A3286"/>
      <sz val="14"/>
    </font>
    <font>
      <color rgb="FFB10202"/>
      <sz val="14"/>
    </font>
    <font>
      <color rgb="FFC6DBE1"/>
      <sz val="14"/>
    </font>
    <font>
      <b val="1"/>
      <sz val="12"/>
    </font>
    <font>
      <b val="1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FF6AA84F"/>
      </patternFill>
    </fill>
    <fill>
      <patternFill patternType="solid">
        <fgColor rgb="FFFFFFFF"/>
      </patternFill>
    </fill>
    <fill>
      <patternFill patternType="solid">
        <fgColor rgb="FFB7E1CD"/>
      </patternFill>
    </fill>
    <fill>
      <patternFill patternType="solid">
        <fgColor rgb="FFB6D7A8"/>
      </patternFill>
    </fill>
    <fill>
      <patternFill patternType="solid">
        <fgColor rgb="FF93C47D"/>
      </patternFill>
    </fill>
    <fill>
      <patternFill patternType="solid">
        <fgColor rgb="FF9FC5E8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/>
    </border>
    <border>
      <right style="thin"/>
      <bottom style="thin">
        <color rgb="FF000000"/>
      </bottom>
    </border>
    <border>
      <left style="thin"/>
      <right style="thin"/>
      <top style="thin"/>
      <bottom style="thin"/>
    </border>
    <border>
      <bottom/>
    </border>
    <border>
      <right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  <bottom/>
    </border>
    <border>
      <bottom style="thin"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1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2" fillId="3" borderId="3" applyAlignment="1" pivotButton="0" quotePrefix="0" xfId="0">
      <alignment horizontal="right" vertical="bottom"/>
    </xf>
    <xf numFmtId="0" fontId="2" fillId="3" borderId="4" applyAlignment="1" pivotButton="0" quotePrefix="0" xfId="0">
      <alignment vertical="bottom"/>
    </xf>
    <xf numFmtId="0" fontId="2" fillId="3" borderId="4" applyAlignment="1" pivotButton="0" quotePrefix="0" xfId="0">
      <alignment horizontal="right" vertical="bottom"/>
    </xf>
    <xf numFmtId="9" fontId="2" fillId="3" borderId="4" applyAlignment="1" pivotButton="0" quotePrefix="0" xfId="0">
      <alignment horizontal="right" vertical="bottom"/>
    </xf>
    <xf numFmtId="0" fontId="0" fillId="3" borderId="4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2" fillId="4" borderId="5" applyAlignment="1" pivotButton="0" quotePrefix="0" xfId="0">
      <alignment vertical="bottom"/>
    </xf>
    <xf numFmtId="10" fontId="2" fillId="3" borderId="4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1" fillId="5" borderId="3" applyAlignment="1" pivotButton="0" quotePrefix="0" xfId="0">
      <alignment vertical="bottom"/>
    </xf>
    <xf numFmtId="0" fontId="1" fillId="3" borderId="4" applyAlignment="1" pivotButton="0" quotePrefix="0" xfId="0">
      <alignment vertical="bottom"/>
    </xf>
    <xf numFmtId="0" fontId="1" fillId="3" borderId="4" applyAlignment="1" pivotButton="0" quotePrefix="0" xfId="0">
      <alignment horizontal="right" vertical="bottom"/>
    </xf>
    <xf numFmtId="10" fontId="1" fillId="3" borderId="4" applyAlignment="1" pivotButton="0" quotePrefix="0" xfId="0">
      <alignment horizontal="right"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1" fillId="2" borderId="3" applyAlignment="1" pivotButton="0" quotePrefix="0" xfId="0">
      <alignment vertical="bottom"/>
    </xf>
    <xf numFmtId="0" fontId="1" fillId="2" borderId="4" applyAlignment="1" pivotButton="0" quotePrefix="0" xfId="0">
      <alignment vertical="bottom"/>
    </xf>
    <xf numFmtId="164" fontId="2" fillId="3" borderId="3" applyAlignment="1" pivotButton="0" quotePrefix="0" xfId="0">
      <alignment horizontal="right" vertical="bottom"/>
    </xf>
    <xf numFmtId="0" fontId="3" fillId="3" borderId="4" applyAlignment="1" pivotButton="0" quotePrefix="0" xfId="0">
      <alignment vertical="bottom"/>
    </xf>
    <xf numFmtId="0" fontId="4" fillId="3" borderId="4" applyAlignment="1" pivotButton="0" quotePrefix="0" xfId="0">
      <alignment vertical="bottom"/>
    </xf>
    <xf numFmtId="0" fontId="5" fillId="3" borderId="4" applyAlignment="1" pivotButton="0" quotePrefix="0" xfId="0">
      <alignment vertical="bottom"/>
    </xf>
    <xf numFmtId="0" fontId="6" fillId="3" borderId="4" applyAlignment="1" pivotButton="0" quotePrefix="0" xfId="0">
      <alignment vertical="bottom"/>
    </xf>
    <xf numFmtId="0" fontId="0" fillId="3" borderId="0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3" fontId="2" fillId="3" borderId="4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6" fillId="0" borderId="4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0" fillId="3" borderId="5" applyAlignment="1" pivotButton="0" quotePrefix="0" xfId="0">
      <alignment vertical="bottom"/>
    </xf>
    <xf numFmtId="0" fontId="2" fillId="6" borderId="3" applyAlignment="1" pivotButton="0" quotePrefix="0" xfId="0">
      <alignment vertical="bottom"/>
    </xf>
    <xf numFmtId="3" fontId="2" fillId="6" borderId="4" applyAlignment="1" pivotButton="0" quotePrefix="0" xfId="0">
      <alignment vertical="bottom"/>
    </xf>
    <xf numFmtId="0" fontId="0" fillId="3" borderId="3" applyAlignment="1" pivotButton="0" quotePrefix="0" xfId="0">
      <alignment vertical="bottom"/>
    </xf>
    <xf numFmtId="0" fontId="2" fillId="7" borderId="3" applyAlignment="1" pivotButton="0" quotePrefix="0" xfId="0">
      <alignment vertical="bottom"/>
    </xf>
    <xf numFmtId="3" fontId="2" fillId="7" borderId="4" applyAlignment="1" pivotButton="0" quotePrefix="0" xfId="0">
      <alignment vertical="bottom"/>
    </xf>
    <xf numFmtId="164" fontId="1" fillId="3" borderId="4" applyAlignment="1" pivotButton="0" quotePrefix="0" xfId="0">
      <alignment vertical="bottom"/>
    </xf>
    <xf numFmtId="165" fontId="1" fillId="2" borderId="2" applyAlignment="1" pivotButton="0" quotePrefix="0" xfId="0">
      <alignment vertical="bottom"/>
    </xf>
    <xf numFmtId="165" fontId="2" fillId="3" borderId="4" applyAlignment="1" pivotButton="0" quotePrefix="0" xfId="0">
      <alignment horizontal="right" vertical="bottom"/>
    </xf>
    <xf numFmtId="0" fontId="1" fillId="2" borderId="2" applyAlignment="1" pivotButton="0" quotePrefix="0" xfId="0">
      <alignment/>
    </xf>
    <xf numFmtId="0" fontId="1" fillId="2" borderId="2" applyAlignment="1" pivotButton="0" quotePrefix="0" xfId="0">
      <alignment vertical="bottom" wrapText="1"/>
    </xf>
    <xf numFmtId="0" fontId="1" fillId="2" borderId="2" applyAlignment="1" pivotButton="0" quotePrefix="0" xfId="0">
      <alignment wrapText="1"/>
    </xf>
    <xf numFmtId="0" fontId="2" fillId="3" borderId="4" applyAlignment="1" pivotButton="0" quotePrefix="0" xfId="0">
      <alignment horizontal="right" vertical="bottom" wrapText="1"/>
    </xf>
    <xf numFmtId="9" fontId="2" fillId="3" borderId="4" applyAlignment="1" pivotButton="0" quotePrefix="0" xfId="0">
      <alignment horizontal="right" vertical="bottom" wrapText="1"/>
    </xf>
    <xf numFmtId="0" fontId="2" fillId="8" borderId="5" applyAlignment="1" pivotButton="0" quotePrefix="0" xfId="0">
      <alignment vertical="bottom"/>
    </xf>
    <xf numFmtId="0" fontId="2" fillId="3" borderId="6" applyAlignment="1" pivotButton="0" quotePrefix="0" xfId="0">
      <alignment vertical="bottom"/>
    </xf>
    <xf numFmtId="9" fontId="2" fillId="3" borderId="7" applyAlignment="1" pivotButton="0" quotePrefix="0" xfId="0">
      <alignment horizontal="right" vertical="bottom"/>
    </xf>
    <xf numFmtId="0" fontId="2" fillId="8" borderId="8" applyAlignment="1" pivotButton="0" quotePrefix="0" xfId="0">
      <alignment vertical="bottom"/>
    </xf>
    <xf numFmtId="165" fontId="1" fillId="3" borderId="4" applyAlignment="1" pivotButton="0" quotePrefix="0" xfId="0">
      <alignment horizontal="right" vertical="bottom"/>
    </xf>
    <xf numFmtId="0" fontId="2" fillId="3" borderId="4" applyAlignment="1" pivotButton="0" quotePrefix="0" xfId="0">
      <alignment horizontal="right" vertical="bottom" wrapText="1"/>
    </xf>
    <xf numFmtId="166" fontId="2" fillId="3" borderId="4" applyAlignment="1" pivotButton="0" quotePrefix="0" xfId="0">
      <alignment horizontal="right" vertical="bottom" wrapText="1"/>
    </xf>
    <xf numFmtId="167" fontId="2" fillId="3" borderId="4" applyAlignment="1" pivotButton="0" quotePrefix="0" xfId="0">
      <alignment horizontal="right" vertical="bottom" wrapText="1"/>
    </xf>
    <xf numFmtId="168" fontId="2" fillId="3" borderId="4" applyAlignment="1" pivotButton="0" quotePrefix="0" xfId="0">
      <alignment horizontal="right" vertical="bottom" wrapText="1"/>
    </xf>
    <xf numFmtId="169" fontId="2" fillId="3" borderId="4" applyAlignment="1" pivotButton="0" quotePrefix="0" xfId="0">
      <alignment horizontal="right" vertical="bottom" wrapText="1"/>
    </xf>
    <xf numFmtId="170" fontId="2" fillId="3" borderId="4" applyAlignment="1" pivotButton="0" quotePrefix="0" xfId="0">
      <alignment horizontal="right" vertical="bottom" wrapText="1"/>
    </xf>
    <xf numFmtId="171" fontId="2" fillId="3" borderId="4" applyAlignment="1" pivotButton="0" quotePrefix="0" xfId="0">
      <alignment horizontal="right" vertical="bottom" wrapText="1"/>
    </xf>
    <xf numFmtId="2" fontId="2" fillId="3" borderId="4" applyAlignment="1" pivotButton="0" quotePrefix="0" xfId="0">
      <alignment horizontal="right" vertical="bottom" wrapText="1"/>
    </xf>
    <xf numFmtId="172" fontId="2" fillId="3" borderId="4" applyAlignment="1" pivotButton="0" quotePrefix="0" xfId="0">
      <alignment horizontal="right" vertical="bottom" wrapText="1"/>
    </xf>
    <xf numFmtId="10" fontId="2" fillId="3" borderId="4" applyAlignment="1" pivotButton="0" quotePrefix="0" xfId="0">
      <alignment horizontal="right" vertical="bottom" wrapText="1"/>
    </xf>
    <xf numFmtId="10" fontId="1" fillId="3" borderId="4" applyAlignment="1" pivotButton="0" quotePrefix="0" xfId="0">
      <alignment horizontal="right" vertical="bottom"/>
    </xf>
    <xf numFmtId="0" fontId="0" fillId="0" borderId="9" applyAlignment="1" pivotButton="0" quotePrefix="0" xfId="0">
      <alignment vertical="bottom"/>
    </xf>
    <xf numFmtId="0" fontId="2" fillId="3" borderId="10" applyAlignment="1" pivotButton="0" quotePrefix="0" xfId="0">
      <alignment horizontal="right" vertical="bottom"/>
    </xf>
    <xf numFmtId="0" fontId="1" fillId="2" borderId="11" applyAlignment="1" pivotButton="0" quotePrefix="0" xfId="0">
      <alignment vertical="bottom"/>
    </xf>
    <xf numFmtId="0" fontId="2" fillId="3" borderId="11" applyAlignment="1" pivotButton="0" quotePrefix="0" xfId="0">
      <alignment horizontal="right" vertical="bottom"/>
    </xf>
    <xf numFmtId="0" fontId="2" fillId="3" borderId="11" applyAlignment="1" pivotButton="0" quotePrefix="0" xfId="0">
      <alignment vertical="bottom"/>
    </xf>
    <xf numFmtId="0" fontId="0" fillId="3" borderId="10" applyAlignment="1" pivotButton="0" quotePrefix="0" xfId="0">
      <alignment vertical="bottom"/>
    </xf>
    <xf numFmtId="0" fontId="0" fillId="3" borderId="11" applyAlignment="1" pivotButton="0" quotePrefix="0" xfId="0">
      <alignment vertical="bottom"/>
    </xf>
    <xf numFmtId="0" fontId="2" fillId="3" borderId="10" applyAlignment="1" pivotButton="0" quotePrefix="0" xfId="0">
      <alignment vertical="bottom"/>
    </xf>
    <xf numFmtId="3" fontId="2" fillId="3" borderId="10" applyAlignment="1" pivotButton="0" quotePrefix="0" xfId="0">
      <alignment vertical="bottom"/>
    </xf>
    <xf numFmtId="0" fontId="0" fillId="0" borderId="11" applyAlignment="1" pivotButton="0" quotePrefix="0" xfId="0">
      <alignment vertical="bottom"/>
    </xf>
    <xf numFmtId="0" fontId="1" fillId="8" borderId="11" applyAlignment="1" pivotButton="0" quotePrefix="0" xfId="0">
      <alignment vertical="bottom"/>
    </xf>
    <xf numFmtId="0" fontId="2" fillId="8" borderId="11" applyAlignment="1" pivotButton="0" quotePrefix="0" xfId="0">
      <alignment horizontal="right" vertical="bottom"/>
    </xf>
    <xf numFmtId="0" fontId="2" fillId="8" borderId="11" applyAlignment="1" pivotButton="0" quotePrefix="0" xfId="0">
      <alignment vertical="bottom"/>
    </xf>
    <xf numFmtId="0" fontId="0" fillId="8" borderId="11" applyAlignment="1" pivotButton="0" quotePrefix="0" xfId="0">
      <alignment vertical="bottom"/>
    </xf>
    <xf numFmtId="0" fontId="2" fillId="3" borderId="12" applyAlignment="1" pivotButton="0" quotePrefix="0" xfId="0">
      <alignment vertical="bottom"/>
    </xf>
    <xf numFmtId="0" fontId="2" fillId="3" borderId="13" applyAlignment="1" pivotButton="0" quotePrefix="0" xfId="0">
      <alignment horizontal="right" vertical="bottom"/>
    </xf>
    <xf numFmtId="0" fontId="2" fillId="0" borderId="11" applyAlignment="1" pivotButton="0" quotePrefix="0" xfId="0">
      <alignment horizontal="right" vertical="bottom"/>
    </xf>
    <xf numFmtId="10" fontId="2" fillId="3" borderId="11" applyAlignment="1" pivotButton="0" quotePrefix="0" xfId="0">
      <alignment horizontal="right" vertical="bottom"/>
    </xf>
    <xf numFmtId="0" fontId="1" fillId="2" borderId="6" applyAlignment="1" pivotButton="0" quotePrefix="0" xfId="0">
      <alignment vertical="bottom"/>
    </xf>
    <xf numFmtId="0" fontId="2" fillId="3" borderId="7" applyAlignment="1" pivotButton="0" quotePrefix="0" xfId="0">
      <alignment horizontal="right" vertical="bottom"/>
    </xf>
    <xf numFmtId="0" fontId="2" fillId="3" borderId="8" applyAlignment="1" pivotButton="0" quotePrefix="0" xfId="0">
      <alignment horizontal="right" vertical="bottom"/>
    </xf>
    <xf numFmtId="0" fontId="0" fillId="3" borderId="7" applyAlignment="1" pivotButton="0" quotePrefix="0" xfId="0">
      <alignment vertical="bottom"/>
    </xf>
    <xf numFmtId="0" fontId="0" fillId="3" borderId="8" applyAlignment="1" pivotButton="0" quotePrefix="0" xfId="0">
      <alignment vertical="bottom"/>
    </xf>
    <xf numFmtId="0" fontId="0" fillId="3" borderId="14" applyAlignment="1" pivotButton="0" quotePrefix="0" xfId="0">
      <alignment vertical="bottom"/>
    </xf>
    <xf numFmtId="0" fontId="1" fillId="2" borderId="8" applyAlignment="1" pivotButton="0" quotePrefix="0" xfId="0">
      <alignment vertical="bottom"/>
    </xf>
    <xf numFmtId="0" fontId="2" fillId="3" borderId="8" applyAlignment="1" pivotButton="0" quotePrefix="0" xfId="0">
      <alignment vertical="bottom"/>
    </xf>
    <xf numFmtId="0" fontId="2" fillId="3" borderId="8" applyAlignment="1" pivotButton="0" quotePrefix="0" xfId="0">
      <alignment horizontal="right" vertical="bottom"/>
    </xf>
    <xf numFmtId="10" fontId="2" fillId="3" borderId="8" applyAlignment="1" pivotButton="0" quotePrefix="0" xfId="0">
      <alignment horizontal="right" vertical="bottom"/>
    </xf>
    <xf numFmtId="0" fontId="0" fillId="3" borderId="4" applyAlignment="1" pivotButton="0" quotePrefix="0" xfId="0">
      <alignment vertical="bottom"/>
    </xf>
    <xf numFmtId="173" fontId="2" fillId="3" borderId="4" applyAlignment="1" pivotButton="0" quotePrefix="0" xfId="0">
      <alignment horizontal="right" vertical="bottom" wrapText="1"/>
    </xf>
    <xf numFmtId="9" fontId="2" fillId="3" borderId="4" applyAlignment="1" pivotButton="0" quotePrefix="0" xfId="0">
      <alignment horizontal="right" vertical="bottom" wrapText="1"/>
    </xf>
    <xf numFmtId="165" fontId="1" fillId="2" borderId="2" applyAlignment="1" pivotButton="0" quotePrefix="0" xfId="0">
      <alignment vertical="bottom"/>
    </xf>
    <xf numFmtId="165" fontId="2" fillId="3" borderId="4" applyAlignment="1" pivotButton="0" quotePrefix="0" xfId="0">
      <alignment horizontal="right" vertical="bottom"/>
    </xf>
    <xf numFmtId="164" fontId="1" fillId="3" borderId="4" applyAlignment="1" pivotButton="0" quotePrefix="0" xfId="0">
      <alignment vertical="bottom"/>
    </xf>
    <xf numFmtId="165" fontId="1" fillId="3" borderId="4" applyAlignment="1" pivotButton="0" quotePrefix="0" xfId="0">
      <alignment horizontal="right" vertical="bottom"/>
    </xf>
    <xf numFmtId="9" fontId="1" fillId="3" borderId="4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164" fontId="2" fillId="3" borderId="3" applyAlignment="1" pivotButton="0" quotePrefix="0" xfId="0">
      <alignment horizontal="right" vertical="bottom"/>
    </xf>
    <xf numFmtId="9" fontId="0" fillId="3" borderId="4" applyAlignment="1" pivotButton="0" quotePrefix="0" xfId="0">
      <alignment vertical="bottom"/>
    </xf>
    <xf numFmtId="9" fontId="0" fillId="0" borderId="4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0" fontId="0" fillId="3" borderId="4" applyAlignment="1" pivotButton="0" quotePrefix="0" xfId="0">
      <alignment vertical="bottom"/>
    </xf>
    <xf numFmtId="9" fontId="0" fillId="3" borderId="4" applyAlignment="1" pivotButton="0" quotePrefix="0" xfId="0">
      <alignment vertical="bottom"/>
    </xf>
    <xf numFmtId="9" fontId="2" fillId="3" borderId="8" applyAlignment="1" pivotButton="0" quotePrefix="0" xfId="0">
      <alignment horizontal="right" vertical="bottom"/>
    </xf>
    <xf numFmtId="10" fontId="2" fillId="3" borderId="11" applyAlignment="1" pivotButton="0" quotePrefix="0" xfId="0">
      <alignment horizontal="right" vertical="bottom"/>
    </xf>
    <xf numFmtId="10" fontId="0" fillId="0" borderId="0" applyAlignment="1" pivotButton="0" quotePrefix="0" xfId="0">
      <alignment vertical="bottom"/>
    </xf>
    <xf numFmtId="0" fontId="8" fillId="0" borderId="0" pivotButton="0" quotePrefix="0" xfId="0"/>
    <xf numFmtId="0" fontId="9" fillId="0" borderId="0" pivotButton="0" quotePrefix="0" xfId="0"/>
  </cellXfs>
  <cellStyles count="1">
    <cellStyle name="Обычный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47"/>
  <sheetViews>
    <sheetView tabSelected="0" workbookViewId="0">
      <selection activeCell="A1" sqref="A1"/>
    </sheetView>
  </sheetViews>
  <sheetFormatPr baseColWidth="13" defaultColWidth="13.4" defaultRowHeight="14.25" customHeight="1"/>
  <cols>
    <col width="33.262" customWidth="1" min="1" max="1"/>
    <col width="24.523" customWidth="1" min="2" max="2"/>
    <col width="37.762" customWidth="1" min="3" max="3"/>
    <col width="19.664" customWidth="1" min="4" max="4"/>
    <col width="18.531" customWidth="1" min="5" max="5"/>
    <col width="24.191" customWidth="1" min="6" max="6"/>
    <col width="30.621" customWidth="1" min="7" max="7"/>
    <col width="30.184" customWidth="1" min="8" max="8"/>
  </cols>
  <sheetData>
    <row r="1" ht="35.25" customHeight="1">
      <c r="A1" s="2" t="inlineStr">
        <is>
          <t>Период</t>
        </is>
      </c>
      <c r="B1" s="2" t="inlineStr">
        <is>
          <t>План продаж (шт.)</t>
        </is>
      </c>
      <c r="C1" s="96" t="inlineStr">
        <is>
          <t>План выручки</t>
        </is>
      </c>
      <c r="D1" s="45" t="inlineStr">
        <is>
          <t>Факт продаж (шт.)</t>
        </is>
      </c>
      <c r="E1" s="46" t="inlineStr">
        <is>
          <t>Факт выручка (руб.)</t>
        </is>
      </c>
      <c r="F1" s="45" t="inlineStr">
        <is>
          <t>Выполнение плана продаж (%)</t>
        </is>
      </c>
      <c r="G1" s="45" t="inlineStr">
        <is>
          <t>Выполнение плана выручки(%)</t>
        </is>
      </c>
      <c r="H1" s="2" t="inlineStr">
        <is>
          <t>Примечание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8.75" customHeight="1">
      <c r="A2" s="5" t="inlineStr">
        <is>
          <t>01.09-04.09</t>
        </is>
      </c>
      <c r="B2" s="6" t="n">
        <v>2</v>
      </c>
      <c r="C2" s="97" t="n">
        <v>10000</v>
      </c>
      <c r="D2" s="6">
        <f>SUMIFS($G$11:$G$45,$A$11:$A$45,"&gt;="&amp;DATE(2026,9,1),$A$11:$A$45,"&lt;="&amp;DATE(2026,9,4))</f>
        <v/>
      </c>
      <c r="E2" s="97">
        <f>SUMIFS($H$11:$H$45,$A$11:$A$45,"&gt;="&amp;DATE(2026,9,1),$A$11:$A$45,"&lt;="&amp;DATE(2026,9,4))</f>
        <v/>
      </c>
      <c r="F2" s="95">
        <f>IF(B2=0,"",D2/B2)</f>
        <v/>
      </c>
      <c r="G2" s="95">
        <f>IF(C2=0,"",E2/C2)</f>
        <v/>
      </c>
      <c r="H2" s="9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8.75" customHeight="1">
      <c r="A3" s="5" t="inlineStr">
        <is>
          <t>07.09-11.09</t>
        </is>
      </c>
      <c r="B3" s="6" t="n">
        <v>6</v>
      </c>
      <c r="C3" s="97" t="n">
        <v>30000</v>
      </c>
      <c r="D3" s="6">
        <f>SUMIFS($G$11:$G$45,$A$11:$A$45,"&gt;="&amp;DATE(2026,9,7),$A$11:$A$45,"&lt;="&amp;DATE(2026,9,11))</f>
        <v/>
      </c>
      <c r="E3" s="6">
        <f>SUMIFS($H$11:$H$45,$A$11:$A$45,"&gt;="&amp;DATE(2026,9,7),$A$11:$A$45,"&lt;="&amp;DATE(2026,9,11))</f>
        <v/>
      </c>
      <c r="F3" s="95">
        <f>IF(B3=0,"",D3/B3)</f>
        <v/>
      </c>
      <c r="G3" s="95">
        <f>IF(C3=0,"",E3/C3)</f>
        <v/>
      </c>
      <c r="H3" s="50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8.75" customHeight="1">
      <c r="A4" s="5" t="inlineStr">
        <is>
          <t>14.09-18.09</t>
        </is>
      </c>
      <c r="B4" s="6" t="n">
        <v>6</v>
      </c>
      <c r="C4" s="97" t="n">
        <v>30000</v>
      </c>
      <c r="D4" s="6">
        <f>SUMIFS($G$11:$G$45,$A$11:$A$45,"&gt;="&amp;DATE(2026,9,14),$A$11:$A$45,"&lt;="&amp;DATE(2026,9,18))</f>
        <v/>
      </c>
      <c r="E4" s="6">
        <f>SUMIFS($H$11:$H$45,$A$11:$A$45,"&gt;="&amp;DATE(2026,9,14),$A$11:$A$45,"&lt;="&amp;DATE(2026,9,18))</f>
        <v/>
      </c>
      <c r="F4" s="95">
        <f>IF(B4=0,"",D4/B4)</f>
        <v/>
      </c>
      <c r="G4" s="95">
        <f>IF(C4=0,"",E4/C4)</f>
        <v/>
      </c>
      <c r="H4" s="52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8.75" customHeight="1">
      <c r="A5" s="5" t="inlineStr">
        <is>
          <t>21.09-25.09</t>
        </is>
      </c>
      <c r="B5" s="6" t="n">
        <v>6</v>
      </c>
      <c r="C5" s="97" t="n">
        <v>30000</v>
      </c>
      <c r="D5" s="6">
        <f>SUMIFS($G$11:$G$45,$A$11:$A$45,"&gt;="&amp;DATE(2026,9,21),$A$11:$A$45,"&lt;="&amp;DATE(2026,9,25))</f>
        <v/>
      </c>
      <c r="E5" s="6">
        <f>SUMIFS($H$11:$H$45,$A$11:$A$45,"&gt;="&amp;DATE(2026,9,21),$A$11:$A$45,"&lt;="&amp;DATE(2026,9,25))</f>
        <v/>
      </c>
      <c r="F5" s="95">
        <f>IF(B5=0,"",D5/B5)</f>
        <v/>
      </c>
      <c r="G5" s="95">
        <f>IF(C5=0,"",E5/C5)</f>
        <v/>
      </c>
      <c r="H5" s="5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8.75" customHeight="1">
      <c r="A6" s="5" t="inlineStr">
        <is>
          <t>28.09-02.10</t>
        </is>
      </c>
      <c r="B6" s="6" t="n">
        <v>6</v>
      </c>
      <c r="C6" s="97" t="n">
        <v>30000</v>
      </c>
      <c r="D6" s="6">
        <f>SUMIFS($G$11:$G$45,$A$11:$A$45,"&gt;="&amp;DATE(2026,9,28),$A$11:$A$45,"&lt;="&amp;DATE(2026,10,2))</f>
        <v/>
      </c>
      <c r="E6" s="6">
        <f>SUMIFS($H$11:$H$45,$A$11:$A$45,"&gt;="&amp;DATE(2026,9,28),$A$11:$A$45,"&lt;="&amp;DATE(2026,10,2))</f>
        <v/>
      </c>
      <c r="F6" s="95">
        <f>IF(B6=0,"",D6/B6)</f>
        <v/>
      </c>
      <c r="G6" s="95">
        <f>IF(C6=0,"",E6/C6)</f>
        <v/>
      </c>
      <c r="H6" s="5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8.75" customHeight="1">
      <c r="A7" s="98" t="inlineStr">
        <is>
          <t>ИТОГ: 01.09-02.10</t>
        </is>
      </c>
      <c r="B7" s="16">
        <f>SUM(B2:B6)</f>
        <v/>
      </c>
      <c r="C7" s="99">
        <f>SUM(C2:C6)</f>
        <v/>
      </c>
      <c r="D7" s="6">
        <f>SUM(D2:D6)</f>
        <v/>
      </c>
      <c r="E7" s="6">
        <f>SUM(E2:E6)</f>
        <v/>
      </c>
      <c r="F7" s="100">
        <f>IF(B7=0,"",D7/B7)</f>
        <v/>
      </c>
      <c r="G7" s="100">
        <f>IF(C7=0,"",E7/C7)</f>
        <v/>
      </c>
      <c r="H7" s="15" t="n"/>
      <c r="I7" s="3" t="n"/>
      <c r="J7" s="13" t="inlineStr">
        <is>
          <t> </t>
        </is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4.2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25" customHeight="1">
      <c r="A9" s="21" t="n"/>
      <c r="B9" s="21" t="n"/>
      <c r="C9" s="21" t="n"/>
      <c r="D9" s="21" t="n"/>
      <c r="E9" s="21" t="n"/>
      <c r="F9" s="21" t="n"/>
      <c r="G9" s="21" t="n"/>
      <c r="H9" s="21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8.75" customHeight="1">
      <c r="A10" s="22" t="inlineStr">
        <is>
          <t>Дата</t>
        </is>
      </c>
      <c r="B10" s="23" t="inlineStr">
        <is>
          <t>Менеджер</t>
        </is>
      </c>
      <c r="C10" s="23" t="inlineStr">
        <is>
          <t>Канал лида</t>
        </is>
      </c>
      <c r="D10" s="23" t="inlineStr">
        <is>
          <t>Кол-во обработанных лидов</t>
        </is>
      </c>
      <c r="E10" s="23" t="inlineStr">
        <is>
          <t>Создана сделка в б24</t>
        </is>
      </c>
      <c r="F10" s="23" t="inlineStr">
        <is>
          <t>Из них отправлено кп</t>
        </is>
      </c>
      <c r="G10" s="23" t="inlineStr">
        <is>
          <t>Пришла оплата</t>
        </is>
      </c>
      <c r="H10" s="83" t="inlineStr">
        <is>
          <t>Сумма сделки (руб.)</t>
        </is>
      </c>
      <c r="I10" s="3" t="n"/>
      <c r="J10" s="101" t="inlineStr">
        <is>
          <t>← базу выбирайте из списка (лист «Справочник»)</t>
        </is>
      </c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8.75" customHeight="1">
      <c r="A11" s="102" t="n">
        <v>46269</v>
      </c>
      <c r="B11" s="5" t="inlineStr">
        <is>
          <t>Юлиана</t>
        </is>
      </c>
      <c r="C11" s="25" t="inlineStr">
        <is>
          <t>Входящий</t>
        </is>
      </c>
      <c r="D11" s="6" t="n">
        <v>1</v>
      </c>
      <c r="E11" s="6" t="n"/>
      <c r="F11" s="6" t="n"/>
      <c r="G11" s="84" t="n">
        <v>1</v>
      </c>
      <c r="H11" s="91" t="n">
        <v>1400</v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8.75" customHeight="1">
      <c r="A12" s="102" t="n">
        <v>46272</v>
      </c>
      <c r="B12" s="5" t="inlineStr">
        <is>
          <t>Юлиана</t>
        </is>
      </c>
      <c r="C12" s="26" t="inlineStr">
        <is>
          <t>Анкеты</t>
        </is>
      </c>
      <c r="D12" s="6" t="n">
        <v>5</v>
      </c>
      <c r="E12" s="6" t="n"/>
      <c r="F12" s="6" t="n"/>
      <c r="G12" s="84" t="n"/>
      <c r="H12" s="91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02" t="n">
        <v>46272</v>
      </c>
      <c r="B13" s="5" t="inlineStr">
        <is>
          <t>Юлиана</t>
        </is>
      </c>
      <c r="C13" s="27" t="inlineStr">
        <is>
          <t>Передали</t>
        </is>
      </c>
      <c r="D13" s="6" t="n">
        <v>1</v>
      </c>
      <c r="E13" s="6" t="n"/>
      <c r="F13" s="6" t="n"/>
      <c r="G13" s="84" t="n"/>
      <c r="H13" s="91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2" t="n">
        <v>46273</v>
      </c>
      <c r="B14" s="5" t="inlineStr">
        <is>
          <t>Юлиана</t>
        </is>
      </c>
      <c r="C14" s="28" t="inlineStr">
        <is>
          <t>Входящий</t>
        </is>
      </c>
      <c r="D14" s="6" t="n">
        <v>1</v>
      </c>
      <c r="E14" s="6" t="n"/>
      <c r="F14" s="6" t="n"/>
      <c r="G14" s="84" t="n"/>
      <c r="H14" s="91" t="n"/>
      <c r="I14" s="65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02" t="n">
        <v>46273</v>
      </c>
      <c r="B15" s="5" t="inlineStr">
        <is>
          <t>Юлиана</t>
        </is>
      </c>
      <c r="C15" s="26" t="inlineStr">
        <is>
          <t>Генераторы трафика</t>
        </is>
      </c>
      <c r="D15" s="6" t="n">
        <v>1</v>
      </c>
      <c r="E15" s="6" t="n"/>
      <c r="F15" s="6" t="n"/>
      <c r="G15" s="84" t="n"/>
      <c r="H15" s="91" t="n"/>
      <c r="I15" s="75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02" t="n">
        <v>46274</v>
      </c>
      <c r="B16" s="5" t="inlineStr">
        <is>
          <t>Юлиана</t>
        </is>
      </c>
      <c r="C16" s="25" t="inlineStr">
        <is>
          <t>Входящий</t>
        </is>
      </c>
      <c r="D16" s="6" t="n">
        <v>1</v>
      </c>
      <c r="E16" s="6" t="n"/>
      <c r="F16" s="6" t="n"/>
      <c r="G16" s="84" t="n"/>
      <c r="H16" s="91" t="inlineStr">
        <is>
          <t>час оплатили</t>
        </is>
      </c>
      <c r="I16" s="76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2" t="n">
        <v>46274</v>
      </c>
      <c r="B17" s="5" t="inlineStr">
        <is>
          <t>Юлиана</t>
        </is>
      </c>
      <c r="C17" s="27" t="inlineStr">
        <is>
          <t>база ПР</t>
        </is>
      </c>
      <c r="D17" s="6" t="n">
        <v>5</v>
      </c>
      <c r="E17" s="6" t="n">
        <v>1</v>
      </c>
      <c r="F17" s="6" t="n"/>
      <c r="G17" s="84" t="n"/>
      <c r="H17" s="91" t="n"/>
      <c r="I17" s="76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8.75" customHeight="1">
      <c r="A18" s="102" t="n">
        <v>46275</v>
      </c>
      <c r="B18" s="5" t="inlineStr">
        <is>
          <t>Юлиана</t>
        </is>
      </c>
      <c r="C18" s="28" t="inlineStr">
        <is>
          <t>база ПР</t>
        </is>
      </c>
      <c r="D18" s="6" t="n">
        <v>17</v>
      </c>
      <c r="E18" s="6" t="n"/>
      <c r="F18" s="6" t="n"/>
      <c r="G18" s="86" t="n"/>
      <c r="H18" s="91" t="n"/>
      <c r="I18" s="77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02" t="n">
        <v>46275</v>
      </c>
      <c r="B19" s="5" t="inlineStr">
        <is>
          <t>Юлиана</t>
        </is>
      </c>
      <c r="C19" s="26" t="inlineStr">
        <is>
          <t>Входящий</t>
        </is>
      </c>
      <c r="D19" s="6" t="n">
        <v>1</v>
      </c>
      <c r="E19" s="6" t="n"/>
      <c r="F19" s="6" t="n"/>
      <c r="G19" s="84" t="n"/>
      <c r="H19" s="91" t="n"/>
      <c r="I19" s="76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02" t="n">
        <v>46275</v>
      </c>
      <c r="B20" s="5" t="inlineStr">
        <is>
          <t>Юлиана</t>
        </is>
      </c>
      <c r="C20" s="25" t="inlineStr">
        <is>
          <t>Инста</t>
        </is>
      </c>
      <c r="D20" s="6" t="n">
        <v>1</v>
      </c>
      <c r="E20" s="6" t="n"/>
      <c r="F20" s="6" t="n"/>
      <c r="G20" s="84" t="n"/>
      <c r="H20" s="91" t="n"/>
      <c r="I20" s="76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02" t="n">
        <v>46276</v>
      </c>
      <c r="B21" s="5" t="inlineStr">
        <is>
          <t>Юлиана</t>
        </is>
      </c>
      <c r="C21" s="28" t="inlineStr">
        <is>
          <t>база ПР</t>
        </is>
      </c>
      <c r="D21" s="6" t="n">
        <v>14</v>
      </c>
      <c r="E21" s="6" t="n"/>
      <c r="F21" s="6" t="n"/>
      <c r="G21" s="84" t="n"/>
      <c r="H21" s="91" t="n"/>
      <c r="I21" s="76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02" t="n">
        <v>46279</v>
      </c>
      <c r="B22" s="5" t="inlineStr">
        <is>
          <t>Юлиана</t>
        </is>
      </c>
      <c r="C22" s="5" t="inlineStr">
        <is>
          <t>анкеты лекторий (старые)</t>
        </is>
      </c>
      <c r="D22" s="6" t="n">
        <v>10</v>
      </c>
      <c r="E22" s="6" t="n">
        <v>0</v>
      </c>
      <c r="F22" s="6" t="n"/>
      <c r="G22" s="84" t="n"/>
      <c r="H22" s="91" t="n"/>
      <c r="I22" s="76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02" t="n">
        <v>46279</v>
      </c>
      <c r="B23" s="5" t="inlineStr">
        <is>
          <t>Юлиана</t>
        </is>
      </c>
      <c r="C23" s="26" t="inlineStr">
        <is>
          <t>анкеты лекторий (новые)</t>
        </is>
      </c>
      <c r="D23" s="6" t="n">
        <v>2</v>
      </c>
      <c r="E23" s="6" t="n"/>
      <c r="F23" s="6" t="n"/>
      <c r="G23" s="84" t="n"/>
      <c r="H23" s="91" t="n"/>
      <c r="I23" s="76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8.75" customHeight="1">
      <c r="A24" s="102" t="n">
        <v>46280</v>
      </c>
      <c r="B24" s="5" t="n"/>
      <c r="C24" s="25" t="n"/>
      <c r="D24" s="6" t="n"/>
      <c r="E24" s="6" t="n"/>
      <c r="F24" s="6" t="n"/>
      <c r="G24" s="84" t="n"/>
      <c r="H24" s="91" t="n"/>
      <c r="I24" s="76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8.75" customHeight="1">
      <c r="A25" s="102" t="n">
        <v>46280</v>
      </c>
      <c r="B25" s="5" t="n"/>
      <c r="C25" s="27" t="n"/>
      <c r="D25" s="6" t="n"/>
      <c r="E25" s="6" t="n"/>
      <c r="F25" s="6" t="n"/>
      <c r="G25" s="84" t="n"/>
      <c r="H25" s="91" t="n"/>
      <c r="I25" s="76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02" t="n"/>
      <c r="B26" s="5" t="n"/>
      <c r="C26" s="28" t="n"/>
      <c r="D26" s="6" t="n"/>
      <c r="E26" s="6" t="n"/>
      <c r="F26" s="6" t="n"/>
      <c r="G26" s="84" t="n"/>
      <c r="H26" s="91" t="n"/>
      <c r="I26" s="76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02" t="n"/>
      <c r="B27" s="5" t="n"/>
      <c r="C27" s="26" t="n"/>
      <c r="D27" s="6" t="n"/>
      <c r="E27" s="6" t="n"/>
      <c r="F27" s="6" t="n"/>
      <c r="G27" s="84" t="n"/>
      <c r="H27" s="91" t="n"/>
      <c r="I27" s="76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02" t="n"/>
      <c r="B28" s="5" t="n"/>
      <c r="C28" s="26" t="n"/>
      <c r="D28" s="6" t="n"/>
      <c r="E28" s="6" t="n"/>
      <c r="F28" s="6" t="n"/>
      <c r="G28" s="84" t="n"/>
      <c r="H28" s="91" t="n"/>
      <c r="I28" s="76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2" t="n"/>
      <c r="B29" s="5" t="n"/>
      <c r="C29" s="28" t="n"/>
      <c r="D29" s="6" t="n"/>
      <c r="E29" s="6" t="n"/>
      <c r="F29" s="6" t="n"/>
      <c r="G29" s="84" t="n"/>
      <c r="H29" s="91" t="n"/>
      <c r="I29" s="76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02" t="n"/>
      <c r="B30" s="5" t="n"/>
      <c r="C30" s="5" t="n"/>
      <c r="D30" s="6" t="n"/>
      <c r="E30" s="6" t="n"/>
      <c r="F30" s="6" t="n"/>
      <c r="G30" s="84" t="n"/>
      <c r="H30" s="91" t="n"/>
      <c r="I30" s="76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2" t="n"/>
      <c r="B31" s="5" t="n"/>
      <c r="C31" s="5" t="n"/>
      <c r="D31" s="6" t="n"/>
      <c r="E31" s="93" t="n"/>
      <c r="F31" s="93" t="n"/>
      <c r="G31" s="86" t="n"/>
      <c r="H31" s="87" t="n"/>
      <c r="I31" s="76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02" t="n"/>
      <c r="B32" s="5" t="n"/>
      <c r="C32" s="27" t="n"/>
      <c r="D32" s="6" t="n"/>
      <c r="E32" s="93" t="n"/>
      <c r="F32" s="93" t="n"/>
      <c r="G32" s="86" t="n"/>
      <c r="H32" s="87" t="n"/>
      <c r="I32" s="76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2" t="n"/>
      <c r="B33" s="5" t="n"/>
      <c r="C33" s="26" t="n"/>
      <c r="D33" s="6" t="n"/>
      <c r="E33" s="6" t="n"/>
      <c r="F33" s="93" t="n"/>
      <c r="G33" s="86" t="n"/>
      <c r="H33" s="87" t="n"/>
      <c r="I33" s="76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02" t="n"/>
      <c r="B34" s="5" t="n"/>
      <c r="C34" s="26" t="n"/>
      <c r="D34" s="6" t="n"/>
      <c r="E34" s="6" t="n"/>
      <c r="F34" s="93" t="n"/>
      <c r="G34" s="86" t="n"/>
      <c r="H34" s="87" t="n"/>
      <c r="I34" s="76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2" t="n"/>
      <c r="B35" s="5" t="n"/>
      <c r="C35" s="28" t="n"/>
      <c r="D35" s="6" t="n"/>
      <c r="E35" s="6" t="n"/>
      <c r="F35" s="6" t="n"/>
      <c r="G35" s="84" t="n"/>
      <c r="H35" s="87" t="n"/>
      <c r="I35" s="76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02" t="n"/>
      <c r="B36" s="5" t="n"/>
      <c r="C36" s="5" t="n"/>
      <c r="D36" s="6" t="n"/>
      <c r="E36" s="6" t="n"/>
      <c r="F36" s="93" t="n"/>
      <c r="G36" s="86" t="n"/>
      <c r="H36" s="87" t="n"/>
      <c r="I36" s="78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2" t="n"/>
      <c r="B37" s="5" t="n"/>
      <c r="C37" s="27" t="n"/>
      <c r="D37" s="6" t="n"/>
      <c r="E37" s="6" t="n"/>
      <c r="F37" s="6" t="n"/>
      <c r="G37" s="84" t="n"/>
      <c r="H37" s="87" t="n"/>
      <c r="I37" s="78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02" t="n"/>
      <c r="B38" s="5" t="n"/>
      <c r="C38" s="25" t="n"/>
      <c r="D38" s="6" t="n"/>
      <c r="E38" s="6" t="n"/>
      <c r="F38" s="93" t="n"/>
      <c r="G38" s="86" t="n"/>
      <c r="H38" s="87" t="n"/>
      <c r="I38" s="78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2" t="n"/>
      <c r="B39" s="5" t="n"/>
      <c r="C39" s="28" t="n"/>
      <c r="D39" s="6" t="n"/>
      <c r="E39" s="6" t="n"/>
      <c r="F39" s="93" t="n"/>
      <c r="G39" s="86" t="n"/>
      <c r="H39" s="87" t="n"/>
      <c r="I39" s="78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02" t="n"/>
      <c r="B40" s="5" t="n"/>
      <c r="C40" s="27" t="n"/>
      <c r="D40" s="6" t="n"/>
      <c r="E40" s="6" t="n"/>
      <c r="F40" s="6" t="n"/>
      <c r="G40" s="86" t="n"/>
      <c r="H40" s="87" t="n"/>
      <c r="I40" s="78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2" t="n"/>
      <c r="B41" s="5" t="n"/>
      <c r="C41" s="27" t="n"/>
      <c r="D41" s="6" t="n"/>
      <c r="E41" s="6" t="n"/>
      <c r="F41" s="6" t="n"/>
      <c r="G41" s="86" t="n"/>
      <c r="H41" s="87" t="n"/>
      <c r="I41" s="78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02" t="n"/>
      <c r="B42" s="5" t="n"/>
      <c r="C42" s="27" t="n"/>
      <c r="D42" s="6" t="n"/>
      <c r="E42" s="6" t="n"/>
      <c r="F42" s="6" t="n"/>
      <c r="G42" s="84" t="n"/>
      <c r="H42" s="91" t="n"/>
      <c r="I42" s="78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2" t="n"/>
      <c r="B43" s="5" t="n"/>
      <c r="C43" s="28" t="n"/>
      <c r="D43" s="6" t="n"/>
      <c r="E43" s="93" t="n"/>
      <c r="F43" s="93" t="n"/>
      <c r="G43" s="86" t="n"/>
      <c r="H43" s="87" t="n"/>
      <c r="I43" s="78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02" t="n"/>
      <c r="B44" s="5" t="n"/>
      <c r="C44" s="28" t="n"/>
      <c r="D44" s="6" t="n"/>
      <c r="E44" s="6" t="n"/>
      <c r="F44" s="93" t="n"/>
      <c r="G44" s="86" t="n"/>
      <c r="H44" s="87" t="n"/>
      <c r="I44" s="78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>
      <c r="A45" s="102" t="n"/>
      <c r="B45" s="5" t="n"/>
      <c r="C45" s="25" t="n"/>
      <c r="D45" s="6" t="n"/>
      <c r="E45" s="6" t="n"/>
      <c r="F45" s="93" t="n"/>
      <c r="G45" s="86" t="n"/>
      <c r="H45" s="87" t="n"/>
      <c r="I45" s="78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78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>
      <c r="A47" s="22" t="inlineStr">
        <is>
          <t>Канал</t>
        </is>
      </c>
      <c r="B47" s="23" t="inlineStr">
        <is>
          <t>Всего лидов</t>
        </is>
      </c>
      <c r="C47" s="23" t="inlineStr">
        <is>
          <t>Квалифицировано</t>
        </is>
      </c>
      <c r="D47" s="23" t="inlineStr">
        <is>
          <t>Конверсия лид→квал (%)</t>
        </is>
      </c>
      <c r="E47" s="23" t="inlineStr">
        <is>
          <t>Отправлено КП</t>
        </is>
      </c>
      <c r="F47" s="23" t="inlineStr">
        <is>
          <t>Конверсия квал→КП (%)</t>
        </is>
      </c>
      <c r="G47" s="23" t="inlineStr">
        <is>
          <t>Заключено сделок</t>
        </is>
      </c>
      <c r="H47" s="23" t="inlineStr">
        <is>
          <t>Конверсия КП→сделка (%)</t>
        </is>
      </c>
      <c r="I47" s="78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>
      <c r="A48" s="9">
        <f>IF(Справочник!A2="","",Справочник!A2)</f>
        <v/>
      </c>
      <c r="B48" s="93">
        <f>IF(A48="","",SUMIF($C$11:$C$45,A48,$D$11:$D$45))</f>
        <v/>
      </c>
      <c r="C48" s="93">
        <f>IF(A48="","",SUMIF($C$11:$C$45,A48,$E$11:$E$45))</f>
        <v/>
      </c>
      <c r="D48" s="103">
        <f>IF(OR(A48="",B48=0),"",C48/B48)</f>
        <v/>
      </c>
      <c r="E48" s="93">
        <f>IF(A48="","",SUMIF($C$11:$C$45,A48,$F$11:$F$45))</f>
        <v/>
      </c>
      <c r="F48" s="103">
        <f>IF(OR(A48="",C48=0),"",E48/C48)</f>
        <v/>
      </c>
      <c r="G48" s="93">
        <f>IF(A48="","",SUMIF($C$11:$C$45,A48,$G$11:$G$45))</f>
        <v/>
      </c>
      <c r="H48" s="103">
        <f>IF(OR(A48="",E48=0),"",G48/E48)</f>
        <v/>
      </c>
      <c r="I48" s="78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>
      <c r="A49" s="9">
        <f>IF(Справочник!A3="","",Справочник!A3)</f>
        <v/>
      </c>
      <c r="B49" s="93">
        <f>IF(A49="","",SUMIF($C$11:$C$45,A49,$D$11:$D$45))</f>
        <v/>
      </c>
      <c r="C49" s="93">
        <f>IF(A49="","",SUMIF($C$11:$C$45,A49,$E$11:$E$45))</f>
        <v/>
      </c>
      <c r="D49" s="103">
        <f>IF(OR(A49="",B49=0),"",C49/B49)</f>
        <v/>
      </c>
      <c r="E49" s="93">
        <f>IF(A49="","",SUMIF($C$11:$C$45,A49,$F$11:$F$45))</f>
        <v/>
      </c>
      <c r="F49" s="103">
        <f>IF(OR(A49="",C49=0),"",E49/C49)</f>
        <v/>
      </c>
      <c r="G49" s="93">
        <f>IF(A49="","",SUMIF($C$11:$C$45,A49,$G$11:$G$45))</f>
        <v/>
      </c>
      <c r="H49" s="103">
        <f>IF(OR(A49="",E49=0),"",G49/E49)</f>
        <v/>
      </c>
      <c r="I49" s="78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>
      <c r="A50" s="9">
        <f>IF(Справочник!A4="","",Справочник!A4)</f>
        <v/>
      </c>
      <c r="B50" s="93">
        <f>IF(A50="","",SUMIF($C$11:$C$45,A50,$D$11:$D$45))</f>
        <v/>
      </c>
      <c r="C50" s="93">
        <f>IF(A50="","",SUMIF($C$11:$C$45,A50,$E$11:$E$45))</f>
        <v/>
      </c>
      <c r="D50" s="103">
        <f>IF(OR(A50="",B50=0),"",C50/B50)</f>
        <v/>
      </c>
      <c r="E50" s="93">
        <f>IF(A50="","",SUMIF($C$11:$C$45,A50,$F$11:$F$45))</f>
        <v/>
      </c>
      <c r="F50" s="103">
        <f>IF(OR(A50="",C50=0),"",E50/C50)</f>
        <v/>
      </c>
      <c r="G50" s="93">
        <f>IF(A50="","",SUMIF($C$11:$C$45,A50,$G$11:$G$45))</f>
        <v/>
      </c>
      <c r="H50" s="104">
        <f>IF(OR(A50="",E50=0),"",G50/E50)</f>
        <v/>
      </c>
      <c r="I50" s="78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9">
        <f>IF(Справочник!A5="","",Справочник!A5)</f>
        <v/>
      </c>
      <c r="B51" s="93">
        <f>IF(A51="","",SUMIF($C$11:$C$45,A51,$D$11:$D$45))</f>
        <v/>
      </c>
      <c r="C51" s="93">
        <f>IF(A51="","",SUMIF($C$11:$C$45,A51,$E$11:$E$45))</f>
        <v/>
      </c>
      <c r="D51" s="103">
        <f>IF(OR(A51="",B51=0),"",C51/B51)</f>
        <v/>
      </c>
      <c r="E51" s="93">
        <f>IF(A51="","",SUMIF($C$11:$C$45,A51,$F$11:$F$45))</f>
        <v/>
      </c>
      <c r="F51" s="103">
        <f>IF(OR(A51="",C51=0),"",E51/C51)</f>
        <v/>
      </c>
      <c r="G51" s="93">
        <f>IF(A51="","",SUMIF($C$11:$C$45,A51,$G$11:$G$45))</f>
        <v/>
      </c>
      <c r="H51" s="103">
        <f>IF(OR(A51="",E51=0),"",G51/E51)</f>
        <v/>
      </c>
      <c r="I51" s="78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8.75" customHeight="1">
      <c r="A52" s="105">
        <f>IF(Справочник!A6="","",Справочник!A6)</f>
        <v/>
      </c>
      <c r="B52" s="106">
        <f>IF(A52="","",SUMIF($C$11:$C$45,A52,$D$11:$D$45))</f>
        <v/>
      </c>
      <c r="C52" s="106">
        <f>IF(A52="","",SUMIF($C$11:$C$45,A52,$E$11:$E$45))</f>
        <v/>
      </c>
      <c r="D52" s="107">
        <f>IF(OR(A52="",B52=0),"",C52/B52)</f>
        <v/>
      </c>
      <c r="E52" s="106">
        <f>IF(A52="","",SUMIF($C$11:$C$45,A52,$F$11:$F$45))</f>
        <v/>
      </c>
      <c r="F52" s="107">
        <f>IF(OR(A52="",C52=0),"",E52/C52)</f>
        <v/>
      </c>
      <c r="G52" s="106">
        <f>IF(A52="","",SUMIF($C$11:$C$45,A52,$G$11:$G$45))</f>
        <v/>
      </c>
      <c r="H52" s="107">
        <f>IF(OR(A52="",E52=0),"",G52/E52)</f>
        <v/>
      </c>
    </row>
    <row r="53">
      <c r="A53" s="105">
        <f>IF(Справочник!A7="","",Справочник!A7)</f>
        <v/>
      </c>
      <c r="B53" s="106">
        <f>IF(A53="","",SUMIF($C$11:$C$45,A53,$D$11:$D$45))</f>
        <v/>
      </c>
      <c r="C53" s="106">
        <f>IF(A53="","",SUMIF($C$11:$C$45,A53,$E$11:$E$45))</f>
        <v/>
      </c>
      <c r="D53" s="107">
        <f>IF(OR(A53="",B53=0),"",C53/B53)</f>
        <v/>
      </c>
      <c r="E53" s="106">
        <f>IF(A53="","",SUMIF($C$11:$C$45,A53,$F$11:$F$45))</f>
        <v/>
      </c>
      <c r="F53" s="107">
        <f>IF(OR(A53="",C53=0),"",E53/C53)</f>
        <v/>
      </c>
      <c r="G53" s="106">
        <f>IF(A53="","",SUMIF($C$11:$C$45,A53,$G$11:$G$45))</f>
        <v/>
      </c>
      <c r="H53" s="107">
        <f>IF(OR(A53="",E53=0),"",G53/E53)</f>
        <v/>
      </c>
    </row>
    <row r="54">
      <c r="A54" s="105">
        <f>IF(Справочник!A8="","",Справочник!A8)</f>
        <v/>
      </c>
      <c r="B54" s="106">
        <f>IF(A54="","",SUMIF($C$11:$C$45,A54,$D$11:$D$45))</f>
        <v/>
      </c>
      <c r="C54" s="106">
        <f>IF(A54="","",SUMIF($C$11:$C$45,A54,$E$11:$E$45))</f>
        <v/>
      </c>
      <c r="D54" s="107">
        <f>IF(OR(A54="",B54=0),"",C54/B54)</f>
        <v/>
      </c>
      <c r="E54" s="106">
        <f>IF(A54="","",SUMIF($C$11:$C$45,A54,$F$11:$F$45))</f>
        <v/>
      </c>
      <c r="F54" s="107">
        <f>IF(OR(A54="",C54=0),"",E54/C54)</f>
        <v/>
      </c>
      <c r="G54" s="106">
        <f>IF(A54="","",SUMIF($C$11:$C$45,A54,$G$11:$G$45))</f>
        <v/>
      </c>
      <c r="H54" s="107">
        <f>IF(OR(A54="",E54=0),"",G54/E54)</f>
        <v/>
      </c>
    </row>
    <row r="55">
      <c r="A55" s="105">
        <f>IF(Справочник!A9="","",Справочник!A9)</f>
        <v/>
      </c>
      <c r="B55" s="106">
        <f>IF(A55="","",SUMIF($C$11:$C$45,A55,$D$11:$D$45))</f>
        <v/>
      </c>
      <c r="C55" s="106">
        <f>IF(A55="","",SUMIF($C$11:$C$45,A55,$E$11:$E$45))</f>
        <v/>
      </c>
      <c r="D55" s="107">
        <f>IF(OR(A55="",B55=0),"",C55/B55)</f>
        <v/>
      </c>
      <c r="E55" s="106">
        <f>IF(A55="","",SUMIF($C$11:$C$45,A55,$F$11:$F$45))</f>
        <v/>
      </c>
      <c r="F55" s="107">
        <f>IF(OR(A55="",C55=0),"",E55/C55)</f>
        <v/>
      </c>
      <c r="G55" s="106">
        <f>IF(A55="","",SUMIF($C$11:$C$45,A55,$G$11:$G$45))</f>
        <v/>
      </c>
      <c r="H55" s="107">
        <f>IF(OR(A55="",E55=0),"",G55/E55)</f>
        <v/>
      </c>
    </row>
    <row r="56">
      <c r="A56" s="9" t="inlineStr">
        <is>
          <t>ИТОГО:</t>
        </is>
      </c>
      <c r="B56" s="93">
        <f>SUM(B48:B55)</f>
        <v/>
      </c>
      <c r="C56" s="93">
        <f>SUM(C48:C55)</f>
        <v/>
      </c>
      <c r="D56" s="103">
        <f>IF(B56=0,"",C56/B56)</f>
        <v/>
      </c>
      <c r="E56" s="93">
        <f>SUM(E48:E55)</f>
        <v/>
      </c>
      <c r="F56" s="103">
        <f>IF(C56=0,"",E56/C56)</f>
        <v/>
      </c>
      <c r="G56" s="93">
        <f>SUM(G48:G55)</f>
        <v/>
      </c>
      <c r="H56" s="103">
        <f>IF(E56=0,"",G56/E56)</f>
        <v/>
      </c>
      <c r="I56" s="78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88" t="n"/>
      <c r="B57" s="88" t="n"/>
      <c r="C57" s="88" t="n"/>
      <c r="D57" s="88" t="n"/>
      <c r="E57" s="88" t="n"/>
      <c r="F57" s="88" t="n"/>
      <c r="G57" s="3" t="n"/>
      <c r="H57" s="3" t="n"/>
      <c r="I57" s="78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89" t="inlineStr">
        <is>
          <t>Менеджер</t>
        </is>
      </c>
      <c r="B58" s="89" t="inlineStr">
        <is>
          <t>План на период (шт.)</t>
        </is>
      </c>
      <c r="C58" s="89" t="inlineStr">
        <is>
          <t>Факт сделок (шт.)</t>
        </is>
      </c>
      <c r="D58" s="89" t="inlineStr">
        <is>
          <t>Факт выручка (руб.)</t>
        </is>
      </c>
      <c r="E58" s="89" t="inlineStr">
        <is>
          <t>Выполнение плана (%)</t>
        </is>
      </c>
      <c r="F58" s="89" t="inlineStr">
        <is>
          <t>Конверсия лид→сделка (по его обработанным лидам)</t>
        </is>
      </c>
      <c r="G58" s="3" t="n"/>
      <c r="H58" s="3" t="n"/>
      <c r="I58" s="78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90" t="inlineStr">
        <is>
          <t>Юлиана</t>
        </is>
      </c>
      <c r="B59" s="91" t="n">
        <v>25</v>
      </c>
      <c r="C59" s="91">
        <f>SUMIF($B$11:$B$45,A59,$G$11:$G$45)</f>
        <v/>
      </c>
      <c r="D59" s="91">
        <f>SUMIFS($H$11:$H$45,$B$11:$B$45,A59)</f>
        <v/>
      </c>
      <c r="E59" s="108">
        <f>IF(B59=0,"",C59/B59)</f>
        <v/>
      </c>
      <c r="F59" s="92">
        <f>IF(SUMIF($B$11:$B$45,A59,$D$11:$D$45)=0,"",C59/SUMIF($B$11:$B$45,A59,$D$11:$D$45))</f>
        <v/>
      </c>
      <c r="G59" s="3" t="n"/>
      <c r="H59" s="3" t="n"/>
      <c r="I59" s="78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69" t="n"/>
      <c r="B60" s="68" t="n"/>
      <c r="C60" s="81" t="n"/>
      <c r="D60" s="68" t="n"/>
      <c r="E60" s="109" t="n"/>
      <c r="F60" s="68" t="n"/>
      <c r="G60" s="3" t="n"/>
      <c r="H60" s="3" t="n"/>
      <c r="I60" s="78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4" t="n"/>
      <c r="B61" s="74" t="n"/>
      <c r="C61" s="74" t="n"/>
      <c r="D61" s="74" t="n"/>
      <c r="E61" s="74" t="n"/>
      <c r="F61" s="74" t="n"/>
      <c r="G61" s="3" t="n"/>
      <c r="H61" s="3" t="n"/>
      <c r="I61" s="78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4" t="n"/>
      <c r="B62" s="74" t="n"/>
      <c r="C62" s="74" t="n"/>
      <c r="D62" s="74" t="n"/>
      <c r="E62" s="74" t="n"/>
      <c r="F62" s="74" t="n"/>
      <c r="G62" s="3" t="n"/>
      <c r="H62" s="3" t="n"/>
      <c r="I62" s="78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78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78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78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78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77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77" t="n"/>
      <c r="J68" s="1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78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78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78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78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78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78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78" t="n"/>
      <c r="J75" s="1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78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78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78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78" t="n"/>
      <c r="J79" s="1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78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78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78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78" t="n"/>
      <c r="J83" s="1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78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78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78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78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78" t="n"/>
      <c r="J88" s="1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78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78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78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78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78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78" t="n"/>
      <c r="J94" s="1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78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78" t="n"/>
      <c r="J96" s="1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78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78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78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78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78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78" t="n"/>
      <c r="J102" s="1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78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78" t="n"/>
      <c r="J104" s="1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78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78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78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78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78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78" t="n"/>
      <c r="J110" s="1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78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78" t="n"/>
      <c r="J112" s="1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78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78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78" t="n"/>
      <c r="J115" s="1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78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78" t="n"/>
      <c r="J117" s="1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78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78" t="n"/>
      <c r="J119" s="1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78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78" t="n"/>
      <c r="J121" s="1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78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78" t="n"/>
      <c r="J123" s="1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78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78" t="n"/>
      <c r="J125" s="1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78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78" t="n"/>
      <c r="J127" s="1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78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78" t="n"/>
      <c r="J129" s="1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78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78" t="n"/>
      <c r="J131" s="1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78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78" t="n"/>
      <c r="J133" s="1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78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78" t="n"/>
      <c r="J135" s="1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78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78" t="n"/>
      <c r="J137" s="1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78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78" t="n"/>
      <c r="J139" s="1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78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78" t="n"/>
      <c r="J141" s="1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78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78" t="n"/>
      <c r="J143" s="1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78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4.25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78" t="n"/>
      <c r="J145" s="1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78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78" t="n"/>
      <c r="J147" s="1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78" t="n"/>
      <c r="J148" s="1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78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23" t="inlineStr">
        <is>
          <t>Итоговая конверсия лид→сделка (%)</t>
        </is>
      </c>
      <c r="J150" s="110">
        <f>IF(B56=0,"",G56/B56)</f>
        <v/>
      </c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4.25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9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4.25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9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9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4.25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9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4.25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9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4.25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4.25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4.25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4.25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4.25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4.25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4.25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</row>
    <row r="1007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  <c r="Z1007" s="3" t="n"/>
    </row>
    <row r="1008">
      <c r="A1008" s="3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  <c r="Z1008" s="3" t="n"/>
    </row>
    <row r="1009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/>
      <c r="X1009" s="3" t="n"/>
      <c r="Y1009" s="3" t="n"/>
      <c r="Z1009" s="3" t="n"/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</row>
    <row r="1011">
      <c r="A1011" s="3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</row>
    <row r="1012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</row>
    <row r="1013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</row>
    <row r="1014">
      <c r="A1014" s="3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</row>
    <row r="1015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</row>
    <row r="1016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</row>
    <row r="1017">
      <c r="A1017" s="3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</row>
    <row r="1018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</row>
    <row r="1019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  <c r="Z1019" s="3" t="n"/>
    </row>
    <row r="1020">
      <c r="A1020" s="3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</row>
    <row r="1021">
      <c r="A1021" s="3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  <c r="Z1021" s="3" t="n"/>
    </row>
    <row r="1022"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/>
      <c r="X1022" s="3" t="n"/>
      <c r="Y1022" s="3" t="n"/>
      <c r="Z1022" s="3" t="n"/>
    </row>
    <row r="1023"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  <c r="X1023" s="3" t="n"/>
      <c r="Y1023" s="3" t="n"/>
      <c r="Z1023" s="3" t="n"/>
    </row>
    <row r="1024"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/>
      <c r="X1024" s="3" t="n"/>
      <c r="Y1024" s="3" t="n"/>
      <c r="Z1024" s="3" t="n"/>
    </row>
    <row r="1025"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  <c r="X1025" s="3" t="n"/>
      <c r="Y1025" s="3" t="n"/>
      <c r="Z1025" s="3" t="n"/>
    </row>
    <row r="1026"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  <c r="Z1026" s="3" t="n"/>
    </row>
    <row r="1027"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  <c r="Z1027" s="3" t="n"/>
    </row>
    <row r="1028"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</row>
    <row r="1029"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n"/>
      <c r="Y1029" s="3" t="n"/>
      <c r="Z1029" s="3" t="n"/>
    </row>
    <row r="1030"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/>
      <c r="X1030" s="3" t="n"/>
      <c r="Y1030" s="3" t="n"/>
      <c r="Z1030" s="3" t="n"/>
    </row>
    <row r="1031"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  <c r="T1031" s="3" t="n"/>
      <c r="U1031" s="3" t="n"/>
      <c r="V1031" s="3" t="n"/>
      <c r="W1031" s="3" t="n"/>
      <c r="X1031" s="3" t="n"/>
      <c r="Y1031" s="3" t="n"/>
      <c r="Z1031" s="3" t="n"/>
    </row>
    <row r="1032"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/>
      <c r="X1032" s="3" t="n"/>
      <c r="Y1032" s="3" t="n"/>
      <c r="Z1032" s="3" t="n"/>
    </row>
    <row r="1033"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  <c r="T1033" s="3" t="n"/>
      <c r="U1033" s="3" t="n"/>
      <c r="V1033" s="3" t="n"/>
      <c r="W1033" s="3" t="n"/>
      <c r="X1033" s="3" t="n"/>
      <c r="Y1033" s="3" t="n"/>
      <c r="Z1033" s="3" t="n"/>
    </row>
    <row r="1034">
      <c r="I1034" s="3" t="n"/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n"/>
      <c r="Y1034" s="3" t="n"/>
      <c r="Z1034" s="3" t="n"/>
    </row>
    <row r="1035"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n"/>
      <c r="Y1035" s="3" t="n"/>
      <c r="Z1035" s="3" t="n"/>
    </row>
    <row r="1036">
      <c r="I1036" s="3" t="n"/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n"/>
      <c r="Y1036" s="3" t="n"/>
      <c r="Z1036" s="3" t="n"/>
    </row>
    <row r="1037"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n"/>
      <c r="Y1037" s="3" t="n"/>
      <c r="Z1037" s="3" t="n"/>
    </row>
    <row r="1038">
      <c r="I1038" s="3" t="n"/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n"/>
      <c r="Y1038" s="3" t="n"/>
      <c r="Z1038" s="3" t="n"/>
    </row>
    <row r="1039"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n"/>
      <c r="Y1039" s="3" t="n"/>
      <c r="Z1039" s="3" t="n"/>
    </row>
    <row r="1040">
      <c r="I1040" s="3" t="n"/>
      <c r="J1040" s="3" t="n"/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n"/>
      <c r="Y1040" s="3" t="n"/>
      <c r="Z1040" s="3" t="n"/>
    </row>
    <row r="1041">
      <c r="I1041" s="3" t="n"/>
      <c r="J1041" s="3" t="n"/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/>
      <c r="X1041" s="3" t="n"/>
      <c r="Y1041" s="3" t="n"/>
      <c r="Z1041" s="3" t="n"/>
    </row>
    <row r="1042">
      <c r="I1042" s="3" t="n"/>
      <c r="J1042" s="3" t="n"/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  <c r="Y1042" s="3" t="n"/>
      <c r="Z1042" s="3" t="n"/>
    </row>
    <row r="1043">
      <c r="I1043" s="3" t="n"/>
      <c r="J1043" s="3" t="n"/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/>
      <c r="X1043" s="3" t="n"/>
      <c r="Y1043" s="3" t="n"/>
      <c r="Z1043" s="3" t="n"/>
    </row>
    <row r="1044">
      <c r="I1044" s="3" t="n"/>
      <c r="J1044" s="3" t="n"/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s="3" t="n"/>
      <c r="T1044" s="3" t="n"/>
      <c r="U1044" s="3" t="n"/>
      <c r="V1044" s="3" t="n"/>
      <c r="W1044" s="3" t="n"/>
      <c r="X1044" s="3" t="n"/>
      <c r="Y1044" s="3" t="n"/>
      <c r="Z1044" s="3" t="n"/>
    </row>
    <row r="1045">
      <c r="I1045" s="3" t="n"/>
      <c r="J1045" s="3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  <c r="Y1045" s="3" t="n"/>
      <c r="Z1045" s="3" t="n"/>
    </row>
    <row r="1046">
      <c r="I1046" s="3" t="n"/>
      <c r="J1046" s="3" t="n"/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  <c r="Z1046" s="3" t="n"/>
    </row>
    <row r="1047">
      <c r="I1047" s="3" t="n"/>
      <c r="J1047" s="3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/>
      <c r="X1047" s="3" t="n"/>
      <c r="Y1047" s="3" t="n"/>
      <c r="Z1047" s="3" t="n"/>
    </row>
    <row r="1048">
      <c r="I1048" s="3" t="n"/>
      <c r="J1048" s="3" t="n"/>
      <c r="K1048" s="3" t="n"/>
      <c r="L1048" s="3" t="n"/>
      <c r="M1048" s="3" t="n"/>
      <c r="N1048" s="3" t="n"/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  <c r="Y1048" s="3" t="n"/>
      <c r="Z1048" s="3" t="n"/>
    </row>
    <row r="1049">
      <c r="I1049" s="3" t="n"/>
      <c r="J1049" s="3" t="n"/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  <c r="Y1049" s="3" t="n"/>
      <c r="Z1049" s="3" t="n"/>
    </row>
    <row r="1050">
      <c r="I1050" s="3" t="n"/>
      <c r="J1050" s="3" t="n"/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</row>
    <row r="1051">
      <c r="I1051" s="3" t="n"/>
      <c r="J1051" s="3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  <c r="Y1051" s="3" t="n"/>
      <c r="Z1051" s="3" t="n"/>
    </row>
    <row r="1052">
      <c r="I1052" s="3" t="n"/>
      <c r="J1052" s="3" t="n"/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</row>
    <row r="1053">
      <c r="I1053" s="3" t="n"/>
      <c r="J1053" s="3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</row>
    <row r="1054">
      <c r="I1054" s="3" t="n"/>
      <c r="J1054" s="3" t="n"/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n"/>
      <c r="Y1054" s="3" t="n"/>
      <c r="Z1054" s="3" t="n"/>
    </row>
    <row r="1055">
      <c r="I1055" s="3" t="n"/>
      <c r="J1055" s="3" t="n"/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/>
      <c r="X1055" s="3" t="n"/>
      <c r="Y1055" s="3" t="n"/>
      <c r="Z1055" s="3" t="n"/>
    </row>
    <row r="1056">
      <c r="I1056" s="3" t="n"/>
      <c r="J1056" s="3" t="n"/>
      <c r="K1056" s="3" t="n"/>
      <c r="L1056" s="3" t="n"/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/>
      <c r="X1056" s="3" t="n"/>
      <c r="Y1056" s="3" t="n"/>
      <c r="Z1056" s="3" t="n"/>
    </row>
    <row r="1057">
      <c r="I1057" s="3" t="n"/>
      <c r="J1057" s="3" t="n"/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/>
      <c r="X1057" s="3" t="n"/>
      <c r="Y1057" s="3" t="n"/>
      <c r="Z1057" s="3" t="n"/>
    </row>
    <row r="1058">
      <c r="I1058" s="3" t="n"/>
      <c r="J1058" s="3" t="n"/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/>
      <c r="X1058" s="3" t="n"/>
      <c r="Y1058" s="3" t="n"/>
      <c r="Z1058" s="3" t="n"/>
    </row>
    <row r="1059">
      <c r="I1059" s="3" t="n"/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/>
      <c r="X1059" s="3" t="n"/>
      <c r="Y1059" s="3" t="n"/>
      <c r="Z1059" s="3" t="n"/>
    </row>
    <row r="1060">
      <c r="I1060" s="3" t="n"/>
      <c r="J1060" s="3" t="n"/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/>
      <c r="X1060" s="3" t="n"/>
      <c r="Y1060" s="3" t="n"/>
      <c r="Z1060" s="3" t="n"/>
    </row>
    <row r="1061">
      <c r="I1061" s="3" t="n"/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  <c r="T1061" s="3" t="n"/>
      <c r="U1061" s="3" t="n"/>
      <c r="V1061" s="3" t="n"/>
      <c r="W1061" s="3" t="n"/>
      <c r="X1061" s="3" t="n"/>
      <c r="Y1061" s="3" t="n"/>
      <c r="Z1061" s="3" t="n"/>
    </row>
    <row r="1062">
      <c r="I1062" s="3" t="n"/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/>
      <c r="X1062" s="3" t="n"/>
      <c r="Y1062" s="3" t="n"/>
      <c r="Z1062" s="3" t="n"/>
    </row>
    <row r="1063"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  <c r="U1063" s="3" t="n"/>
      <c r="V1063" s="3" t="n"/>
      <c r="W1063" s="3" t="n"/>
      <c r="X1063" s="3" t="n"/>
      <c r="Y1063" s="3" t="n"/>
      <c r="Z1063" s="3" t="n"/>
    </row>
    <row r="1064">
      <c r="I1064" s="3" t="n"/>
      <c r="J1064" s="3" t="n"/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/>
      <c r="X1064" s="3" t="n"/>
      <c r="Y1064" s="3" t="n"/>
      <c r="Z1064" s="3" t="n"/>
    </row>
    <row r="1065">
      <c r="I1065" s="3" t="n"/>
      <c r="J1065" s="3" t="n"/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 t="n"/>
      <c r="T1065" s="3" t="n"/>
      <c r="U1065" s="3" t="n"/>
      <c r="V1065" s="3" t="n"/>
      <c r="W1065" s="3" t="n"/>
      <c r="X1065" s="3" t="n"/>
      <c r="Y1065" s="3" t="n"/>
      <c r="Z1065" s="3" t="n"/>
    </row>
    <row r="1066">
      <c r="I1066" s="3" t="n"/>
      <c r="J1066" s="3" t="n"/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</row>
    <row r="1067">
      <c r="I1067" s="3" t="n"/>
      <c r="J1067" s="3" t="n"/>
      <c r="K1067" s="3" t="n"/>
      <c r="L1067" s="3" t="n"/>
      <c r="M1067" s="3" t="n"/>
      <c r="N1067" s="3" t="n"/>
      <c r="O1067" s="3" t="n"/>
      <c r="P1067" s="3" t="n"/>
      <c r="Q1067" s="3" t="n"/>
      <c r="R1067" s="3" t="n"/>
      <c r="S1067" s="3" t="n"/>
      <c r="T1067" s="3" t="n"/>
      <c r="U1067" s="3" t="n"/>
      <c r="V1067" s="3" t="n"/>
      <c r="W1067" s="3" t="n"/>
      <c r="X1067" s="3" t="n"/>
      <c r="Y1067" s="3" t="n"/>
      <c r="Z1067" s="3" t="n"/>
    </row>
    <row r="1068">
      <c r="I1068" s="3" t="n"/>
      <c r="J1068" s="3" t="n"/>
      <c r="K1068" s="3" t="n"/>
      <c r="L1068" s="3" t="n"/>
      <c r="M1068" s="3" t="n"/>
      <c r="N1068" s="3" t="n"/>
      <c r="O1068" s="3" t="n"/>
      <c r="P1068" s="3" t="n"/>
      <c r="Q1068" s="3" t="n"/>
      <c r="R1068" s="3" t="n"/>
      <c r="S1068" s="3" t="n"/>
      <c r="T1068" s="3" t="n"/>
      <c r="U1068" s="3" t="n"/>
      <c r="V1068" s="3" t="n"/>
      <c r="W1068" s="3" t="n"/>
      <c r="X1068" s="3" t="n"/>
      <c r="Y1068" s="3" t="n"/>
      <c r="Z1068" s="3" t="n"/>
    </row>
    <row r="1069">
      <c r="I1069" s="3" t="n"/>
      <c r="J1069" s="3" t="n"/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n"/>
      <c r="Y1069" s="3" t="n"/>
      <c r="Z1069" s="3" t="n"/>
    </row>
    <row r="1070">
      <c r="I1070" s="3" t="n"/>
      <c r="J1070" s="3" t="n"/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  <c r="X1070" s="3" t="n"/>
      <c r="Y1070" s="3" t="n"/>
      <c r="Z1070" s="3" t="n"/>
    </row>
    <row r="1071">
      <c r="I1071" s="3" t="n"/>
      <c r="J1071" s="3" t="n"/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 t="n"/>
      <c r="T1071" s="3" t="n"/>
      <c r="U1071" s="3" t="n"/>
      <c r="V1071" s="3" t="n"/>
      <c r="W1071" s="3" t="n"/>
      <c r="X1071" s="3" t="n"/>
      <c r="Y1071" s="3" t="n"/>
      <c r="Z1071" s="3" t="n"/>
    </row>
    <row r="1072">
      <c r="I1072" s="3" t="n"/>
      <c r="J1072" s="3" t="n"/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</row>
    <row r="1073">
      <c r="I1073" s="3" t="n"/>
      <c r="J1073" s="3" t="n"/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 t="n"/>
      <c r="T1073" s="3" t="n"/>
      <c r="U1073" s="3" t="n"/>
      <c r="V1073" s="3" t="n"/>
      <c r="W1073" s="3" t="n"/>
      <c r="X1073" s="3" t="n"/>
      <c r="Y1073" s="3" t="n"/>
      <c r="Z1073" s="3" t="n"/>
    </row>
    <row r="1074">
      <c r="I1074" s="3" t="n"/>
      <c r="J1074" s="3" t="n"/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/>
      <c r="X1074" s="3" t="n"/>
      <c r="Y1074" s="3" t="n"/>
      <c r="Z1074" s="3" t="n"/>
    </row>
    <row r="1075">
      <c r="I1075" s="3" t="n"/>
      <c r="J1075" s="3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  <c r="T1075" s="3" t="n"/>
      <c r="U1075" s="3" t="n"/>
      <c r="V1075" s="3" t="n"/>
      <c r="W1075" s="3" t="n"/>
      <c r="X1075" s="3" t="n"/>
      <c r="Y1075" s="3" t="n"/>
      <c r="Z1075" s="3" t="n"/>
    </row>
    <row r="1076">
      <c r="I1076" s="3" t="n"/>
      <c r="J1076" s="3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</row>
    <row r="1077">
      <c r="I1077" s="3" t="n"/>
      <c r="J1077" s="3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n"/>
      <c r="Y1077" s="3" t="n"/>
      <c r="Z1077" s="3" t="n"/>
    </row>
    <row r="1078">
      <c r="I1078" s="3" t="n"/>
      <c r="J1078" s="3" t="n"/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</row>
    <row r="1079">
      <c r="I1079" s="3" t="n"/>
      <c r="J1079" s="3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  <c r="X1079" s="3" t="n"/>
      <c r="Y1079" s="3" t="n"/>
      <c r="Z1079" s="3" t="n"/>
    </row>
    <row r="1080">
      <c r="I1080" s="3" t="n"/>
      <c r="J1080" s="3" t="n"/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</row>
    <row r="1081">
      <c r="I1081" s="3" t="n"/>
      <c r="J1081" s="3" t="n"/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s="3" t="n"/>
      <c r="T1081" s="3" t="n"/>
      <c r="U1081" s="3" t="n"/>
      <c r="V1081" s="3" t="n"/>
      <c r="W1081" s="3" t="n"/>
      <c r="X1081" s="3" t="n"/>
      <c r="Y1081" s="3" t="n"/>
      <c r="Z1081" s="3" t="n"/>
    </row>
    <row r="1082">
      <c r="I1082" s="3" t="n"/>
      <c r="J1082" s="3" t="n"/>
      <c r="K1082" s="3" t="n"/>
      <c r="L1082" s="3" t="n"/>
      <c r="M1082" s="3" t="n"/>
      <c r="N1082" s="3" t="n"/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/>
      <c r="X1082" s="3" t="n"/>
      <c r="Y1082" s="3" t="n"/>
      <c r="Z1082" s="3" t="n"/>
    </row>
    <row r="1083">
      <c r="I1083" s="3" t="n"/>
      <c r="J1083" s="3" t="n"/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s="3" t="n"/>
      <c r="T1083" s="3" t="n"/>
      <c r="U1083" s="3" t="n"/>
      <c r="V1083" s="3" t="n"/>
      <c r="W1083" s="3" t="n"/>
      <c r="X1083" s="3" t="n"/>
      <c r="Y1083" s="3" t="n"/>
      <c r="Z1083" s="3" t="n"/>
    </row>
    <row r="1084">
      <c r="I1084" s="3" t="n"/>
      <c r="J1084" s="3" t="n"/>
      <c r="K1084" s="3" t="n"/>
      <c r="L1084" s="3" t="n"/>
      <c r="M1084" s="3" t="n"/>
      <c r="N1084" s="3" t="n"/>
      <c r="O1084" s="3" t="n"/>
      <c r="P1084" s="3" t="n"/>
      <c r="Q1084" s="3" t="n"/>
      <c r="R1084" s="3" t="n"/>
      <c r="S1084" s="3" t="n"/>
      <c r="T1084" s="3" t="n"/>
      <c r="U1084" s="3" t="n"/>
      <c r="V1084" s="3" t="n"/>
      <c r="W1084" s="3" t="n"/>
      <c r="X1084" s="3" t="n"/>
      <c r="Y1084" s="3" t="n"/>
      <c r="Z1084" s="3" t="n"/>
    </row>
    <row r="1085">
      <c r="I1085" s="3" t="n"/>
      <c r="J1085" s="3" t="n"/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s="3" t="n"/>
      <c r="T1085" s="3" t="n"/>
      <c r="U1085" s="3" t="n"/>
      <c r="V1085" s="3" t="n"/>
      <c r="W1085" s="3" t="n"/>
      <c r="X1085" s="3" t="n"/>
      <c r="Y1085" s="3" t="n"/>
      <c r="Z1085" s="3" t="n"/>
    </row>
    <row r="1086">
      <c r="I1086" s="3" t="n"/>
      <c r="J1086" s="3" t="n"/>
      <c r="K1086" s="3" t="n"/>
      <c r="L1086" s="3" t="n"/>
      <c r="M1086" s="3" t="n"/>
      <c r="N1086" s="3" t="n"/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/>
      <c r="X1086" s="3" t="n"/>
      <c r="Y1086" s="3" t="n"/>
      <c r="Z1086" s="3" t="n"/>
    </row>
    <row r="1087">
      <c r="I1087" s="3" t="n"/>
      <c r="J1087" s="3" t="n"/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/>
      <c r="X1087" s="3" t="n"/>
      <c r="Y1087" s="3" t="n"/>
      <c r="Z1087" s="3" t="n"/>
    </row>
    <row r="1088"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/>
      <c r="X1088" s="3" t="n"/>
      <c r="Y1088" s="3" t="n"/>
      <c r="Z1088" s="3" t="n"/>
    </row>
    <row r="1089">
      <c r="I1089" s="3" t="n"/>
      <c r="J1089" s="3" t="n"/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 t="n"/>
      <c r="T1089" s="3" t="n"/>
      <c r="U1089" s="3" t="n"/>
      <c r="V1089" s="3" t="n"/>
      <c r="W1089" s="3" t="n"/>
      <c r="X1089" s="3" t="n"/>
      <c r="Y1089" s="3" t="n"/>
      <c r="Z1089" s="3" t="n"/>
    </row>
    <row r="1090">
      <c r="I1090" s="3" t="n"/>
      <c r="J1090" s="3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s="3" t="n"/>
      <c r="T1090" s="3" t="n"/>
      <c r="U1090" s="3" t="n"/>
      <c r="V1090" s="3" t="n"/>
      <c r="W1090" s="3" t="n"/>
      <c r="X1090" s="3" t="n"/>
      <c r="Y1090" s="3" t="n"/>
      <c r="Z1090" s="3" t="n"/>
    </row>
    <row r="1091"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 t="n"/>
      <c r="T1091" s="3" t="n"/>
      <c r="U1091" s="3" t="n"/>
      <c r="V1091" s="3" t="n"/>
      <c r="W1091" s="3" t="n"/>
      <c r="X1091" s="3" t="n"/>
      <c r="Y1091" s="3" t="n"/>
      <c r="Z1091" s="3" t="n"/>
    </row>
    <row r="1092">
      <c r="I1092" s="3" t="n"/>
      <c r="J1092" s="3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s="3" t="n"/>
      <c r="T1092" s="3" t="n"/>
      <c r="U1092" s="3" t="n"/>
      <c r="V1092" s="3" t="n"/>
      <c r="W1092" s="3" t="n"/>
      <c r="X1092" s="3" t="n"/>
      <c r="Y1092" s="3" t="n"/>
      <c r="Z1092" s="3" t="n"/>
    </row>
    <row r="1093"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/>
      <c r="X1093" s="3" t="n"/>
      <c r="Y1093" s="3" t="n"/>
      <c r="Z1093" s="3" t="n"/>
    </row>
    <row r="1094">
      <c r="I1094" s="3" t="n"/>
      <c r="J1094" s="3" t="n"/>
      <c r="K1094" s="3" t="n"/>
      <c r="L1094" s="3" t="n"/>
      <c r="M1094" s="3" t="n"/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</row>
    <row r="1095"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s="3" t="n"/>
      <c r="T1095" s="3" t="n"/>
      <c r="U1095" s="3" t="n"/>
      <c r="V1095" s="3" t="n"/>
      <c r="W1095" s="3" t="n"/>
      <c r="X1095" s="3" t="n"/>
      <c r="Y1095" s="3" t="n"/>
      <c r="Z1095" s="3" t="n"/>
    </row>
    <row r="1096">
      <c r="I1096" s="3" t="n"/>
      <c r="J1096" s="3" t="n"/>
      <c r="K1096" s="3" t="n"/>
      <c r="L1096" s="3" t="n"/>
      <c r="M1096" s="3" t="n"/>
      <c r="N1096" s="3" t="n"/>
      <c r="O1096" s="3" t="n"/>
      <c r="P1096" s="3" t="n"/>
      <c r="Q1096" s="3" t="n"/>
      <c r="R1096" s="3" t="n"/>
      <c r="S1096" s="3" t="n"/>
      <c r="T1096" s="3" t="n"/>
      <c r="U1096" s="3" t="n"/>
      <c r="V1096" s="3" t="n"/>
      <c r="W1096" s="3" t="n"/>
      <c r="X1096" s="3" t="n"/>
      <c r="Y1096" s="3" t="n"/>
      <c r="Z1096" s="3" t="n"/>
    </row>
    <row r="1097">
      <c r="I1097" s="3" t="n"/>
      <c r="J1097" s="3" t="n"/>
      <c r="K1097" s="3" t="n"/>
      <c r="L1097" s="3" t="n"/>
      <c r="M1097" s="3" t="n"/>
      <c r="N1097" s="3" t="n"/>
      <c r="O1097" s="3" t="n"/>
      <c r="P1097" s="3" t="n"/>
      <c r="Q1097" s="3" t="n"/>
      <c r="R1097" s="3" t="n"/>
      <c r="S1097" s="3" t="n"/>
      <c r="T1097" s="3" t="n"/>
      <c r="U1097" s="3" t="n"/>
      <c r="V1097" s="3" t="n"/>
      <c r="W1097" s="3" t="n"/>
      <c r="X1097" s="3" t="n"/>
      <c r="Y1097" s="3" t="n"/>
      <c r="Z1097" s="3" t="n"/>
    </row>
    <row r="1098">
      <c r="I1098" s="3" t="n"/>
      <c r="J1098" s="3" t="n"/>
      <c r="K1098" s="3" t="n"/>
      <c r="L1098" s="3" t="n"/>
      <c r="M1098" s="3" t="n"/>
      <c r="N1098" s="3" t="n"/>
      <c r="O1098" s="3" t="n"/>
      <c r="P1098" s="3" t="n"/>
      <c r="Q1098" s="3" t="n"/>
      <c r="R1098" s="3" t="n"/>
      <c r="S1098" s="3" t="n"/>
      <c r="T1098" s="3" t="n"/>
      <c r="U1098" s="3" t="n"/>
      <c r="V1098" s="3" t="n"/>
      <c r="W1098" s="3" t="n"/>
      <c r="X1098" s="3" t="n"/>
      <c r="Y1098" s="3" t="n"/>
      <c r="Z1098" s="3" t="n"/>
    </row>
    <row r="1099">
      <c r="I1099" s="3" t="n"/>
      <c r="J1099" s="3" t="n"/>
      <c r="K1099" s="3" t="n"/>
      <c r="L1099" s="3" t="n"/>
      <c r="M1099" s="3" t="n"/>
      <c r="N1099" s="3" t="n"/>
      <c r="O1099" s="3" t="n"/>
      <c r="P1099" s="3" t="n"/>
      <c r="Q1099" s="3" t="n"/>
      <c r="R1099" s="3" t="n"/>
      <c r="S1099" s="3" t="n"/>
      <c r="T1099" s="3" t="n"/>
      <c r="U1099" s="3" t="n"/>
      <c r="V1099" s="3" t="n"/>
      <c r="W1099" s="3" t="n"/>
      <c r="X1099" s="3" t="n"/>
      <c r="Y1099" s="3" t="n"/>
      <c r="Z1099" s="3" t="n"/>
    </row>
    <row r="1100">
      <c r="I1100" s="3" t="n"/>
      <c r="J1100" s="3" t="n"/>
      <c r="K1100" s="3" t="n"/>
      <c r="L1100" s="3" t="n"/>
      <c r="M1100" s="3" t="n"/>
      <c r="N1100" s="3" t="n"/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/>
      <c r="X1100" s="3" t="n"/>
      <c r="Y1100" s="3" t="n"/>
      <c r="Z1100" s="3" t="n"/>
    </row>
    <row r="1101">
      <c r="I1101" s="3" t="n"/>
      <c r="J1101" s="3" t="n"/>
      <c r="K1101" s="3" t="n"/>
      <c r="L1101" s="3" t="n"/>
      <c r="M1101" s="3" t="n"/>
      <c r="N1101" s="3" t="n"/>
      <c r="O1101" s="3" t="n"/>
      <c r="P1101" s="3" t="n"/>
      <c r="Q1101" s="3" t="n"/>
      <c r="R1101" s="3" t="n"/>
      <c r="S1101" s="3" t="n"/>
      <c r="T1101" s="3" t="n"/>
      <c r="U1101" s="3" t="n"/>
      <c r="V1101" s="3" t="n"/>
      <c r="W1101" s="3" t="n"/>
      <c r="X1101" s="3" t="n"/>
      <c r="Y1101" s="3" t="n"/>
      <c r="Z1101" s="3" t="n"/>
    </row>
    <row r="1102">
      <c r="I1102" s="3" t="n"/>
      <c r="J1102" s="3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/>
      <c r="X1102" s="3" t="n"/>
      <c r="Y1102" s="3" t="n"/>
      <c r="Z1102" s="3" t="n"/>
    </row>
    <row r="1103">
      <c r="I1103" s="3" t="n"/>
      <c r="J1103" s="3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s="3" t="n"/>
      <c r="T1103" s="3" t="n"/>
      <c r="U1103" s="3" t="n"/>
      <c r="V1103" s="3" t="n"/>
      <c r="W1103" s="3" t="n"/>
      <c r="X1103" s="3" t="n"/>
      <c r="Y1103" s="3" t="n"/>
      <c r="Z1103" s="3" t="n"/>
    </row>
    <row r="1104">
      <c r="I1104" s="3" t="n"/>
      <c r="J1104" s="3" t="n"/>
      <c r="K1104" s="3" t="n"/>
      <c r="L1104" s="3" t="n"/>
      <c r="M1104" s="3" t="n"/>
      <c r="N1104" s="3" t="n"/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/>
      <c r="X1104" s="3" t="n"/>
      <c r="Y1104" s="3" t="n"/>
      <c r="Z1104" s="3" t="n"/>
    </row>
    <row r="1105">
      <c r="I1105" s="3" t="n"/>
      <c r="J1105" s="3" t="n"/>
      <c r="K1105" s="3" t="n"/>
      <c r="L1105" s="3" t="n"/>
      <c r="M1105" s="3" t="n"/>
      <c r="N1105" s="3" t="n"/>
      <c r="O1105" s="3" t="n"/>
      <c r="P1105" s="3" t="n"/>
      <c r="Q1105" s="3" t="n"/>
      <c r="R1105" s="3" t="n"/>
      <c r="S1105" s="3" t="n"/>
      <c r="T1105" s="3" t="n"/>
      <c r="U1105" s="3" t="n"/>
      <c r="V1105" s="3" t="n"/>
      <c r="W1105" s="3" t="n"/>
      <c r="X1105" s="3" t="n"/>
      <c r="Y1105" s="3" t="n"/>
      <c r="Z1105" s="3" t="n"/>
    </row>
    <row r="1106">
      <c r="I1106" s="3" t="n"/>
      <c r="J1106" s="3" t="n"/>
      <c r="K1106" s="3" t="n"/>
      <c r="L1106" s="3" t="n"/>
      <c r="M1106" s="3" t="n"/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</row>
    <row r="1107">
      <c r="I1107" s="3" t="n"/>
      <c r="J1107" s="3" t="n"/>
      <c r="K1107" s="3" t="n"/>
      <c r="L1107" s="3" t="n"/>
      <c r="M1107" s="3" t="n"/>
      <c r="N1107" s="3" t="n"/>
      <c r="O1107" s="3" t="n"/>
      <c r="P1107" s="3" t="n"/>
      <c r="Q1107" s="3" t="n"/>
      <c r="R1107" s="3" t="n"/>
      <c r="S1107" s="3" t="n"/>
      <c r="T1107" s="3" t="n"/>
      <c r="U1107" s="3" t="n"/>
      <c r="V1107" s="3" t="n"/>
      <c r="W1107" s="3" t="n"/>
      <c r="X1107" s="3" t="n"/>
      <c r="Y1107" s="3" t="n"/>
      <c r="Z1107" s="3" t="n"/>
    </row>
    <row r="1108">
      <c r="I1108" s="3" t="n"/>
      <c r="J1108" s="3" t="n"/>
      <c r="K1108" s="3" t="n"/>
      <c r="L1108" s="3" t="n"/>
      <c r="M1108" s="3" t="n"/>
      <c r="N1108" s="3" t="n"/>
      <c r="O1108" s="3" t="n"/>
      <c r="P1108" s="3" t="n"/>
      <c r="Q1108" s="3" t="n"/>
      <c r="R1108" s="3" t="n"/>
      <c r="S1108" s="3" t="n"/>
      <c r="T1108" s="3" t="n"/>
      <c r="U1108" s="3" t="n"/>
      <c r="V1108" s="3" t="n"/>
      <c r="W1108" s="3" t="n"/>
      <c r="X1108" s="3" t="n"/>
      <c r="Y1108" s="3" t="n"/>
      <c r="Z1108" s="3" t="n"/>
    </row>
    <row r="1109">
      <c r="I1109" s="3" t="n"/>
      <c r="J1109" s="3" t="n"/>
      <c r="K1109" s="3" t="n"/>
      <c r="L1109" s="3" t="n"/>
      <c r="M1109" s="3" t="n"/>
      <c r="N1109" s="3" t="n"/>
      <c r="O1109" s="3" t="n"/>
      <c r="P1109" s="3" t="n"/>
      <c r="Q1109" s="3" t="n"/>
      <c r="R1109" s="3" t="n"/>
      <c r="S1109" s="3" t="n"/>
      <c r="T1109" s="3" t="n"/>
      <c r="U1109" s="3" t="n"/>
      <c r="V1109" s="3" t="n"/>
      <c r="W1109" s="3" t="n"/>
      <c r="X1109" s="3" t="n"/>
      <c r="Y1109" s="3" t="n"/>
      <c r="Z1109" s="3" t="n"/>
    </row>
    <row r="1110">
      <c r="I1110" s="3" t="n"/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n"/>
      <c r="S1110" s="3" t="n"/>
      <c r="T1110" s="3" t="n"/>
      <c r="U1110" s="3" t="n"/>
      <c r="V1110" s="3" t="n"/>
      <c r="W1110" s="3" t="n"/>
      <c r="X1110" s="3" t="n"/>
      <c r="Y1110" s="3" t="n"/>
      <c r="Z1110" s="3" t="n"/>
    </row>
    <row r="1111">
      <c r="I1111" s="3" t="n"/>
      <c r="J1111" s="3" t="n"/>
      <c r="K1111" s="3" t="n"/>
      <c r="L1111" s="3" t="n"/>
      <c r="M1111" s="3" t="n"/>
      <c r="N1111" s="3" t="n"/>
      <c r="O1111" s="3" t="n"/>
      <c r="P1111" s="3" t="n"/>
      <c r="Q1111" s="3" t="n"/>
      <c r="R1111" s="3" t="n"/>
      <c r="S1111" s="3" t="n"/>
      <c r="T1111" s="3" t="n"/>
      <c r="U1111" s="3" t="n"/>
      <c r="V1111" s="3" t="n"/>
      <c r="W1111" s="3" t="n"/>
      <c r="X1111" s="3" t="n"/>
      <c r="Y1111" s="3" t="n"/>
      <c r="Z1111" s="3" t="n"/>
    </row>
    <row r="1112">
      <c r="I1112" s="3" t="n"/>
      <c r="J1112" s="3" t="n"/>
      <c r="K1112" s="3" t="n"/>
      <c r="L1112" s="3" t="n"/>
      <c r="M1112" s="3" t="n"/>
      <c r="N1112" s="3" t="n"/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/>
      <c r="X1112" s="3" t="n"/>
      <c r="Y1112" s="3" t="n"/>
      <c r="Z1112" s="3" t="n"/>
    </row>
    <row r="1113"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/>
      <c r="X1113" s="3" t="n"/>
      <c r="Y1113" s="3" t="n"/>
      <c r="Z1113" s="3" t="n"/>
    </row>
    <row r="1114">
      <c r="I1114" s="3" t="n"/>
      <c r="J1114" s="3" t="n"/>
      <c r="K1114" s="3" t="n"/>
      <c r="L1114" s="3" t="n"/>
      <c r="M1114" s="3" t="n"/>
      <c r="N1114" s="3" t="n"/>
      <c r="O1114" s="3" t="n"/>
      <c r="P1114" s="3" t="n"/>
      <c r="Q1114" s="3" t="n"/>
      <c r="R1114" s="3" t="n"/>
      <c r="S1114" s="3" t="n"/>
      <c r="T1114" s="3" t="n"/>
      <c r="U1114" s="3" t="n"/>
      <c r="V1114" s="3" t="n"/>
      <c r="W1114" s="3" t="n"/>
      <c r="X1114" s="3" t="n"/>
      <c r="Y1114" s="3" t="n"/>
      <c r="Z1114" s="3" t="n"/>
    </row>
    <row r="1115"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/>
      <c r="X1115" s="3" t="n"/>
      <c r="Y1115" s="3" t="n"/>
      <c r="Z1115" s="3" t="n"/>
    </row>
    <row r="1116">
      <c r="I1116" s="3" t="n"/>
      <c r="J1116" s="3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n"/>
      <c r="Y1116" s="3" t="n"/>
      <c r="Z1116" s="3" t="n"/>
    </row>
    <row r="1117"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/>
      <c r="X1117" s="3" t="n"/>
      <c r="Y1117" s="3" t="n"/>
      <c r="Z1117" s="3" t="n"/>
    </row>
    <row r="1118">
      <c r="I1118" s="3" t="n"/>
      <c r="J1118" s="3" t="n"/>
      <c r="K1118" s="3" t="n"/>
      <c r="L1118" s="3" t="n"/>
      <c r="M1118" s="3" t="n"/>
      <c r="N1118" s="3" t="n"/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/>
      <c r="X1118" s="3" t="n"/>
      <c r="Y1118" s="3" t="n"/>
      <c r="Z1118" s="3" t="n"/>
    </row>
    <row r="1119">
      <c r="I1119" s="3" t="n"/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/>
      <c r="X1119" s="3" t="n"/>
      <c r="Y1119" s="3" t="n"/>
      <c r="Z1119" s="3" t="n"/>
    </row>
    <row r="1120">
      <c r="I1120" s="3" t="n"/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  <c r="Y1120" s="3" t="n"/>
      <c r="Z1120" s="3" t="n"/>
    </row>
    <row r="1121"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  <c r="X1121" s="3" t="n"/>
      <c r="Y1121" s="3" t="n"/>
      <c r="Z1121" s="3" t="n"/>
    </row>
    <row r="1122">
      <c r="I1122" s="3" t="n"/>
      <c r="J1122" s="3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</row>
    <row r="1123"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  <c r="X1123" s="3" t="n"/>
      <c r="Y1123" s="3" t="n"/>
      <c r="Z1123" s="3" t="n"/>
    </row>
    <row r="1124">
      <c r="I1124" s="3" t="n"/>
      <c r="J1124" s="3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  <c r="Y1124" s="3" t="n"/>
      <c r="Z1124" s="3" t="n"/>
    </row>
    <row r="1125">
      <c r="I1125" s="3" t="n"/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  <c r="X1125" s="3" t="n"/>
      <c r="Y1125" s="3" t="n"/>
      <c r="Z1125" s="3" t="n"/>
    </row>
    <row r="1126">
      <c r="I1126" s="3" t="n"/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</row>
    <row r="1127">
      <c r="I1127" s="3" t="n"/>
      <c r="J1127" s="3" t="n"/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/>
      <c r="X1127" s="3" t="n"/>
      <c r="Y1127" s="3" t="n"/>
      <c r="Z1127" s="3" t="n"/>
    </row>
    <row r="1128">
      <c r="I1128" s="3" t="n"/>
      <c r="J1128" s="3" t="n"/>
      <c r="K1128" s="3" t="n"/>
      <c r="L1128" s="3" t="n"/>
      <c r="M1128" s="3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</row>
    <row r="1129">
      <c r="I1129" s="3" t="n"/>
      <c r="J1129" s="3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  <c r="X1129" s="3" t="n"/>
      <c r="Y1129" s="3" t="n"/>
      <c r="Z1129" s="3" t="n"/>
    </row>
    <row r="1130">
      <c r="I1130" s="3" t="n"/>
      <c r="J1130" s="3" t="n"/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  <c r="Y1130" s="3" t="n"/>
      <c r="Z1130" s="3" t="n"/>
    </row>
    <row r="1131">
      <c r="I1131" s="3" t="n"/>
      <c r="J1131" s="3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  <c r="Y1131" s="3" t="n"/>
      <c r="Z1131" s="3" t="n"/>
    </row>
    <row r="1132">
      <c r="I1132" s="3" t="n"/>
      <c r="J1132" s="3" t="n"/>
      <c r="K1132" s="3" t="n"/>
      <c r="L1132" s="3" t="n"/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</row>
    <row r="1133">
      <c r="J1133" s="3" t="n"/>
      <c r="K1133" s="3" t="n"/>
      <c r="L1133" s="3" t="n"/>
      <c r="M1133" s="3" t="n"/>
      <c r="N1133" s="3" t="n"/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/>
      <c r="X1133" s="3" t="n"/>
      <c r="Y1133" s="3" t="n"/>
      <c r="Z1133" s="3" t="n"/>
    </row>
    <row r="1134">
      <c r="J1134" s="3" t="n"/>
      <c r="K1134" s="3" t="n"/>
      <c r="L1134" s="3" t="n"/>
      <c r="M1134" s="3" t="n"/>
      <c r="N1134" s="3" t="n"/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/>
      <c r="X1134" s="3" t="n"/>
      <c r="Y1134" s="3" t="n"/>
      <c r="Z1134" s="3" t="n"/>
    </row>
    <row r="1135">
      <c r="J1135" s="3" t="n"/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/>
      <c r="X1135" s="3" t="n"/>
      <c r="Y1135" s="3" t="n"/>
      <c r="Z1135" s="3" t="n"/>
    </row>
    <row r="1136">
      <c r="J1136" s="3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 t="n"/>
      <c r="T1136" s="3" t="n"/>
      <c r="U1136" s="3" t="n"/>
      <c r="V1136" s="3" t="n"/>
      <c r="W1136" s="3" t="n"/>
      <c r="X1136" s="3" t="n"/>
      <c r="Y1136" s="3" t="n"/>
      <c r="Z1136" s="3" t="n"/>
    </row>
    <row r="1137">
      <c r="J1137" s="3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 t="n"/>
      <c r="T1137" s="3" t="n"/>
      <c r="U1137" s="3" t="n"/>
      <c r="V1137" s="3" t="n"/>
      <c r="W1137" s="3" t="n"/>
      <c r="X1137" s="3" t="n"/>
      <c r="Y1137" s="3" t="n"/>
      <c r="Z1137" s="3" t="n"/>
    </row>
    <row r="1138">
      <c r="K1138" s="3" t="n"/>
      <c r="L1138" s="3" t="n"/>
      <c r="M1138" s="3" t="n"/>
      <c r="N1138" s="3" t="n"/>
      <c r="O1138" s="3" t="n"/>
      <c r="P1138" s="3" t="n"/>
      <c r="Q1138" s="3" t="n"/>
      <c r="R1138" s="3" t="n"/>
      <c r="S1138" s="3" t="n"/>
      <c r="T1138" s="3" t="n"/>
      <c r="U1138" s="3" t="n"/>
      <c r="V1138" s="3" t="n"/>
      <c r="W1138" s="3" t="n"/>
      <c r="X1138" s="3" t="n"/>
      <c r="Y1138" s="3" t="n"/>
      <c r="Z1138" s="3" t="n"/>
    </row>
    <row r="1139"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 t="n"/>
      <c r="T1139" s="3" t="n"/>
      <c r="U1139" s="3" t="n"/>
      <c r="V1139" s="3" t="n"/>
      <c r="W1139" s="3" t="n"/>
      <c r="X1139" s="3" t="n"/>
      <c r="Y1139" s="3" t="n"/>
      <c r="Z1139" s="3" t="n"/>
    </row>
    <row r="1140"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/>
      <c r="X1140" s="3" t="n"/>
      <c r="Y1140" s="3" t="n"/>
      <c r="Z1140" s="3" t="n"/>
    </row>
    <row r="1141"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/>
      <c r="X1141" s="3" t="n"/>
      <c r="Y1141" s="3" t="n"/>
      <c r="Z1141" s="3" t="n"/>
    </row>
    <row r="1142">
      <c r="K1142" s="3" t="n"/>
      <c r="L1142" s="3" t="n"/>
      <c r="M1142" s="3" t="n"/>
      <c r="N1142" s="3" t="n"/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/>
      <c r="X1142" s="3" t="n"/>
      <c r="Y1142" s="3" t="n"/>
      <c r="Z1142" s="3" t="n"/>
    </row>
    <row r="1143"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/>
      <c r="X1143" s="3" t="n"/>
      <c r="Y1143" s="3" t="n"/>
      <c r="Z1143" s="3" t="n"/>
    </row>
    <row r="1144">
      <c r="K1144" s="3" t="n"/>
      <c r="L1144" s="3" t="n"/>
      <c r="M1144" s="3" t="n"/>
      <c r="N1144" s="3" t="n"/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/>
      <c r="X1144" s="3" t="n"/>
      <c r="Y1144" s="3" t="n"/>
      <c r="Z1144" s="3" t="n"/>
    </row>
    <row r="1145">
      <c r="K1145" s="3" t="n"/>
      <c r="L1145" s="3" t="n"/>
      <c r="M1145" s="3" t="n"/>
      <c r="N1145" s="3" t="n"/>
      <c r="O1145" s="3" t="n"/>
      <c r="P1145" s="3" t="n"/>
      <c r="Q1145" s="3" t="n"/>
      <c r="R1145" s="3" t="n"/>
      <c r="S1145" s="3" t="n"/>
      <c r="T1145" s="3" t="n"/>
      <c r="U1145" s="3" t="n"/>
      <c r="V1145" s="3" t="n"/>
      <c r="W1145" s="3" t="n"/>
      <c r="X1145" s="3" t="n"/>
      <c r="Y1145" s="3" t="n"/>
      <c r="Z1145" s="3" t="n"/>
    </row>
    <row r="1146"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</row>
    <row r="1147"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/>
      <c r="X1147" s="3" t="n"/>
      <c r="Y1147" s="3" t="n"/>
      <c r="Z1147" s="3" t="n"/>
    </row>
  </sheetData>
  <dataValidations count="1">
    <dataValidation sqref="C11:C45" showDropDown="0" showInputMessage="1" showErrorMessage="1" allowBlank="1" errorTitle="Нет в списке" error="Выберите базу из списка или добавьте её на лист «Справочник»." promptTitle="База / канал" prompt="Выберите базу из списка" type="list">
      <formula1>Справочник!$A$2:$A$21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3" max="3"/>
  </cols>
  <sheetData>
    <row r="1">
      <c r="A1" s="111" t="inlineStr">
        <is>
          <t>База / канал (список для выбора)</t>
        </is>
      </c>
      <c r="C1" s="112" t="inlineStr">
        <is>
          <t>Как пользоваться</t>
        </is>
      </c>
    </row>
    <row r="2">
      <c r="A2" t="inlineStr">
        <is>
          <t>Входящий</t>
        </is>
      </c>
      <c r="C2" t="inlineStr">
        <is>
          <t>1. Добавляйте новые базы в столбец A ниже существующих (без пустых дыр).</t>
        </is>
      </c>
    </row>
    <row r="3">
      <c r="A3" t="inlineStr">
        <is>
          <t>Анкеты</t>
        </is>
      </c>
      <c r="C3" t="inlineStr">
        <is>
          <t>2. В журнале (столбец «Канал лида») база выбирается из этого списка.</t>
        </is>
      </c>
    </row>
    <row r="4">
      <c r="A4" t="inlineStr">
        <is>
          <t>Передали</t>
        </is>
      </c>
      <c r="C4" t="inlineStr">
        <is>
          <t>3. Таблица ниже журнала подтягивает базы из этого списка и считает цифры формулами.</t>
        </is>
      </c>
    </row>
    <row r="5">
      <c r="A5" t="inlineStr">
        <is>
          <t>Генераторы трафика</t>
        </is>
      </c>
      <c r="C5" t="inlineStr">
        <is>
          <t>4. Не переименовывайте базы «на лету» в журнале — иначе разъедется сводка; меняйте название здесь.</t>
        </is>
      </c>
    </row>
    <row r="6">
      <c r="A6" t="inlineStr">
        <is>
          <t>база ПР</t>
        </is>
      </c>
    </row>
    <row r="7">
      <c r="A7" t="inlineStr">
        <is>
          <t>Инста</t>
        </is>
      </c>
    </row>
    <row r="8">
      <c r="A8" t="inlineStr">
        <is>
          <t>анкеты лекторий (старые)</t>
        </is>
      </c>
    </row>
    <row r="9">
      <c r="A9" t="inlineStr">
        <is>
          <t>анкеты лекторий (новые)</t>
        </is>
      </c>
    </row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2024-11-07T07:51:35Z</dcterms:created>
  <dcterms:modified xsi:type="dcterms:W3CDTF">2026-09-15T10:00:07Z</dcterms:modified>
</cp:coreProperties>
</file>