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С Юлиана" sheetId="1" r:id="rId5"/>
    <sheet state="visible" name="КС Соня" sheetId="2" r:id="rId6"/>
    <sheet state="visible" name="КС Данил" sheetId="3" r:id="rId7"/>
    <sheet state="visible" name="аналитика" sheetId="4" r:id="rId8"/>
    <sheet state="visible" name="Итоги" sheetId="5" r:id="rId9"/>
    <sheet state="visible" name="Настройка" sheetId="6" r:id="rId10"/>
  </sheets>
  <definedNames>
    <definedName hidden="1" localSheetId="0" name="_xlnm._FilterDatabase">'КС Юлиана'!$A$1:$J$27</definedName>
    <definedName hidden="1" localSheetId="2" name="_xlnm._FilterDatabase">'КС Данил'!$A$1:$J$57</definedName>
  </definedNames>
  <calcPr/>
</workbook>
</file>

<file path=xl/sharedStrings.xml><?xml version="1.0" encoding="utf-8"?>
<sst xmlns="http://schemas.openxmlformats.org/spreadsheetml/2006/main" count="364" uniqueCount="75">
  <si>
    <t>Дата</t>
  </si>
  <si>
    <t>База (источник)</t>
  </si>
  <si>
    <t>Менеджер</t>
  </si>
  <si>
    <t>Прозвонено</t>
  </si>
  <si>
    <t>Успешных</t>
  </si>
  <si>
    <t>В сделку</t>
  </si>
  <si>
    <t>Записей на подкл</t>
  </si>
  <si>
    <t>Демо</t>
  </si>
  <si>
    <t>Провели</t>
  </si>
  <si>
    <t>Пробный период</t>
  </si>
  <si>
    <t>Продажа</t>
  </si>
  <si>
    <t>Продажи</t>
  </si>
  <si>
    <t>28.07.2026</t>
  </si>
  <si>
    <t>Из лида в сделку</t>
  </si>
  <si>
    <t xml:space="preserve">Кургузов </t>
  </si>
  <si>
    <t>Из сделки в демо</t>
  </si>
  <si>
    <t>Записей на демо</t>
  </si>
  <si>
    <t>База вебинаров</t>
  </si>
  <si>
    <t>Из демо в продажу</t>
  </si>
  <si>
    <t>23.07.2026</t>
  </si>
  <si>
    <t>Оглоблина</t>
  </si>
  <si>
    <t>24.07.2026</t>
  </si>
  <si>
    <t>База Зуп</t>
  </si>
  <si>
    <t>Юнусова</t>
  </si>
  <si>
    <t xml:space="preserve">База ЗУП </t>
  </si>
  <si>
    <t>База ЗУП</t>
  </si>
  <si>
    <t>Заявка с сайта</t>
  </si>
  <si>
    <t>1. Холодная база</t>
  </si>
  <si>
    <t>2. База ЗУП</t>
  </si>
  <si>
    <t>база зуп</t>
  </si>
  <si>
    <t>27.07.2026</t>
  </si>
  <si>
    <t>База КП</t>
  </si>
  <si>
    <t>Кургузов</t>
  </si>
  <si>
    <t>3. База вахта</t>
  </si>
  <si>
    <t>База вахта</t>
  </si>
  <si>
    <t>4. База КП</t>
  </si>
  <si>
    <t xml:space="preserve">База кп </t>
  </si>
  <si>
    <t xml:space="preserve">База клиентов ЭПД </t>
  </si>
  <si>
    <t>База Вахта</t>
  </si>
  <si>
    <t>База канбана</t>
  </si>
  <si>
    <t>База кп</t>
  </si>
  <si>
    <t>5. холодка общепит</t>
  </si>
  <si>
    <t>База производство</t>
  </si>
  <si>
    <t>Быстрый старт</t>
  </si>
  <si>
    <t>база кп</t>
  </si>
  <si>
    <t>6 База производства</t>
  </si>
  <si>
    <t>7. сделки (то что подтянулось из баз)</t>
  </si>
  <si>
    <t xml:space="preserve">Юнусова </t>
  </si>
  <si>
    <t xml:space="preserve">База вебинаров </t>
  </si>
  <si>
    <t>база канбана</t>
  </si>
  <si>
    <t xml:space="preserve">база кп </t>
  </si>
  <si>
    <t>База общепит</t>
  </si>
  <si>
    <t xml:space="preserve">Соня Юлиана данные внесены за 03.08 </t>
  </si>
  <si>
    <t>база производство</t>
  </si>
  <si>
    <t xml:space="preserve"> База вахта</t>
  </si>
  <si>
    <t xml:space="preserve">База производство </t>
  </si>
  <si>
    <t xml:space="preserve">новая кс </t>
  </si>
  <si>
    <t>Холодные звонки</t>
  </si>
  <si>
    <t xml:space="preserve">База общепит </t>
  </si>
  <si>
    <t>холодка общепит</t>
  </si>
  <si>
    <t>1 
запись на подключ</t>
  </si>
  <si>
    <t xml:space="preserve">отмена демо была где-то здесь </t>
  </si>
  <si>
    <t>не могу найти точно помню только что много звонков в середине мес  было</t>
  </si>
  <si>
    <t>Пилот</t>
  </si>
  <si>
    <t>База производства</t>
  </si>
  <si>
    <t>переданные контакты</t>
  </si>
  <si>
    <t>запись на демо доки</t>
  </si>
  <si>
    <t>1демо по докам прошла</t>
  </si>
  <si>
    <t>База транспорт</t>
  </si>
  <si>
    <t>сделки</t>
  </si>
  <si>
    <t>запись на демо1 кс</t>
  </si>
  <si>
    <t>демо - не подлючились</t>
  </si>
  <si>
    <t xml:space="preserve">холодка </t>
  </si>
  <si>
    <t>1 запись на подкл</t>
  </si>
  <si>
    <t>холодка транспорт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</si>
</sst>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0.0%"/>
    <numFmt numFmtId="166" formatCode="dd.mm"/>
  </numFmts>
  <fonts count="11">
    <font>
      <sz val="10.0"/>
      <color rgb="FF000000"/>
      <name val="Arial"/>
      <scheme val="minor"/>
    </font>
    <font>
      <sz val="12.0"/>
      <color theme="1"/>
      <name val="Quote-cjk-patch"/>
    </font>
    <font>
      <sz val="12.0"/>
      <color theme="1"/>
      <name val="Arial"/>
    </font>
    <font>
      <color theme="1"/>
      <name val="Roboto"/>
    </font>
    <font>
      <color rgb="FF434343"/>
      <name val="Roboto"/>
    </font>
    <font>
      <color theme="1"/>
      <name val="Arial"/>
    </font>
    <font>
      <color theme="1"/>
      <name val="Arial"/>
      <scheme val="minor"/>
    </font>
    <font>
      <sz val="7.0"/>
      <color rgb="FF434343"/>
      <name val="Roboto"/>
    </font>
    <font>
      <b/>
      <sz val="5.0"/>
      <color rgb="FF434343"/>
      <name val="Roboto"/>
    </font>
    <font>
      <sz val="7.0"/>
      <color theme="1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164" xfId="0" applyAlignment="1" applyBorder="1" applyFill="1" applyFont="1" applyNumberFormat="1">
      <alignment horizontal="righ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2" fillId="2" fontId="4" numFmtId="0" xfId="0" applyAlignment="1" applyBorder="1" applyFill="1" applyFon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center" wrapText="0"/>
    </xf>
    <xf borderId="2" fillId="2" fontId="4" numFmtId="0" xfId="0" applyAlignment="1" applyBorder="1" applyFill="1" applyFont="1">
      <alignment horizontal="right" readingOrder="0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ill="1" applyFont="1">
      <alignment horizontal="right" shrinkToFit="0" vertical="center" wrapText="0"/>
    </xf>
    <xf borderId="3" fillId="2" fontId="5" numFmtId="0" xfId="0" applyAlignment="1" applyBorder="1" applyFill="1" applyFont="1">
      <alignment readingOrder="0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0" fillId="3" fontId="4" numFmtId="164" xfId="0" applyAlignment="1" applyFill="1" applyFont="1" applyNumberForma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5" fillId="3" fontId="4" numFmtId="0" xfId="0" applyAlignment="1" applyBorder="1" applyFill="1" applyFont="1">
      <alignment horizontal="right" readingOrder="0" shrinkToFit="0" vertical="center" wrapText="0"/>
    </xf>
    <xf borderId="2" fillId="2" fontId="5" numFmtId="0" xfId="0" applyAlignment="1" applyBorder="1" applyFill="1" applyFont="1">
      <alignment readingOrder="0" shrinkToFit="0" vertical="center" wrapText="0"/>
    </xf>
    <xf borderId="0" fillId="2" fontId="4" numFmtId="0" xfId="0" applyAlignment="1" applyFill="1" applyFont="1">
      <alignment horizontal="right" readingOrder="0" shrinkToFit="0" vertical="center" wrapText="0"/>
    </xf>
    <xf borderId="3" fillId="2" fontId="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4" fillId="3" fontId="4" numFmtId="164" xfId="0" applyAlignment="1" applyBorder="1" applyFill="1" applyFont="1" applyNumberFormat="1">
      <alignment horizontal="right" shrinkToFit="0" vertical="center" wrapText="0"/>
    </xf>
    <xf borderId="0" fillId="3" fontId="4" numFmtId="164" xfId="0" applyAlignment="1" applyFill="1" applyFont="1" applyNumberFormat="1">
      <alignment horizontal="right" readingOrder="0" shrinkToFit="0" vertical="center" wrapText="0"/>
    </xf>
    <xf borderId="0" fillId="2" fontId="4" numFmtId="0" xfId="0" applyAlignment="1" applyFill="1" applyFont="1">
      <alignment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ill="1" applyFont="1">
      <alignment horizontal="right" shrinkToFit="0" vertical="center" wrapText="0"/>
    </xf>
    <xf borderId="6" fillId="0" fontId="6" numFmtId="0" xfId="0" applyAlignment="1" applyBorder="1" applyFont="1">
      <alignment readingOrder="0"/>
    </xf>
    <xf borderId="7" fillId="3" fontId="5" numFmtId="0" xfId="0" applyAlignment="1" applyBorder="1" applyFill="1" applyFont="1">
      <alignment shrinkToFit="0" vertical="center" wrapText="0"/>
    </xf>
    <xf borderId="0" fillId="3" fontId="4" numFmtId="164" xfId="0" applyAlignment="1" applyFill="1" applyFont="1" applyNumberFormat="1">
      <alignment readingOrder="0" shrinkToFit="0" vertical="center" wrapText="0"/>
    </xf>
    <xf borderId="6" fillId="0" fontId="6" numFmtId="0" xfId="0" applyBorder="1" applyFont="1"/>
    <xf borderId="5" fillId="3" fontId="4" numFmtId="10" xfId="0" applyAlignment="1" applyBorder="1" applyFill="1" applyFont="1" applyNumberFormat="1">
      <alignment horizontal="center" shrinkToFit="0" vertical="center" wrapText="0"/>
    </xf>
    <xf borderId="0" fillId="3" fontId="4" numFmtId="164" xfId="0" applyAlignment="1" applyFill="1" applyFont="1" applyNumberFormat="1">
      <alignment horizontal="right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5" fillId="3" fontId="4" numFmtId="165" xfId="0" applyAlignment="1" applyBorder="1" applyFill="1" applyFont="1" applyNumberFormat="1">
      <alignment horizontal="center" shrinkToFit="0" vertical="center" wrapText="0"/>
    </xf>
    <xf borderId="0" fillId="3" fontId="4" numFmtId="0" xfId="0" applyAlignment="1" applyFill="1" applyFont="1">
      <alignment horizontal="right" readingOrder="0" shrinkToFit="0" vertical="center" wrapText="0"/>
    </xf>
    <xf borderId="0" fillId="3" fontId="4" numFmtId="0" xfId="0" applyAlignment="1" applyFill="1" applyFont="1">
      <alignment horizontal="right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7" fillId="3" fontId="4" numFmtId="10" xfId="0" applyAlignment="1" applyBorder="1" applyFill="1" applyFont="1" applyNumberFormat="1">
      <alignment horizontal="center" shrinkToFit="0" vertical="center" wrapText="0"/>
    </xf>
    <xf borderId="7" fillId="3" fontId="4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10" xfId="0" applyAlignment="1" applyBorder="1" applyFill="1" applyFont="1" applyNumberFormat="1">
      <alignment horizontal="center" shrinkToFit="0" vertical="center" wrapText="0"/>
    </xf>
    <xf borderId="2" fillId="2" fontId="4" numFmtId="165" xfId="0" applyAlignment="1" applyBorder="1" applyFill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0" fillId="3" fontId="4" numFmtId="0" xfId="0" applyAlignment="1" applyFill="1" applyFont="1">
      <alignment shrinkToFit="0" vertical="center" wrapText="0"/>
    </xf>
    <xf borderId="2" fillId="2" fontId="5" numFmtId="10" xfId="0" applyAlignment="1" applyBorder="1" applyFill="1" applyFont="1" applyNumberFormat="1">
      <alignment readingOrder="0" shrinkToFit="0" vertical="center" wrapText="0"/>
    </xf>
    <xf borderId="0" fillId="4" fontId="5" numFmtId="0" xfId="0" applyAlignment="1" applyFill="1" applyFont="1">
      <alignment readingOrder="0" vertical="bottom"/>
    </xf>
    <xf borderId="0" fillId="4" fontId="5" numFmtId="0" xfId="0" applyAlignment="1" applyFill="1" applyFont="1">
      <alignment vertical="bottom"/>
    </xf>
    <xf borderId="4" fillId="3" fontId="5" numFmtId="0" xfId="0" applyAlignment="1" applyBorder="1" applyFill="1" applyFont="1">
      <alignment readingOrder="0" shrinkToFit="0" vertical="center" wrapText="0"/>
    </xf>
    <xf borderId="5" fillId="3" fontId="5" numFmtId="0" xfId="0" applyAlignment="1" applyBorder="1" applyFill="1" applyFont="1">
      <alignment readingOrder="0" shrinkToFit="0" vertical="center" wrapText="0"/>
    </xf>
    <xf borderId="5" fillId="3" fontId="5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5" fillId="3" fontId="5" numFmtId="10" xfId="0" applyAlignment="1" applyBorder="1" applyFill="1" applyFont="1" applyNumberFormat="1">
      <alignment readingOrder="0" shrinkToFit="0" vertical="center" wrapText="0"/>
    </xf>
    <xf borderId="0" fillId="0" fontId="6" numFmtId="0" xfId="0" applyAlignment="1" applyFont="1">
      <alignment horizontal="right"/>
    </xf>
    <xf borderId="0" fillId="0" fontId="6" numFmtId="166" xfId="0" applyAlignment="1" applyFont="1" applyNumberFormat="1">
      <alignment horizontal="right" readingOrder="0"/>
    </xf>
    <xf borderId="1" fillId="2" fontId="5" numFmtId="0" xfId="0" applyAlignment="1" applyBorder="1" applyFill="1" applyFont="1">
      <alignment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4" fillId="3" fontId="5" numFmtId="0" xfId="0" applyAlignment="1" applyBorder="1" applyFill="1" applyFont="1">
      <alignment shrinkToFit="0" vertical="center" wrapText="0"/>
    </xf>
    <xf borderId="0" fillId="3" fontId="7" numFmtId="0" xfId="0" applyAlignment="1" applyFill="1" applyFont="1">
      <alignment horizontal="right" readingOrder="0" shrinkToFit="0" vertical="center" wrapText="0"/>
    </xf>
    <xf borderId="0" fillId="3" fontId="8" numFmtId="0" xfId="0" applyAlignment="1" applyFill="1" applyFont="1">
      <alignment horizontal="right"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8" fillId="3" fontId="5" numFmtId="0" xfId="0" applyAlignment="1" applyBorder="1" applyFill="1" applyFont="1">
      <alignment shrinkToFit="0" vertical="center" wrapText="0"/>
    </xf>
    <xf borderId="9" fillId="3" fontId="5" numFmtId="0" xfId="0" applyAlignment="1" applyBorder="1" applyFill="1" applyFont="1">
      <alignment shrinkToFit="0" vertical="center" wrapText="0"/>
    </xf>
    <xf borderId="9" fillId="3" fontId="4" numFmtId="10" xfId="0" applyAlignment="1" applyBorder="1" applyFill="1" applyFont="1" applyNumberFormat="1">
      <alignment horizontal="center" shrinkToFit="0" vertical="center" wrapText="0"/>
    </xf>
    <xf borderId="9" fillId="3" fontId="4" numFmtId="165" xfId="0" applyAlignment="1" applyBorder="1" applyFill="1" applyFont="1" applyNumberFormat="1">
      <alignment horizontal="center" shrinkToFit="0" vertical="center" wrapText="0"/>
    </xf>
    <xf borderId="0" fillId="0" fontId="5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КС Сон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С Юлиан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С Данил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аналитик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942975</xdr:colOff>
      <xdr:row>3</xdr:row>
      <xdr:rowOff>9525</xdr:rowOff>
    </xdr:from>
    <xdr:ext cx="2724150" cy="15430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7" displayName="Таблица1" name="Таблица1" id="3">
  <autoFilter ref="$A$1:$J$27"/>
  <tableColumns count="10">
    <tableColumn name="Дата" id="1"/>
    <tableColumn name="Менеджер" id="2"/>
    <tableColumn name="База (источник)" id="3"/>
    <tableColumn name="Прозвонено" id="4"/>
    <tableColumn name="Успешных" id="5"/>
    <tableColumn name="В сделку" id="6"/>
    <tableColumn name="Записей на демо" id="7"/>
    <tableColumn name="Демо" id="8"/>
    <tableColumn name="Пробный период" id="9"/>
    <tableColumn name="Продажа" id="10"/>
  </tableColumns>
  <tableStyleInfo name="КС Юлиана-style" showColumnStripes="0" showFirstColumn="1" showLastColumn="1" showRowStripes="1"/>
</table>
</file>

<file path=xl/tables/table2.xml><?xml version="1.0" encoding="utf-8"?>
<table xmlns="http://schemas.openxmlformats.org/spreadsheetml/2006/main" ref="A1:J69" displayName="Таблица1_2" name="Таблица1_2" id="4">
  <tableColumns count="10">
    <tableColumn name="Дата" id="1"/>
    <tableColumn name="Менеджер" id="2"/>
    <tableColumn name="База (источник)" id="3"/>
    <tableColumn name="Прозвонено" id="4"/>
    <tableColumn name="Успешных" id="5"/>
    <tableColumn name="В сделку" id="6"/>
    <tableColumn name="Записей на подкл" id="7"/>
    <tableColumn name="Демо" id="8"/>
    <tableColumn name="Пробный период" id="9"/>
    <tableColumn name="Продажа" id="10"/>
  </tableColumns>
  <tableStyleInfo name="КС Соня-style" showColumnStripes="0" showFirstColumn="1" showLastColumn="1" showRowStripes="1"/>
</table>
</file>

<file path=xl/tables/table3.xml><?xml version="1.0" encoding="utf-8"?>
<table xmlns="http://schemas.openxmlformats.org/spreadsheetml/2006/main" ref="A1:J57" displayName="Таблица1_3" name="Таблица1_3" id="2">
  <autoFilter ref="$A$1:$J$57"/>
  <tableColumns count="10">
    <tableColumn name="Дата" id="1"/>
    <tableColumn name="Менеджер" id="2"/>
    <tableColumn name="База (источник)" id="3"/>
    <tableColumn name="Прозвонено" id="4"/>
    <tableColumn name="Успешных" id="5"/>
    <tableColumn name="В сделку" id="6"/>
    <tableColumn name="Записей на подкл" id="7"/>
    <tableColumn name="Демо" id="8"/>
    <tableColumn name="Пробный период" id="9"/>
    <tableColumn name="Продажа" id="10"/>
  </tableColumns>
  <tableStyleInfo name="КС Данил-style" showColumnStripes="0" showFirstColumn="1" showLastColumn="1" showRowStripes="1"/>
</table>
</file>

<file path=xl/tables/table4.xml><?xml version="1.0" encoding="utf-8"?>
<table xmlns="http://schemas.openxmlformats.org/spreadsheetml/2006/main" ref="A1:J20" displayName="Таблица2" name="Таблица2" id="1">
  <tableColumns count="10">
    <tableColumn name="База (источник)" id="1"/>
    <tableColumn name="Прозвонено" id="2"/>
    <tableColumn name="Успешных" id="3"/>
    <tableColumn name="В сделку" id="4"/>
    <tableColumn name="Записей на подкл" id="5"/>
    <tableColumn name="Провели" id="6"/>
    <tableColumn name="Продажи" id="7"/>
    <tableColumn name="Из лида в сделку" id="8"/>
    <tableColumn name="Из сделки в демо" id="9"/>
    <tableColumn name="Из демо в продажу" id="10"/>
  </tableColumns>
  <tableStyleInfo name="аналити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15.88"/>
    <col customWidth="1" min="8" max="8" width="19.5"/>
  </cols>
  <sheetData>
    <row r="1" ht="22.5" customHeight="1">
      <c r="A1" s="2" t="s">
        <v>0</v>
      </c>
      <c r="B1" s="3" t="s">
        <v>2</v>
      </c>
      <c r="C1" s="3" t="s">
        <v>1</v>
      </c>
      <c r="D1" s="1" t="s">
        <v>3</v>
      </c>
      <c r="E1" s="3" t="s">
        <v>4</v>
      </c>
      <c r="F1" s="1" t="s">
        <v>5</v>
      </c>
      <c r="G1" s="3" t="s">
        <v>16</v>
      </c>
      <c r="H1" s="1" t="s">
        <v>7</v>
      </c>
      <c r="I1" s="3" t="s">
        <v>9</v>
      </c>
      <c r="J1" s="1" t="s">
        <v>10</v>
      </c>
    </row>
    <row r="2" ht="22.5" customHeight="1">
      <c r="A2" s="5" t="s">
        <v>21</v>
      </c>
      <c r="B2" s="11" t="s">
        <v>23</v>
      </c>
      <c r="C2" s="11" t="s">
        <v>24</v>
      </c>
      <c r="D2" s="12">
        <v>17.0</v>
      </c>
      <c r="E2" s="12">
        <v>8.0</v>
      </c>
      <c r="F2" s="12">
        <v>3.0</v>
      </c>
      <c r="G2" s="18">
        <v>0.0</v>
      </c>
      <c r="H2" s="13">
        <v>0.0</v>
      </c>
      <c r="K2" s="21" t="s">
        <v>27</v>
      </c>
    </row>
    <row r="3" ht="22.5" customHeight="1">
      <c r="A3" s="24">
        <v>46231.0</v>
      </c>
      <c r="B3" s="25" t="s">
        <v>23</v>
      </c>
      <c r="C3" s="16" t="s">
        <v>24</v>
      </c>
      <c r="D3" s="19">
        <v>11.0</v>
      </c>
      <c r="E3" s="19">
        <v>4.0</v>
      </c>
      <c r="F3" s="19">
        <v>2.0</v>
      </c>
      <c r="G3" s="19">
        <v>0.0</v>
      </c>
      <c r="H3" s="22">
        <v>1.0</v>
      </c>
      <c r="I3" s="9">
        <v>0.0</v>
      </c>
      <c r="J3" s="9">
        <v>0.0</v>
      </c>
      <c r="K3" s="21" t="s">
        <v>28</v>
      </c>
      <c r="M3" s="28" t="s">
        <v>29</v>
      </c>
      <c r="N3" s="31">
        <f>SUM(D2+D3+D4)</f>
        <v>32</v>
      </c>
      <c r="O3" s="31">
        <f t="shared" ref="O3:P3" si="1">E2+E3+E4</f>
        <v>14</v>
      </c>
      <c r="P3" s="31">
        <f t="shared" si="1"/>
        <v>5</v>
      </c>
      <c r="Q3" s="28">
        <v>1.0</v>
      </c>
      <c r="R3" s="31"/>
    </row>
    <row r="4" ht="22.5" customHeight="1">
      <c r="A4" s="33">
        <v>46232.0</v>
      </c>
      <c r="B4" s="25" t="s">
        <v>23</v>
      </c>
      <c r="C4" s="16" t="s">
        <v>25</v>
      </c>
      <c r="D4" s="19">
        <v>4.0</v>
      </c>
      <c r="E4" s="19">
        <v>2.0</v>
      </c>
      <c r="F4" s="19">
        <v>0.0</v>
      </c>
      <c r="G4" s="19">
        <v>0.0</v>
      </c>
      <c r="H4" s="22">
        <v>0.0</v>
      </c>
      <c r="K4" s="21" t="s">
        <v>33</v>
      </c>
      <c r="M4" s="28" t="s">
        <v>34</v>
      </c>
      <c r="N4" s="28">
        <v>12.0</v>
      </c>
      <c r="O4" s="28">
        <v>1.0</v>
      </c>
      <c r="P4" s="28">
        <v>1.0</v>
      </c>
      <c r="Q4" s="28">
        <v>2.0</v>
      </c>
      <c r="R4" s="28"/>
    </row>
    <row r="5" ht="22.5" customHeight="1">
      <c r="A5" s="24">
        <v>46233.0</v>
      </c>
      <c r="B5" s="25" t="s">
        <v>23</v>
      </c>
      <c r="C5" s="16" t="s">
        <v>34</v>
      </c>
      <c r="D5" s="19">
        <v>6.0</v>
      </c>
      <c r="E5" s="19">
        <v>0.0</v>
      </c>
      <c r="F5" s="19">
        <v>0.0</v>
      </c>
      <c r="G5" s="19">
        <v>0.0</v>
      </c>
      <c r="H5" s="22">
        <v>0.0</v>
      </c>
      <c r="K5" s="21" t="s">
        <v>35</v>
      </c>
      <c r="M5" s="28" t="s">
        <v>36</v>
      </c>
      <c r="N5" s="31">
        <f t="shared" ref="N5:O5" si="2">D6+D7+D8+D9+D10</f>
        <v>28</v>
      </c>
      <c r="O5" s="31">
        <f t="shared" si="2"/>
        <v>20</v>
      </c>
      <c r="P5" s="31">
        <f>F6+F7+F8+F10</f>
        <v>14</v>
      </c>
      <c r="Q5" s="31">
        <f>H8+H7+G11+G13</f>
        <v>5</v>
      </c>
      <c r="R5" s="31"/>
    </row>
    <row r="6" ht="22.5" customHeight="1">
      <c r="A6" s="24">
        <v>46233.0</v>
      </c>
      <c r="B6" s="25" t="s">
        <v>23</v>
      </c>
      <c r="C6" s="16" t="s">
        <v>31</v>
      </c>
      <c r="D6" s="19">
        <v>2.0</v>
      </c>
      <c r="E6" s="19">
        <v>2.0</v>
      </c>
      <c r="F6" s="19">
        <v>2.0</v>
      </c>
      <c r="G6" s="19">
        <v>1.0</v>
      </c>
      <c r="H6" s="22">
        <v>0.0</v>
      </c>
      <c r="M6" s="28" t="s">
        <v>39</v>
      </c>
      <c r="N6" s="31">
        <f t="shared" ref="N6:O6" si="3">D12+D14</f>
        <v>7</v>
      </c>
      <c r="O6" s="31">
        <f t="shared" si="3"/>
        <v>7</v>
      </c>
      <c r="P6" s="31"/>
      <c r="Q6" s="31"/>
      <c r="R6" s="31"/>
    </row>
    <row r="7" ht="22.5" customHeight="1">
      <c r="A7" s="24">
        <v>46234.0</v>
      </c>
      <c r="B7" s="25" t="s">
        <v>23</v>
      </c>
      <c r="C7" s="16" t="s">
        <v>40</v>
      </c>
      <c r="D7" s="46">
        <v>6.0</v>
      </c>
      <c r="E7" s="46">
        <v>4.0</v>
      </c>
      <c r="F7" s="46">
        <v>3.0</v>
      </c>
      <c r="G7" s="46">
        <v>1.0</v>
      </c>
      <c r="H7" s="22">
        <v>1.0</v>
      </c>
      <c r="M7" s="28" t="s">
        <v>42</v>
      </c>
      <c r="N7" s="31">
        <f t="shared" ref="N7:P7" si="4">D16</f>
        <v>19</v>
      </c>
      <c r="O7" s="31">
        <f t="shared" si="4"/>
        <v>6</v>
      </c>
      <c r="P7" s="31">
        <f t="shared" si="4"/>
        <v>4</v>
      </c>
      <c r="Q7" s="31"/>
      <c r="R7" s="31"/>
    </row>
    <row r="8" ht="22.5" customHeight="1">
      <c r="A8" s="24">
        <v>46237.0</v>
      </c>
      <c r="B8" s="25" t="s">
        <v>23</v>
      </c>
      <c r="C8" s="16" t="s">
        <v>44</v>
      </c>
      <c r="D8" s="46">
        <v>3.0</v>
      </c>
      <c r="E8" s="46">
        <v>3.0</v>
      </c>
      <c r="F8" s="46">
        <v>3.0</v>
      </c>
      <c r="G8" s="46">
        <v>1.0</v>
      </c>
      <c r="H8" s="22">
        <v>2.0</v>
      </c>
      <c r="M8" s="31"/>
      <c r="N8" s="31"/>
      <c r="O8" s="31"/>
      <c r="P8" s="31"/>
      <c r="Q8" s="31"/>
      <c r="R8" s="31"/>
    </row>
    <row r="9" ht="18.0" customHeight="1">
      <c r="A9" s="24">
        <v>46238.0</v>
      </c>
      <c r="B9" s="25" t="s">
        <v>23</v>
      </c>
      <c r="C9" s="16" t="s">
        <v>44</v>
      </c>
      <c r="D9" s="46">
        <v>9.0</v>
      </c>
      <c r="E9" s="46">
        <v>5.0</v>
      </c>
      <c r="F9" s="46">
        <v>0.0</v>
      </c>
      <c r="G9" s="46">
        <v>1.0</v>
      </c>
      <c r="H9" s="22">
        <v>0.0</v>
      </c>
      <c r="M9" s="31"/>
      <c r="N9" s="31"/>
      <c r="O9" s="31"/>
      <c r="P9" s="31"/>
      <c r="Q9" s="31"/>
      <c r="R9" s="31"/>
    </row>
    <row r="10" ht="22.5" customHeight="1">
      <c r="A10" s="24">
        <v>46240.0</v>
      </c>
      <c r="B10" s="25" t="s">
        <v>23</v>
      </c>
      <c r="C10" s="16" t="s">
        <v>44</v>
      </c>
      <c r="D10" s="46">
        <v>8.0</v>
      </c>
      <c r="E10" s="46">
        <v>6.0</v>
      </c>
      <c r="F10" s="46">
        <v>6.0</v>
      </c>
      <c r="G10" s="46">
        <v>1.0</v>
      </c>
      <c r="H10" s="22">
        <v>0.0</v>
      </c>
      <c r="M10" s="31"/>
      <c r="N10" s="31"/>
      <c r="O10" s="31"/>
      <c r="P10" s="31"/>
      <c r="Q10" s="31"/>
      <c r="R10" s="31"/>
    </row>
    <row r="11" ht="22.5" customHeight="1">
      <c r="A11" s="24">
        <v>46245.0</v>
      </c>
      <c r="B11" s="16" t="s">
        <v>47</v>
      </c>
      <c r="C11" s="16" t="s">
        <v>44</v>
      </c>
      <c r="D11" s="46"/>
      <c r="E11" s="46"/>
      <c r="F11" s="46"/>
      <c r="G11" s="46">
        <v>1.0</v>
      </c>
      <c r="H11" s="22"/>
    </row>
    <row r="12" ht="22.5" customHeight="1">
      <c r="A12" s="24">
        <v>46246.0</v>
      </c>
      <c r="B12" s="16" t="s">
        <v>47</v>
      </c>
      <c r="C12" s="16" t="s">
        <v>49</v>
      </c>
      <c r="D12" s="46">
        <v>4.0</v>
      </c>
      <c r="E12" s="46">
        <v>4.0</v>
      </c>
      <c r="F12" s="46"/>
      <c r="G12" s="46"/>
      <c r="H12" s="22"/>
    </row>
    <row r="13" ht="22.5" customHeight="1">
      <c r="A13" s="24">
        <v>46246.0</v>
      </c>
      <c r="B13" s="16" t="s">
        <v>47</v>
      </c>
      <c r="C13" s="16" t="s">
        <v>50</v>
      </c>
      <c r="D13" s="46"/>
      <c r="E13" s="46"/>
      <c r="F13" s="46"/>
      <c r="G13" s="46">
        <v>1.0</v>
      </c>
      <c r="H13" s="22"/>
    </row>
    <row r="14" ht="22.5" customHeight="1">
      <c r="A14" s="24">
        <v>46247.0</v>
      </c>
      <c r="B14" s="16" t="s">
        <v>47</v>
      </c>
      <c r="C14" s="16" t="s">
        <v>49</v>
      </c>
      <c r="D14" s="46">
        <v>3.0</v>
      </c>
      <c r="E14" s="46">
        <v>3.0</v>
      </c>
      <c r="F14" s="46"/>
      <c r="G14" s="46"/>
      <c r="H14" s="22"/>
    </row>
    <row r="15" ht="22.5" customHeight="1">
      <c r="A15" s="24">
        <v>46247.0</v>
      </c>
      <c r="B15" s="16" t="s">
        <v>47</v>
      </c>
      <c r="C15" s="16" t="s">
        <v>44</v>
      </c>
      <c r="D15" s="46"/>
      <c r="E15" s="46"/>
      <c r="F15" s="46"/>
      <c r="G15" s="46">
        <v>1.0</v>
      </c>
      <c r="H15" s="22"/>
    </row>
    <row r="16" ht="22.5" customHeight="1">
      <c r="A16" s="24">
        <v>46248.0</v>
      </c>
      <c r="B16" s="16" t="s">
        <v>47</v>
      </c>
      <c r="C16" s="16" t="s">
        <v>53</v>
      </c>
      <c r="D16" s="46">
        <v>19.0</v>
      </c>
      <c r="E16" s="46">
        <v>6.0</v>
      </c>
      <c r="F16" s="46">
        <v>4.0</v>
      </c>
      <c r="G16" s="46"/>
      <c r="H16" s="22"/>
    </row>
    <row r="17" ht="22.5" customHeight="1">
      <c r="A17" s="24">
        <v>46251.0</v>
      </c>
      <c r="B17" s="16" t="s">
        <v>47</v>
      </c>
      <c r="C17" s="16" t="s">
        <v>53</v>
      </c>
      <c r="D17" s="46">
        <v>9.0</v>
      </c>
      <c r="E17" s="46">
        <v>5.0</v>
      </c>
      <c r="F17" s="46">
        <v>1.0</v>
      </c>
      <c r="G17" s="46"/>
      <c r="H17" s="22"/>
    </row>
    <row r="18" ht="22.5" customHeight="1">
      <c r="A18" s="24">
        <v>46252.0</v>
      </c>
      <c r="B18" s="16" t="s">
        <v>47</v>
      </c>
      <c r="C18" s="16" t="s">
        <v>53</v>
      </c>
      <c r="D18" s="46"/>
      <c r="E18" s="46"/>
      <c r="F18" s="46"/>
      <c r="G18" s="46">
        <v>1.0</v>
      </c>
      <c r="H18" s="22">
        <v>1.0</v>
      </c>
    </row>
    <row r="19" ht="22.5" customHeight="1">
      <c r="A19" s="24">
        <v>46253.0</v>
      </c>
      <c r="B19" s="16" t="s">
        <v>23</v>
      </c>
      <c r="C19" s="16" t="s">
        <v>44</v>
      </c>
      <c r="D19" s="46"/>
      <c r="E19" s="46"/>
      <c r="F19" s="46"/>
      <c r="G19" s="46"/>
      <c r="H19" s="22">
        <v>1.0</v>
      </c>
    </row>
    <row r="20" ht="22.5" customHeight="1">
      <c r="A20" s="24">
        <v>46253.0</v>
      </c>
      <c r="B20" s="16" t="s">
        <v>23</v>
      </c>
      <c r="C20" s="16" t="s">
        <v>49</v>
      </c>
      <c r="D20" s="46">
        <v>3.0</v>
      </c>
      <c r="E20" s="46">
        <v>3.0</v>
      </c>
      <c r="F20" s="46"/>
      <c r="G20" s="46"/>
      <c r="H20" s="22"/>
    </row>
    <row r="21" ht="22.5" customHeight="1">
      <c r="A21" s="24">
        <v>46254.0</v>
      </c>
      <c r="B21" s="16" t="s">
        <v>23</v>
      </c>
      <c r="C21" s="16" t="s">
        <v>49</v>
      </c>
      <c r="D21" s="46">
        <v>2.0</v>
      </c>
      <c r="E21" s="46">
        <v>2.0</v>
      </c>
      <c r="F21" s="46"/>
      <c r="G21" s="46"/>
      <c r="H21" s="22"/>
    </row>
    <row r="22" ht="22.5" customHeight="1">
      <c r="A22" s="24">
        <v>46255.0</v>
      </c>
      <c r="B22" s="16" t="s">
        <v>23</v>
      </c>
      <c r="C22" s="16" t="s">
        <v>53</v>
      </c>
      <c r="D22" s="46"/>
      <c r="E22" s="46"/>
      <c r="F22" s="46"/>
      <c r="G22" s="46"/>
      <c r="H22" s="22">
        <v>1.0</v>
      </c>
    </row>
    <row r="23" ht="22.5" customHeight="1">
      <c r="A23" s="24">
        <v>46258.0</v>
      </c>
      <c r="B23" s="16" t="s">
        <v>23</v>
      </c>
      <c r="C23" s="16" t="s">
        <v>56</v>
      </c>
      <c r="D23" s="46">
        <v>8.0</v>
      </c>
      <c r="E23" s="46">
        <v>3.0</v>
      </c>
      <c r="F23" s="46">
        <v>0.0</v>
      </c>
      <c r="G23" s="46"/>
      <c r="H23" s="22"/>
    </row>
    <row r="24" ht="22.5" customHeight="1">
      <c r="A24" s="24">
        <v>46259.0</v>
      </c>
      <c r="B24" s="16" t="s">
        <v>23</v>
      </c>
      <c r="C24" s="16" t="s">
        <v>56</v>
      </c>
      <c r="D24" s="46">
        <v>20.0</v>
      </c>
      <c r="E24" s="46">
        <v>7.0</v>
      </c>
      <c r="F24" s="46">
        <v>1.0</v>
      </c>
      <c r="G24" s="46"/>
      <c r="H24" s="22"/>
    </row>
    <row r="25" ht="22.5" customHeight="1">
      <c r="A25" s="24">
        <v>46260.0</v>
      </c>
      <c r="B25" s="16" t="s">
        <v>47</v>
      </c>
      <c r="C25" s="16" t="s">
        <v>49</v>
      </c>
      <c r="D25" s="46">
        <v>10.0</v>
      </c>
      <c r="E25" s="46">
        <v>3.0</v>
      </c>
      <c r="F25" s="46"/>
      <c r="G25" s="46"/>
      <c r="H25" s="22"/>
    </row>
    <row r="26" ht="22.5" customHeight="1">
      <c r="A26" s="24"/>
      <c r="B26" s="16"/>
      <c r="C26" s="16"/>
      <c r="D26" s="46"/>
      <c r="E26" s="46"/>
      <c r="F26" s="46"/>
      <c r="G26" s="46"/>
      <c r="H26" s="22"/>
    </row>
    <row r="27" ht="22.5" customHeight="1">
      <c r="A27" s="24">
        <v>46238.0</v>
      </c>
      <c r="B27" s="34" t="s">
        <v>23</v>
      </c>
      <c r="C27" s="49" t="s">
        <v>57</v>
      </c>
      <c r="D27" s="37"/>
      <c r="E27" s="37"/>
      <c r="F27" s="37"/>
      <c r="G27" s="37"/>
      <c r="H27" s="56"/>
    </row>
    <row r="28">
      <c r="A28" s="58"/>
    </row>
    <row r="29">
      <c r="A29" s="58"/>
    </row>
    <row r="30">
      <c r="A30" s="58"/>
    </row>
    <row r="31">
      <c r="A31" s="58"/>
    </row>
    <row r="32">
      <c r="A32" s="58"/>
    </row>
    <row r="33">
      <c r="A33" s="59"/>
    </row>
    <row r="34">
      <c r="A34" s="59"/>
    </row>
    <row r="35">
      <c r="A35" s="59"/>
    </row>
    <row r="36">
      <c r="A36" s="59"/>
    </row>
    <row r="37">
      <c r="A37" s="58"/>
    </row>
    <row r="38">
      <c r="A38" s="58"/>
    </row>
    <row r="39">
      <c r="A39" s="58"/>
    </row>
    <row r="40">
      <c r="A40" s="58"/>
    </row>
    <row r="41">
      <c r="A41" s="58"/>
    </row>
    <row r="42">
      <c r="A42" s="58"/>
    </row>
    <row r="43">
      <c r="A43" s="58"/>
    </row>
    <row r="44">
      <c r="A44" s="58"/>
    </row>
    <row r="45">
      <c r="A45" s="58"/>
    </row>
    <row r="46">
      <c r="A46" s="58"/>
    </row>
    <row r="47">
      <c r="A47" s="58"/>
    </row>
    <row r="48">
      <c r="A48" s="58"/>
    </row>
    <row r="49">
      <c r="A49" s="58"/>
    </row>
    <row r="50">
      <c r="A50" s="58"/>
    </row>
    <row r="51">
      <c r="A51" s="58"/>
    </row>
    <row r="52">
      <c r="A52" s="58"/>
    </row>
    <row r="53">
      <c r="A53" s="58"/>
    </row>
    <row r="54">
      <c r="A54" s="58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  <row r="1001">
      <c r="A1001" s="58"/>
    </row>
    <row r="1002">
      <c r="A1002" s="58"/>
    </row>
    <row r="1003">
      <c r="A1003" s="5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15.88"/>
    <col customWidth="1" min="7" max="7" width="14.0"/>
    <col customWidth="1" min="8" max="8" width="39.25"/>
  </cols>
  <sheetData>
    <row r="1" ht="22.5" customHeight="1">
      <c r="A1" s="2" t="s">
        <v>0</v>
      </c>
      <c r="B1" s="1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9</v>
      </c>
      <c r="J1" s="1" t="s">
        <v>10</v>
      </c>
    </row>
    <row r="2" ht="22.5" customHeight="1">
      <c r="A2" s="5" t="s">
        <v>19</v>
      </c>
      <c r="B2" s="11" t="s">
        <v>20</v>
      </c>
      <c r="C2" s="11" t="s">
        <v>22</v>
      </c>
      <c r="D2" s="12">
        <v>20.0</v>
      </c>
      <c r="E2" s="12">
        <v>12.0</v>
      </c>
      <c r="F2" s="12">
        <v>3.0</v>
      </c>
      <c r="G2" s="12"/>
      <c r="H2" s="20"/>
    </row>
    <row r="3" ht="22.5" customHeight="1">
      <c r="A3" s="23" t="s">
        <v>21</v>
      </c>
      <c r="B3" s="26" t="s">
        <v>20</v>
      </c>
      <c r="C3" s="26" t="s">
        <v>22</v>
      </c>
      <c r="D3" s="27">
        <v>6.0</v>
      </c>
      <c r="E3" s="27">
        <v>4.0</v>
      </c>
      <c r="F3" s="27"/>
      <c r="G3" s="27"/>
      <c r="H3" s="29"/>
    </row>
    <row r="4" ht="22.5" customHeight="1">
      <c r="A4" s="23" t="s">
        <v>30</v>
      </c>
      <c r="B4" s="26" t="s">
        <v>20</v>
      </c>
      <c r="C4" s="26" t="s">
        <v>24</v>
      </c>
      <c r="D4" s="27">
        <v>5.0</v>
      </c>
      <c r="E4" s="27">
        <v>2.0</v>
      </c>
      <c r="F4" s="27"/>
      <c r="G4" s="27"/>
      <c r="H4" s="29"/>
      <c r="K4" s="21" t="s">
        <v>27</v>
      </c>
    </row>
    <row r="5" ht="22.5" customHeight="1">
      <c r="A5" s="5" t="s">
        <v>30</v>
      </c>
      <c r="B5" s="11" t="s">
        <v>20</v>
      </c>
      <c r="C5" s="11" t="s">
        <v>31</v>
      </c>
      <c r="D5" s="12">
        <v>7.0</v>
      </c>
      <c r="E5" s="12">
        <v>4.0</v>
      </c>
      <c r="F5" s="12"/>
      <c r="G5" s="12"/>
      <c r="H5" s="20"/>
      <c r="K5" s="21" t="s">
        <v>28</v>
      </c>
    </row>
    <row r="6" ht="22.5" customHeight="1">
      <c r="A6" s="23" t="s">
        <v>12</v>
      </c>
      <c r="B6" s="26" t="s">
        <v>20</v>
      </c>
      <c r="C6" s="26" t="s">
        <v>31</v>
      </c>
      <c r="D6" s="27">
        <v>12.0</v>
      </c>
      <c r="E6" s="27">
        <v>7.0</v>
      </c>
      <c r="F6" s="27"/>
      <c r="G6" s="27"/>
      <c r="H6" s="41">
        <v>1.0</v>
      </c>
      <c r="K6" s="21" t="s">
        <v>33</v>
      </c>
    </row>
    <row r="7" ht="22.5" customHeight="1">
      <c r="A7" s="5" t="s">
        <v>12</v>
      </c>
      <c r="B7" s="11" t="s">
        <v>20</v>
      </c>
      <c r="C7" s="11" t="s">
        <v>38</v>
      </c>
      <c r="D7" s="12">
        <v>1.0</v>
      </c>
      <c r="E7" s="12">
        <v>1.0</v>
      </c>
      <c r="F7" s="12"/>
      <c r="G7" s="12"/>
      <c r="H7" s="20"/>
      <c r="K7" s="21" t="s">
        <v>35</v>
      </c>
    </row>
    <row r="8" ht="22.5" customHeight="1">
      <c r="A8" s="33">
        <v>46232.0</v>
      </c>
      <c r="B8" s="25" t="s">
        <v>20</v>
      </c>
      <c r="C8" s="16" t="s">
        <v>25</v>
      </c>
      <c r="D8" s="19">
        <v>4.0</v>
      </c>
      <c r="E8" s="19">
        <v>2.0</v>
      </c>
      <c r="F8" s="19"/>
      <c r="G8" s="19"/>
      <c r="H8" s="22"/>
      <c r="K8" s="21" t="s">
        <v>41</v>
      </c>
    </row>
    <row r="9" ht="22.5" customHeight="1">
      <c r="A9" s="33">
        <v>46232.0</v>
      </c>
      <c r="B9" s="25" t="s">
        <v>20</v>
      </c>
      <c r="C9" s="16" t="s">
        <v>31</v>
      </c>
      <c r="D9" s="19">
        <v>23.0</v>
      </c>
      <c r="E9" s="19">
        <v>10.0</v>
      </c>
      <c r="F9" s="19"/>
      <c r="G9" s="19"/>
      <c r="H9" s="22"/>
      <c r="K9" s="21" t="s">
        <v>45</v>
      </c>
    </row>
    <row r="10" ht="22.5" customHeight="1">
      <c r="A10" s="24">
        <v>46233.0</v>
      </c>
      <c r="B10" s="25" t="s">
        <v>20</v>
      </c>
      <c r="C10" s="16" t="s">
        <v>25</v>
      </c>
      <c r="D10" s="19">
        <v>2.0</v>
      </c>
      <c r="E10" s="19">
        <v>2.0</v>
      </c>
      <c r="F10" s="19">
        <v>2.0</v>
      </c>
      <c r="G10" s="19"/>
      <c r="H10" s="22"/>
      <c r="K10" s="21" t="s">
        <v>46</v>
      </c>
    </row>
    <row r="11" ht="22.5" customHeight="1">
      <c r="A11" s="24">
        <v>46233.0</v>
      </c>
      <c r="B11" s="25" t="s">
        <v>20</v>
      </c>
      <c r="C11" s="16" t="s">
        <v>31</v>
      </c>
      <c r="D11" s="19">
        <v>10.0</v>
      </c>
      <c r="E11" s="19">
        <v>3.0</v>
      </c>
      <c r="F11" s="19">
        <v>2.0</v>
      </c>
      <c r="G11" s="19">
        <v>1.0</v>
      </c>
      <c r="H11" s="22"/>
    </row>
    <row r="12" ht="22.5" customHeight="1">
      <c r="A12" s="24">
        <v>46234.0</v>
      </c>
      <c r="B12" s="49" t="s">
        <v>20</v>
      </c>
      <c r="C12" s="34" t="s">
        <v>31</v>
      </c>
      <c r="D12" s="36">
        <v>4.0</v>
      </c>
      <c r="E12" s="36">
        <v>3.0</v>
      </c>
      <c r="F12" s="36">
        <v>1.0</v>
      </c>
      <c r="G12" s="36"/>
      <c r="H12" s="22"/>
    </row>
    <row r="13" ht="22.5" customHeight="1">
      <c r="A13" s="24">
        <v>46234.0</v>
      </c>
      <c r="B13" s="49" t="s">
        <v>20</v>
      </c>
      <c r="C13" s="34" t="s">
        <v>34</v>
      </c>
      <c r="D13" s="36">
        <v>27.0</v>
      </c>
      <c r="E13" s="36">
        <v>10.0</v>
      </c>
      <c r="F13" s="36"/>
      <c r="G13" s="36"/>
      <c r="H13" s="22"/>
    </row>
    <row r="14" ht="22.5" customHeight="1">
      <c r="A14" s="24">
        <v>46237.0</v>
      </c>
      <c r="B14" s="49" t="s">
        <v>20</v>
      </c>
      <c r="C14" s="16" t="s">
        <v>25</v>
      </c>
      <c r="D14" s="36">
        <v>3.0</v>
      </c>
      <c r="E14" s="36">
        <v>1.0</v>
      </c>
      <c r="F14" s="36"/>
      <c r="G14" s="36"/>
      <c r="H14" s="22">
        <v>1.0</v>
      </c>
    </row>
    <row r="15" ht="22.5" customHeight="1">
      <c r="A15" s="24">
        <v>46237.0</v>
      </c>
      <c r="B15" s="49" t="s">
        <v>20</v>
      </c>
      <c r="C15" s="16" t="s">
        <v>31</v>
      </c>
      <c r="D15" s="36">
        <v>12.0</v>
      </c>
      <c r="E15" s="36">
        <v>2.0</v>
      </c>
      <c r="F15" s="36"/>
      <c r="G15" s="36"/>
      <c r="H15" s="22"/>
    </row>
    <row r="16" ht="22.5" customHeight="1">
      <c r="A16" s="24">
        <v>46237.0</v>
      </c>
      <c r="B16" s="49" t="s">
        <v>20</v>
      </c>
      <c r="C16" s="16" t="s">
        <v>34</v>
      </c>
      <c r="D16" s="36">
        <v>5.0</v>
      </c>
      <c r="E16" s="36">
        <v>2.0</v>
      </c>
      <c r="F16" s="36">
        <v>1.0</v>
      </c>
      <c r="G16" s="36"/>
      <c r="H16" s="22"/>
    </row>
    <row r="17" ht="22.5" customHeight="1">
      <c r="A17" s="24">
        <v>46238.0</v>
      </c>
      <c r="B17" s="49" t="s">
        <v>20</v>
      </c>
      <c r="C17" s="34" t="s">
        <v>25</v>
      </c>
      <c r="D17" s="36">
        <v>11.0</v>
      </c>
      <c r="E17" s="36">
        <v>4.0</v>
      </c>
      <c r="F17" s="36"/>
      <c r="G17" s="36"/>
      <c r="H17" s="22"/>
    </row>
    <row r="18" ht="22.5" customHeight="1">
      <c r="A18" s="24">
        <v>46238.0</v>
      </c>
      <c r="B18" s="49" t="s">
        <v>20</v>
      </c>
      <c r="C18" s="34" t="s">
        <v>54</v>
      </c>
      <c r="D18" s="36">
        <v>25.0</v>
      </c>
      <c r="E18" s="36">
        <v>8.0</v>
      </c>
      <c r="F18" s="36"/>
      <c r="G18" s="36"/>
      <c r="H18" s="22"/>
    </row>
    <row r="19" ht="22.5" customHeight="1">
      <c r="A19" s="24">
        <v>46238.0</v>
      </c>
      <c r="B19" s="49" t="s">
        <v>20</v>
      </c>
      <c r="C19" s="34" t="s">
        <v>31</v>
      </c>
      <c r="D19" s="36">
        <v>11.0</v>
      </c>
      <c r="E19" s="36">
        <v>4.0</v>
      </c>
      <c r="F19" s="36"/>
      <c r="G19" s="36"/>
      <c r="H19" s="22"/>
    </row>
    <row r="20" ht="22.5" customHeight="1">
      <c r="A20" s="24">
        <v>46239.0</v>
      </c>
      <c r="B20" s="49" t="s">
        <v>20</v>
      </c>
      <c r="C20" s="34" t="s">
        <v>31</v>
      </c>
      <c r="D20" s="36">
        <v>3.0</v>
      </c>
      <c r="E20" s="36">
        <v>1.0</v>
      </c>
      <c r="F20" s="36"/>
      <c r="G20" s="36">
        <v>1.0</v>
      </c>
      <c r="H20" s="22"/>
    </row>
    <row r="21" ht="22.5" customHeight="1">
      <c r="A21" s="24">
        <v>46239.0</v>
      </c>
      <c r="B21" s="49" t="s">
        <v>20</v>
      </c>
      <c r="C21" s="34" t="s">
        <v>34</v>
      </c>
      <c r="D21" s="36">
        <v>33.0</v>
      </c>
      <c r="E21" s="36">
        <v>6.0</v>
      </c>
      <c r="F21" s="36"/>
      <c r="G21" s="36"/>
      <c r="H21" s="22"/>
    </row>
    <row r="22" ht="22.5" customHeight="1">
      <c r="A22" s="24">
        <v>46240.0</v>
      </c>
      <c r="B22" s="49" t="s">
        <v>20</v>
      </c>
      <c r="C22" s="34" t="s">
        <v>25</v>
      </c>
      <c r="D22" s="36">
        <v>3.0</v>
      </c>
      <c r="E22" s="36">
        <v>2.0</v>
      </c>
      <c r="F22" s="36"/>
      <c r="G22" s="36"/>
      <c r="H22" s="22"/>
    </row>
    <row r="23" ht="22.5" customHeight="1">
      <c r="A23" s="24">
        <v>46240.0</v>
      </c>
      <c r="B23" s="49" t="s">
        <v>20</v>
      </c>
      <c r="C23" s="34" t="s">
        <v>31</v>
      </c>
      <c r="D23" s="36">
        <v>10.0</v>
      </c>
      <c r="E23" s="36">
        <v>3.0</v>
      </c>
      <c r="F23" s="37"/>
      <c r="G23" s="37"/>
      <c r="H23" s="56"/>
    </row>
    <row r="24" ht="22.5" customHeight="1">
      <c r="A24" s="24">
        <v>46240.0</v>
      </c>
      <c r="B24" s="49" t="s">
        <v>20</v>
      </c>
      <c r="C24" s="34" t="s">
        <v>34</v>
      </c>
      <c r="D24" s="36">
        <v>16.0</v>
      </c>
      <c r="E24" s="36">
        <v>4.0</v>
      </c>
      <c r="F24" s="37"/>
      <c r="G24" s="37"/>
      <c r="H24" s="22"/>
    </row>
    <row r="25" ht="22.5" customHeight="1">
      <c r="A25" s="24">
        <v>46241.0</v>
      </c>
      <c r="B25" s="34" t="s">
        <v>20</v>
      </c>
      <c r="C25" s="34" t="s">
        <v>25</v>
      </c>
      <c r="D25" s="36">
        <v>2.0</v>
      </c>
      <c r="E25" s="36">
        <v>1.0</v>
      </c>
      <c r="F25" s="36"/>
      <c r="G25" s="36"/>
      <c r="H25" s="22">
        <v>1.0</v>
      </c>
    </row>
    <row r="26" ht="22.5" customHeight="1">
      <c r="A26" s="24">
        <v>46241.0</v>
      </c>
      <c r="B26" s="34" t="s">
        <v>20</v>
      </c>
      <c r="C26" s="34" t="s">
        <v>31</v>
      </c>
      <c r="D26" s="36">
        <v>1.0</v>
      </c>
      <c r="E26" s="36">
        <v>1.0</v>
      </c>
      <c r="F26" s="36"/>
      <c r="G26" s="36"/>
      <c r="H26" s="22"/>
    </row>
    <row r="27" ht="22.5" customHeight="1">
      <c r="A27" s="24">
        <v>46244.0</v>
      </c>
      <c r="B27" s="34" t="s">
        <v>20</v>
      </c>
      <c r="C27" s="34" t="s">
        <v>34</v>
      </c>
      <c r="D27" s="36">
        <v>1.0</v>
      </c>
      <c r="E27" s="36"/>
      <c r="F27" s="36"/>
      <c r="G27" s="36"/>
      <c r="H27" s="22"/>
    </row>
    <row r="28" ht="22.5" customHeight="1">
      <c r="A28" s="24">
        <v>46244.0</v>
      </c>
      <c r="B28" s="34" t="s">
        <v>20</v>
      </c>
      <c r="C28" s="34" t="s">
        <v>25</v>
      </c>
      <c r="D28" s="36">
        <v>3.0</v>
      </c>
      <c r="E28" s="36">
        <v>2.0</v>
      </c>
      <c r="F28" s="36"/>
      <c r="G28" s="36"/>
      <c r="H28" s="22"/>
    </row>
    <row r="29" ht="22.5" customHeight="1">
      <c r="A29" s="24">
        <v>46244.0</v>
      </c>
      <c r="B29" s="34" t="s">
        <v>20</v>
      </c>
      <c r="C29" s="34" t="s">
        <v>31</v>
      </c>
      <c r="D29" s="36">
        <v>2.0</v>
      </c>
      <c r="E29" s="36">
        <v>1.0</v>
      </c>
      <c r="F29" s="36"/>
      <c r="G29" s="36"/>
      <c r="H29" s="22"/>
    </row>
    <row r="30" ht="22.5" customHeight="1">
      <c r="A30" s="24">
        <v>46244.0</v>
      </c>
      <c r="B30" s="34" t="s">
        <v>20</v>
      </c>
      <c r="C30" s="34" t="s">
        <v>59</v>
      </c>
      <c r="D30" s="36">
        <v>9.0</v>
      </c>
      <c r="E30" s="36">
        <v>3.0</v>
      </c>
      <c r="F30" s="36">
        <v>2.0</v>
      </c>
      <c r="G30" s="36"/>
      <c r="H30" s="22"/>
    </row>
    <row r="31" ht="22.5" customHeight="1">
      <c r="A31" s="24">
        <v>46245.0</v>
      </c>
      <c r="B31" s="34" t="s">
        <v>20</v>
      </c>
      <c r="C31" s="34" t="s">
        <v>59</v>
      </c>
      <c r="D31" s="36">
        <v>12.0</v>
      </c>
      <c r="E31" s="36">
        <v>6.0</v>
      </c>
      <c r="F31" s="36">
        <v>1.0</v>
      </c>
      <c r="G31" s="36"/>
      <c r="H31" s="22"/>
    </row>
    <row r="32" ht="22.5" customHeight="1">
      <c r="A32" s="24">
        <v>46245.0</v>
      </c>
      <c r="B32" s="34" t="s">
        <v>20</v>
      </c>
      <c r="C32" s="34" t="s">
        <v>34</v>
      </c>
      <c r="D32" s="36">
        <v>8.0</v>
      </c>
      <c r="E32" s="36">
        <v>2.0</v>
      </c>
      <c r="F32" s="36"/>
      <c r="G32" s="36"/>
      <c r="H32" s="22"/>
    </row>
    <row r="33" ht="22.5" customHeight="1">
      <c r="A33" s="24">
        <v>46246.0</v>
      </c>
      <c r="B33" s="34" t="s">
        <v>20</v>
      </c>
      <c r="C33" s="34" t="s">
        <v>59</v>
      </c>
      <c r="D33" s="36">
        <v>10.0</v>
      </c>
      <c r="E33" s="36">
        <v>3.0</v>
      </c>
      <c r="F33" s="36"/>
      <c r="G33" s="36"/>
      <c r="H33" s="22"/>
    </row>
    <row r="34" ht="22.5" customHeight="1">
      <c r="A34" s="24">
        <v>46246.0</v>
      </c>
      <c r="B34" s="34" t="s">
        <v>20</v>
      </c>
      <c r="C34" s="34" t="s">
        <v>34</v>
      </c>
      <c r="D34" s="36">
        <v>3.0</v>
      </c>
      <c r="E34" s="36">
        <v>1.0</v>
      </c>
      <c r="F34" s="36"/>
      <c r="G34" s="63" t="s">
        <v>60</v>
      </c>
      <c r="H34" s="22"/>
    </row>
    <row r="35" ht="22.5" customHeight="1">
      <c r="A35" s="24">
        <v>46247.0</v>
      </c>
      <c r="B35" s="34" t="s">
        <v>20</v>
      </c>
      <c r="C35" s="34" t="s">
        <v>31</v>
      </c>
      <c r="D35" s="36">
        <v>1.0</v>
      </c>
      <c r="E35" s="36">
        <v>1.0</v>
      </c>
      <c r="F35" s="36"/>
      <c r="G35" s="36"/>
      <c r="H35" s="22"/>
    </row>
    <row r="36" ht="22.5" customHeight="1">
      <c r="A36" s="24">
        <v>46247.0</v>
      </c>
      <c r="B36" s="34" t="s">
        <v>20</v>
      </c>
      <c r="C36" s="34" t="s">
        <v>51</v>
      </c>
      <c r="D36" s="36">
        <v>3.0</v>
      </c>
      <c r="E36" s="36">
        <v>3.0</v>
      </c>
      <c r="F36" s="36"/>
      <c r="G36" s="36"/>
      <c r="H36" s="22"/>
    </row>
    <row r="37" ht="22.5" customHeight="1">
      <c r="A37" s="24">
        <v>46248.0</v>
      </c>
      <c r="B37" s="34" t="s">
        <v>20</v>
      </c>
      <c r="C37" s="34" t="s">
        <v>51</v>
      </c>
      <c r="D37" s="36">
        <v>37.0</v>
      </c>
      <c r="E37" s="36">
        <v>20.0</v>
      </c>
      <c r="F37" s="36">
        <v>1.0</v>
      </c>
      <c r="G37" s="64" t="s">
        <v>61</v>
      </c>
      <c r="H37" s="22"/>
    </row>
    <row r="38" ht="22.5" customHeight="1">
      <c r="A38" s="24">
        <v>46251.0</v>
      </c>
      <c r="B38" s="34" t="s">
        <v>20</v>
      </c>
      <c r="C38" s="34" t="s">
        <v>51</v>
      </c>
      <c r="D38" s="36">
        <v>41.0</v>
      </c>
      <c r="E38" s="36">
        <v>23.0</v>
      </c>
      <c r="F38" s="36">
        <v>4.0</v>
      </c>
      <c r="G38" s="64" t="s">
        <v>61</v>
      </c>
      <c r="H38" s="65" t="s">
        <v>62</v>
      </c>
    </row>
    <row r="39" ht="22.5" customHeight="1">
      <c r="A39" s="24">
        <v>46252.0</v>
      </c>
      <c r="B39" s="34" t="s">
        <v>20</v>
      </c>
      <c r="C39" s="34" t="s">
        <v>51</v>
      </c>
      <c r="D39" s="36">
        <v>30.0</v>
      </c>
      <c r="E39" s="36">
        <v>19.0</v>
      </c>
      <c r="F39" s="36">
        <v>4.0</v>
      </c>
      <c r="G39" s="64" t="s">
        <v>61</v>
      </c>
      <c r="H39" s="22"/>
    </row>
    <row r="40" ht="22.5" customHeight="1">
      <c r="A40" s="24">
        <v>46253.0</v>
      </c>
      <c r="B40" s="34" t="s">
        <v>20</v>
      </c>
      <c r="C40" s="34" t="s">
        <v>51</v>
      </c>
      <c r="D40" s="36">
        <v>47.0</v>
      </c>
      <c r="E40" s="36">
        <v>21.0</v>
      </c>
      <c r="F40" s="36">
        <v>2.0</v>
      </c>
      <c r="G40" s="36"/>
      <c r="H40" s="22"/>
    </row>
    <row r="41" ht="22.5" customHeight="1">
      <c r="A41" s="24">
        <v>46254.0</v>
      </c>
      <c r="B41" s="34" t="s">
        <v>20</v>
      </c>
      <c r="C41" s="34" t="s">
        <v>51</v>
      </c>
      <c r="D41" s="36">
        <v>31.0</v>
      </c>
      <c r="E41" s="36">
        <v>12.0</v>
      </c>
      <c r="F41" s="36">
        <v>2.0</v>
      </c>
      <c r="G41" s="36"/>
      <c r="H41" s="22"/>
    </row>
    <row r="42" ht="22.5" customHeight="1">
      <c r="A42" s="24">
        <v>46254.0</v>
      </c>
      <c r="B42" s="34" t="s">
        <v>20</v>
      </c>
      <c r="C42" s="34" t="s">
        <v>64</v>
      </c>
      <c r="D42" s="36">
        <v>1.0</v>
      </c>
      <c r="E42" s="36">
        <v>1.0</v>
      </c>
      <c r="F42" s="36">
        <v>1.0</v>
      </c>
      <c r="G42" s="36"/>
      <c r="H42" s="22"/>
    </row>
    <row r="43" ht="22.5" customHeight="1">
      <c r="A43" s="24">
        <v>46254.0</v>
      </c>
      <c r="B43" s="34" t="s">
        <v>20</v>
      </c>
      <c r="C43" s="34" t="s">
        <v>65</v>
      </c>
      <c r="D43" s="36">
        <v>1.0</v>
      </c>
      <c r="E43" s="36">
        <v>1.0</v>
      </c>
      <c r="F43" s="36">
        <v>1.0</v>
      </c>
      <c r="G43" s="36"/>
      <c r="H43" s="22" t="s">
        <v>66</v>
      </c>
    </row>
    <row r="44" ht="22.5" customHeight="1">
      <c r="A44" s="24">
        <v>46255.0</v>
      </c>
      <c r="B44" s="34" t="s">
        <v>20</v>
      </c>
      <c r="C44" s="34" t="s">
        <v>51</v>
      </c>
      <c r="D44" s="36">
        <v>10.0</v>
      </c>
      <c r="E44" s="36">
        <v>0.0</v>
      </c>
      <c r="F44" s="36"/>
      <c r="G44" s="36"/>
      <c r="H44" s="22"/>
    </row>
    <row r="45" ht="22.5" customHeight="1">
      <c r="A45" s="24">
        <v>46255.0</v>
      </c>
      <c r="B45" s="34" t="s">
        <v>20</v>
      </c>
      <c r="C45" s="34" t="s">
        <v>64</v>
      </c>
      <c r="D45" s="36">
        <v>20.0</v>
      </c>
      <c r="E45" s="36">
        <v>9.0</v>
      </c>
      <c r="F45" s="36">
        <v>1.0</v>
      </c>
      <c r="G45" s="36"/>
      <c r="H45" s="22"/>
    </row>
    <row r="46" ht="22.5" customHeight="1">
      <c r="A46" s="24">
        <v>46255.0</v>
      </c>
      <c r="B46" s="34" t="s">
        <v>20</v>
      </c>
      <c r="C46" s="34" t="s">
        <v>65</v>
      </c>
      <c r="D46" s="36">
        <v>1.0</v>
      </c>
      <c r="E46" s="36">
        <v>1.0</v>
      </c>
      <c r="F46" s="36"/>
      <c r="G46" s="36"/>
      <c r="H46" s="66" t="s">
        <v>67</v>
      </c>
    </row>
    <row r="47" ht="22.5" customHeight="1">
      <c r="A47" s="24">
        <v>46258.0</v>
      </c>
      <c r="B47" s="34" t="s">
        <v>20</v>
      </c>
      <c r="C47" s="34" t="s">
        <v>51</v>
      </c>
      <c r="D47" s="36">
        <v>3.0</v>
      </c>
      <c r="E47" s="36">
        <v>0.0</v>
      </c>
      <c r="F47" s="36">
        <v>0.0</v>
      </c>
      <c r="G47" s="36"/>
      <c r="H47" s="22"/>
    </row>
    <row r="48" ht="22.5" customHeight="1">
      <c r="A48" s="24">
        <v>46258.0</v>
      </c>
      <c r="B48" s="34" t="s">
        <v>20</v>
      </c>
      <c r="C48" s="34" t="s">
        <v>64</v>
      </c>
      <c r="D48" s="36">
        <v>25.0</v>
      </c>
      <c r="E48" s="36">
        <v>10.0</v>
      </c>
      <c r="F48" s="36">
        <v>1.0</v>
      </c>
      <c r="G48" s="36"/>
      <c r="H48" s="22"/>
    </row>
    <row r="49" ht="22.5" customHeight="1">
      <c r="A49" s="24">
        <v>46259.0</v>
      </c>
      <c r="B49" s="34" t="s">
        <v>20</v>
      </c>
      <c r="C49" s="34" t="s">
        <v>69</v>
      </c>
      <c r="D49" s="36">
        <v>12.0</v>
      </c>
      <c r="E49" s="36">
        <v>7.0</v>
      </c>
      <c r="F49" s="36">
        <v>0.0</v>
      </c>
      <c r="G49" s="63" t="s">
        <v>70</v>
      </c>
      <c r="H49" s="22"/>
    </row>
    <row r="50" ht="22.5" customHeight="1">
      <c r="A50" s="24">
        <v>46259.0</v>
      </c>
      <c r="B50" s="34" t="s">
        <v>20</v>
      </c>
      <c r="C50" s="34" t="s">
        <v>64</v>
      </c>
      <c r="D50" s="36">
        <v>12.0</v>
      </c>
      <c r="E50" s="36">
        <v>6.0</v>
      </c>
      <c r="F50" s="36">
        <v>0.0</v>
      </c>
      <c r="G50" s="36"/>
      <c r="H50" s="22"/>
    </row>
    <row r="51" ht="22.5" customHeight="1">
      <c r="A51" s="24">
        <v>46259.0</v>
      </c>
      <c r="B51" s="34" t="s">
        <v>20</v>
      </c>
      <c r="C51" s="34" t="s">
        <v>51</v>
      </c>
      <c r="D51" s="36">
        <v>2.0</v>
      </c>
      <c r="E51" s="36">
        <v>2.0</v>
      </c>
      <c r="F51" s="36">
        <v>0.0</v>
      </c>
      <c r="G51" s="36"/>
      <c r="H51" s="22"/>
    </row>
    <row r="52" ht="22.5" customHeight="1">
      <c r="A52" s="24">
        <v>46260.0</v>
      </c>
      <c r="B52" s="34" t="s">
        <v>20</v>
      </c>
      <c r="C52" s="34" t="s">
        <v>69</v>
      </c>
      <c r="D52" s="36">
        <v>14.0</v>
      </c>
      <c r="E52" s="36">
        <v>11.0</v>
      </c>
      <c r="F52" s="36">
        <v>0.0</v>
      </c>
      <c r="G52" s="36"/>
      <c r="H52" s="22" t="s">
        <v>71</v>
      </c>
    </row>
    <row r="53" ht="22.5" customHeight="1">
      <c r="A53" s="24">
        <v>46260.0</v>
      </c>
      <c r="B53" s="34" t="s">
        <v>20</v>
      </c>
      <c r="C53" s="34" t="s">
        <v>72</v>
      </c>
      <c r="D53" s="36">
        <v>13.0</v>
      </c>
      <c r="E53" s="36">
        <v>4.0</v>
      </c>
      <c r="F53" s="36">
        <v>0.0</v>
      </c>
      <c r="G53" s="63" t="s">
        <v>73</v>
      </c>
      <c r="H53" s="22"/>
    </row>
    <row r="54" ht="22.5" customHeight="1">
      <c r="A54" s="24">
        <v>46261.0</v>
      </c>
      <c r="B54" s="34" t="s">
        <v>20</v>
      </c>
      <c r="C54" s="34" t="s">
        <v>69</v>
      </c>
      <c r="D54" s="36">
        <v>7.0</v>
      </c>
      <c r="E54" s="36">
        <v>5.0</v>
      </c>
      <c r="F54" s="36">
        <v>0.0</v>
      </c>
      <c r="G54" s="36"/>
      <c r="H54" s="22"/>
    </row>
    <row r="55" ht="22.5" customHeight="1">
      <c r="A55" s="24">
        <v>46261.0</v>
      </c>
      <c r="B55" s="34" t="s">
        <v>20</v>
      </c>
      <c r="C55" s="34" t="s">
        <v>72</v>
      </c>
      <c r="D55" s="36">
        <v>13.0</v>
      </c>
      <c r="E55" s="36">
        <v>5.0</v>
      </c>
      <c r="F55" s="36">
        <v>1.0</v>
      </c>
      <c r="G55" s="36"/>
      <c r="H55" s="22"/>
    </row>
    <row r="56" ht="22.5" customHeight="1">
      <c r="A56" s="24">
        <v>46262.0</v>
      </c>
      <c r="B56" s="34" t="s">
        <v>20</v>
      </c>
      <c r="C56" s="34" t="s">
        <v>74</v>
      </c>
      <c r="D56" s="36">
        <v>31.0</v>
      </c>
      <c r="E56" s="36">
        <v>15.0</v>
      </c>
      <c r="F56" s="36">
        <v>1.0</v>
      </c>
      <c r="G56" s="36"/>
      <c r="H56" s="22"/>
    </row>
    <row r="57" ht="22.5" customHeight="1">
      <c r="A57" s="24">
        <v>46265.0</v>
      </c>
      <c r="B57" s="34" t="s">
        <v>20</v>
      </c>
      <c r="C57" s="34" t="s">
        <v>74</v>
      </c>
      <c r="D57" s="36">
        <v>7.0</v>
      </c>
      <c r="E57" s="36">
        <v>2.0</v>
      </c>
      <c r="F57" s="36">
        <v>0.0</v>
      </c>
      <c r="G57" s="36"/>
      <c r="H57" s="22"/>
    </row>
    <row r="58" ht="22.5" customHeight="1">
      <c r="A58" s="24">
        <v>46266.0</v>
      </c>
      <c r="B58" s="34" t="s">
        <v>20</v>
      </c>
      <c r="C58" s="34" t="s">
        <v>74</v>
      </c>
      <c r="D58" s="36">
        <v>31.0</v>
      </c>
      <c r="E58" s="36">
        <v>14.0</v>
      </c>
      <c r="F58" s="36">
        <v>1.0</v>
      </c>
      <c r="G58" s="36"/>
      <c r="H58" s="22"/>
    </row>
    <row r="59" ht="22.5" customHeight="1">
      <c r="A59" s="24">
        <v>46267.0</v>
      </c>
      <c r="B59" s="34" t="s">
        <v>20</v>
      </c>
      <c r="C59" s="34" t="s">
        <v>74</v>
      </c>
      <c r="D59" s="36">
        <v>40.0</v>
      </c>
      <c r="E59" s="36">
        <v>21.0</v>
      </c>
      <c r="F59" s="36">
        <v>4.0</v>
      </c>
      <c r="G59" s="36"/>
      <c r="H59" s="22"/>
    </row>
    <row r="60" ht="22.5" customHeight="1">
      <c r="A60" s="24">
        <v>46268.0</v>
      </c>
      <c r="B60" s="34" t="s">
        <v>20</v>
      </c>
      <c r="C60" s="34" t="s">
        <v>74</v>
      </c>
      <c r="D60" s="36">
        <v>123.0</v>
      </c>
      <c r="E60" s="36">
        <v>89.0</v>
      </c>
      <c r="F60" s="36">
        <v>8.0</v>
      </c>
      <c r="G60" s="36"/>
      <c r="H60" s="22"/>
    </row>
    <row r="61" ht="22.5" customHeight="1">
      <c r="A61" s="24">
        <v>46269.0</v>
      </c>
      <c r="B61" s="34" t="s">
        <v>20</v>
      </c>
      <c r="C61" s="34" t="s">
        <v>74</v>
      </c>
      <c r="D61" s="36">
        <v>75.0</v>
      </c>
      <c r="E61" s="36">
        <v>52.0</v>
      </c>
      <c r="F61" s="36">
        <v>3.0</v>
      </c>
      <c r="G61" s="36"/>
      <c r="H61" s="22"/>
    </row>
    <row r="62" ht="22.5" customHeight="1">
      <c r="A62" s="24"/>
      <c r="B62" s="34"/>
      <c r="C62" s="34"/>
      <c r="D62" s="36"/>
      <c r="E62" s="36"/>
      <c r="F62" s="36"/>
      <c r="G62" s="36"/>
      <c r="H62" s="22"/>
    </row>
    <row r="63" ht="22.5" customHeight="1">
      <c r="A63" s="24"/>
      <c r="B63" s="34"/>
      <c r="C63" s="34"/>
      <c r="D63" s="36"/>
      <c r="E63" s="36"/>
      <c r="F63" s="36"/>
      <c r="G63" s="36"/>
      <c r="H63" s="22"/>
    </row>
    <row r="64" ht="22.5" customHeight="1">
      <c r="A64" s="24"/>
      <c r="B64" s="34"/>
      <c r="C64" s="34"/>
      <c r="D64" s="36"/>
      <c r="E64" s="36"/>
      <c r="F64" s="36"/>
      <c r="G64" s="36"/>
      <c r="H64" s="22"/>
    </row>
    <row r="65" ht="22.5" customHeight="1">
      <c r="A65" s="24"/>
      <c r="B65" s="34"/>
      <c r="C65" s="34"/>
      <c r="D65" s="36"/>
      <c r="E65" s="36"/>
      <c r="F65" s="36"/>
      <c r="G65" s="36"/>
      <c r="H65" s="22"/>
    </row>
    <row r="66" ht="22.5" customHeight="1">
      <c r="A66" s="24"/>
      <c r="B66" s="34"/>
      <c r="C66" s="34"/>
      <c r="D66" s="36"/>
      <c r="E66" s="36"/>
      <c r="F66" s="36"/>
      <c r="G66" s="36"/>
      <c r="H66" s="22"/>
    </row>
    <row r="67" ht="22.5" customHeight="1">
      <c r="A67" s="24"/>
      <c r="B67" s="34"/>
      <c r="C67" s="34"/>
      <c r="D67" s="36"/>
      <c r="E67" s="36"/>
      <c r="F67" s="36"/>
      <c r="G67" s="36"/>
      <c r="H67" s="22"/>
    </row>
    <row r="68" ht="22.5" customHeight="1">
      <c r="A68" s="24"/>
      <c r="B68" s="34"/>
      <c r="C68" s="34"/>
      <c r="D68" s="36"/>
      <c r="E68" s="36"/>
      <c r="F68" s="36"/>
      <c r="G68" s="36"/>
      <c r="H68" s="22"/>
    </row>
    <row r="69" ht="22.5" customHeight="1">
      <c r="A69" s="24"/>
      <c r="B69" s="34"/>
      <c r="C69" s="34"/>
      <c r="D69" s="36"/>
      <c r="E69" s="36"/>
      <c r="F69" s="36"/>
      <c r="G69" s="36"/>
      <c r="H69" s="22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  <row r="1001">
      <c r="A1001" s="58"/>
    </row>
    <row r="1002">
      <c r="A1002" s="58"/>
    </row>
    <row r="1003">
      <c r="A1003" s="58"/>
    </row>
    <row r="1004">
      <c r="A1004" s="58"/>
    </row>
    <row r="1005">
      <c r="A1005" s="58"/>
    </row>
    <row r="1006">
      <c r="A1006" s="58"/>
    </row>
    <row r="1007">
      <c r="A1007" s="58"/>
    </row>
    <row r="1008">
      <c r="A1008" s="58"/>
    </row>
    <row r="1009">
      <c r="A1009" s="58"/>
    </row>
    <row r="1010">
      <c r="A1010" s="58"/>
    </row>
    <row r="1011">
      <c r="A1011" s="58"/>
    </row>
    <row r="1012">
      <c r="A1012" s="58"/>
    </row>
    <row r="1013">
      <c r="A1013" s="58"/>
    </row>
    <row r="1014">
      <c r="A1014" s="58"/>
    </row>
    <row r="1015">
      <c r="A1015" s="58"/>
    </row>
    <row r="1016">
      <c r="A1016" s="58"/>
    </row>
    <row r="1017">
      <c r="A1017" s="5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20.75"/>
    <col customWidth="1" min="4" max="4" width="17.88"/>
    <col customWidth="1" min="8" max="8" width="12.13"/>
    <col customWidth="1" min="9" max="9" width="22.25"/>
    <col customWidth="1" min="10" max="10" width="15.13"/>
  </cols>
  <sheetData>
    <row r="1" ht="22.5" customHeight="1">
      <c r="A1" s="1" t="s">
        <v>0</v>
      </c>
      <c r="B1" s="1" t="s">
        <v>2</v>
      </c>
      <c r="C1" s="1" t="s">
        <v>1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9</v>
      </c>
      <c r="J1" s="1" t="s">
        <v>10</v>
      </c>
    </row>
    <row r="2" ht="22.5" customHeight="1">
      <c r="A2" s="5" t="s">
        <v>12</v>
      </c>
      <c r="B2" s="7" t="s">
        <v>14</v>
      </c>
      <c r="C2" s="7" t="s">
        <v>17</v>
      </c>
      <c r="D2" s="9">
        <v>5.0</v>
      </c>
      <c r="E2" s="10">
        <v>3.0</v>
      </c>
      <c r="F2" s="10">
        <v>2.0</v>
      </c>
      <c r="G2" s="12">
        <v>0.0</v>
      </c>
      <c r="H2" s="13">
        <v>0.0</v>
      </c>
      <c r="I2" s="9">
        <v>1.0</v>
      </c>
    </row>
    <row r="3" ht="22.5" customHeight="1">
      <c r="A3" s="15">
        <v>46232.0</v>
      </c>
      <c r="B3" s="7" t="s">
        <v>14</v>
      </c>
      <c r="C3" s="16" t="s">
        <v>26</v>
      </c>
      <c r="D3" s="9">
        <v>4.0</v>
      </c>
      <c r="E3" s="19">
        <v>4.0</v>
      </c>
      <c r="F3" s="19">
        <v>4.0</v>
      </c>
      <c r="G3" s="19">
        <v>0.0</v>
      </c>
      <c r="H3" s="22">
        <v>0.0</v>
      </c>
    </row>
    <row r="4" ht="22.5" customHeight="1">
      <c r="A4" s="15">
        <v>46232.0</v>
      </c>
      <c r="B4" s="7" t="s">
        <v>14</v>
      </c>
      <c r="C4" s="16" t="s">
        <v>17</v>
      </c>
      <c r="D4" s="9">
        <v>5.0</v>
      </c>
      <c r="E4" s="19">
        <v>5.0</v>
      </c>
      <c r="F4" s="19">
        <v>5.0</v>
      </c>
      <c r="G4" s="19">
        <v>0.0</v>
      </c>
      <c r="H4" s="22"/>
    </row>
    <row r="5" ht="22.5" customHeight="1">
      <c r="A5" s="30">
        <v>46233.0</v>
      </c>
      <c r="B5" s="7" t="s">
        <v>14</v>
      </c>
      <c r="C5" s="16" t="s">
        <v>17</v>
      </c>
      <c r="D5" s="9">
        <v>6.0</v>
      </c>
      <c r="E5" s="19">
        <v>6.0</v>
      </c>
      <c r="F5" s="19">
        <v>6.0</v>
      </c>
      <c r="G5" s="19">
        <v>1.0</v>
      </c>
      <c r="H5" s="22">
        <v>0.0</v>
      </c>
    </row>
    <row r="6" ht="22.5" customHeight="1">
      <c r="A6" s="30">
        <v>46234.0</v>
      </c>
      <c r="B6" s="7" t="s">
        <v>14</v>
      </c>
      <c r="C6" s="16" t="s">
        <v>17</v>
      </c>
      <c r="D6" s="19">
        <v>21.0</v>
      </c>
      <c r="E6" s="19">
        <v>11.0</v>
      </c>
      <c r="F6" s="19"/>
      <c r="G6" s="19"/>
      <c r="H6" s="22"/>
    </row>
    <row r="7" ht="22.5" customHeight="1">
      <c r="A7" s="30">
        <v>46237.0</v>
      </c>
      <c r="B7" s="16" t="s">
        <v>32</v>
      </c>
      <c r="C7" s="34" t="s">
        <v>17</v>
      </c>
      <c r="D7" s="36">
        <v>13.0</v>
      </c>
      <c r="E7" s="36">
        <v>5.0</v>
      </c>
      <c r="F7" s="37"/>
      <c r="G7" s="37"/>
      <c r="H7" s="38"/>
      <c r="I7" s="39"/>
      <c r="J7" s="39"/>
    </row>
    <row r="8" ht="22.5" customHeight="1">
      <c r="A8" s="30">
        <v>46238.0</v>
      </c>
      <c r="B8" s="16" t="s">
        <v>32</v>
      </c>
      <c r="C8" s="34" t="s">
        <v>17</v>
      </c>
      <c r="D8" s="36">
        <v>24.0</v>
      </c>
      <c r="E8" s="36">
        <v>14.0</v>
      </c>
      <c r="F8" s="37"/>
      <c r="G8" s="37"/>
      <c r="H8" s="38"/>
      <c r="I8" s="39"/>
      <c r="J8" s="39"/>
    </row>
    <row r="9" ht="22.5" customHeight="1">
      <c r="A9" s="30">
        <v>46239.0</v>
      </c>
      <c r="B9" s="16" t="s">
        <v>32</v>
      </c>
      <c r="C9" s="34" t="s">
        <v>17</v>
      </c>
      <c r="D9" s="36">
        <v>22.0</v>
      </c>
      <c r="E9" s="36">
        <v>12.0</v>
      </c>
      <c r="F9" s="37"/>
      <c r="G9" s="37"/>
      <c r="H9" s="38"/>
      <c r="I9" s="39"/>
      <c r="J9" s="39"/>
    </row>
    <row r="10" ht="22.5" customHeight="1">
      <c r="A10" s="30">
        <v>46240.0</v>
      </c>
      <c r="B10" s="16" t="s">
        <v>32</v>
      </c>
      <c r="C10" s="34" t="s">
        <v>17</v>
      </c>
      <c r="D10" s="36">
        <v>22.0</v>
      </c>
      <c r="E10" s="36">
        <v>14.0</v>
      </c>
      <c r="F10" s="37"/>
      <c r="G10" s="37"/>
      <c r="H10" s="45">
        <v>1.0</v>
      </c>
      <c r="I10" s="39"/>
      <c r="J10" s="39"/>
    </row>
    <row r="11" ht="22.5" customHeight="1">
      <c r="A11" s="30">
        <v>46241.0</v>
      </c>
      <c r="B11" s="16" t="s">
        <v>32</v>
      </c>
      <c r="C11" s="34" t="s">
        <v>17</v>
      </c>
      <c r="D11" s="36">
        <v>31.0</v>
      </c>
      <c r="E11" s="9">
        <v>11.0</v>
      </c>
      <c r="F11" s="37"/>
      <c r="G11" s="37"/>
      <c r="H11" s="45"/>
      <c r="I11" s="39"/>
      <c r="J11" s="39"/>
    </row>
    <row r="12" ht="22.5" customHeight="1">
      <c r="A12" s="30">
        <v>46244.0</v>
      </c>
      <c r="B12" s="16" t="s">
        <v>32</v>
      </c>
      <c r="C12" s="34" t="s">
        <v>17</v>
      </c>
      <c r="D12" s="36">
        <v>16.0</v>
      </c>
      <c r="E12" s="47">
        <v>5.0</v>
      </c>
      <c r="F12" s="37"/>
      <c r="G12" s="37"/>
      <c r="H12" s="45"/>
      <c r="I12" s="39"/>
      <c r="J12" s="39"/>
    </row>
    <row r="13" ht="22.5" customHeight="1">
      <c r="A13" s="30">
        <v>46245.0</v>
      </c>
      <c r="B13" s="16" t="s">
        <v>32</v>
      </c>
      <c r="C13" s="34" t="s">
        <v>17</v>
      </c>
      <c r="D13" s="36">
        <v>21.0</v>
      </c>
      <c r="E13" s="47">
        <v>8.0</v>
      </c>
      <c r="F13" s="37"/>
      <c r="G13" s="37"/>
      <c r="H13" s="45"/>
      <c r="I13" s="39"/>
      <c r="J13" s="39"/>
    </row>
    <row r="14" ht="22.5" customHeight="1">
      <c r="A14" s="30">
        <v>46246.0</v>
      </c>
      <c r="B14" s="16" t="s">
        <v>32</v>
      </c>
      <c r="C14" s="34" t="s">
        <v>48</v>
      </c>
      <c r="D14" s="36">
        <v>18.0</v>
      </c>
      <c r="E14" s="47">
        <v>6.0</v>
      </c>
      <c r="F14" s="37"/>
      <c r="G14" s="37"/>
      <c r="H14" s="45"/>
      <c r="I14" s="39"/>
      <c r="J14" s="39"/>
    </row>
    <row r="15" ht="22.5" customHeight="1">
      <c r="A15" s="30">
        <v>46246.0</v>
      </c>
      <c r="B15" s="16" t="s">
        <v>32</v>
      </c>
      <c r="C15" s="34" t="s">
        <v>51</v>
      </c>
      <c r="D15" s="36">
        <v>5.0</v>
      </c>
      <c r="E15" s="47">
        <v>4.0</v>
      </c>
      <c r="F15" s="37"/>
      <c r="G15" s="37"/>
      <c r="H15" s="45"/>
      <c r="I15" s="39"/>
      <c r="J15" s="39"/>
    </row>
    <row r="16" ht="22.5" customHeight="1">
      <c r="A16" s="30">
        <v>46247.0</v>
      </c>
      <c r="B16" s="16" t="s">
        <v>32</v>
      </c>
      <c r="C16" s="34" t="s">
        <v>48</v>
      </c>
      <c r="D16" s="36">
        <v>18.0</v>
      </c>
      <c r="E16" s="47">
        <v>5.0</v>
      </c>
      <c r="F16" s="37"/>
      <c r="G16" s="37"/>
      <c r="H16" s="45"/>
      <c r="I16" s="39"/>
      <c r="J16" s="39"/>
    </row>
    <row r="17" ht="22.5" customHeight="1">
      <c r="A17" s="30">
        <v>46247.0</v>
      </c>
      <c r="B17" s="16" t="s">
        <v>32</v>
      </c>
      <c r="C17" s="34" t="s">
        <v>51</v>
      </c>
      <c r="D17" s="36">
        <v>9.0</v>
      </c>
      <c r="E17" s="47">
        <v>6.0</v>
      </c>
      <c r="F17" s="37"/>
      <c r="G17" s="37"/>
      <c r="H17" s="45"/>
      <c r="I17" s="39"/>
      <c r="J17" s="39"/>
    </row>
    <row r="18" ht="22.5" customHeight="1">
      <c r="A18" s="30">
        <v>46248.0</v>
      </c>
      <c r="B18" s="16" t="s">
        <v>32</v>
      </c>
      <c r="C18" s="34" t="s">
        <v>48</v>
      </c>
      <c r="D18" s="36">
        <v>12.0</v>
      </c>
      <c r="E18" s="47">
        <v>5.0</v>
      </c>
      <c r="F18" s="37"/>
      <c r="G18" s="37"/>
      <c r="H18" s="45"/>
      <c r="I18" s="39"/>
      <c r="J18" s="39"/>
    </row>
    <row r="19" ht="22.5" customHeight="1">
      <c r="A19" s="30">
        <v>46248.0</v>
      </c>
      <c r="B19" s="16" t="s">
        <v>32</v>
      </c>
      <c r="C19" s="34" t="s">
        <v>51</v>
      </c>
      <c r="D19" s="36">
        <v>11.0</v>
      </c>
      <c r="E19" s="47">
        <v>5.0</v>
      </c>
      <c r="F19" s="37"/>
      <c r="G19" s="37"/>
      <c r="H19" s="45"/>
      <c r="I19" s="39"/>
      <c r="J19" s="39"/>
    </row>
    <row r="20" ht="22.5" customHeight="1">
      <c r="A20" s="30">
        <v>46248.0</v>
      </c>
      <c r="B20" s="16" t="s">
        <v>32</v>
      </c>
      <c r="C20" s="34" t="s">
        <v>55</v>
      </c>
      <c r="D20" s="36">
        <v>1.0</v>
      </c>
      <c r="E20" s="47">
        <v>1.0</v>
      </c>
      <c r="F20" s="37"/>
      <c r="G20" s="37"/>
      <c r="H20" s="45"/>
      <c r="I20" s="39"/>
      <c r="J20" s="39"/>
    </row>
    <row r="21" ht="22.5" customHeight="1">
      <c r="A21" s="30">
        <v>46251.0</v>
      </c>
      <c r="B21" s="16" t="s">
        <v>32</v>
      </c>
      <c r="C21" s="34" t="s">
        <v>48</v>
      </c>
      <c r="D21" s="36">
        <v>13.0</v>
      </c>
      <c r="E21" s="47">
        <v>4.0</v>
      </c>
      <c r="F21" s="37"/>
      <c r="G21" s="37"/>
      <c r="H21" s="45"/>
      <c r="I21" s="39"/>
      <c r="J21" s="39"/>
    </row>
    <row r="22" ht="22.5" customHeight="1">
      <c r="A22" s="30">
        <v>46251.0</v>
      </c>
      <c r="B22" s="16" t="s">
        <v>32</v>
      </c>
      <c r="C22" s="34" t="s">
        <v>55</v>
      </c>
      <c r="D22" s="36">
        <v>7.0</v>
      </c>
      <c r="E22" s="47">
        <v>1.0</v>
      </c>
      <c r="F22" s="37"/>
      <c r="G22" s="37"/>
      <c r="H22" s="45"/>
      <c r="I22" s="39"/>
      <c r="J22" s="39"/>
    </row>
    <row r="23" ht="22.5" customHeight="1">
      <c r="A23" s="30">
        <v>46252.0</v>
      </c>
      <c r="B23" s="16" t="s">
        <v>32</v>
      </c>
      <c r="C23" s="34" t="s">
        <v>48</v>
      </c>
      <c r="D23" s="36">
        <v>17.0</v>
      </c>
      <c r="E23" s="47">
        <v>5.0</v>
      </c>
      <c r="F23" s="37"/>
      <c r="G23" s="37"/>
      <c r="H23" s="45"/>
      <c r="I23" s="39"/>
      <c r="J23" s="39"/>
    </row>
    <row r="24" ht="22.5" customHeight="1">
      <c r="A24" s="30">
        <v>46252.0</v>
      </c>
      <c r="B24" s="16" t="s">
        <v>32</v>
      </c>
      <c r="C24" s="34" t="s">
        <v>55</v>
      </c>
      <c r="D24" s="36">
        <v>4.0</v>
      </c>
      <c r="E24" s="47">
        <v>2.0</v>
      </c>
      <c r="F24" s="37"/>
      <c r="G24" s="37"/>
      <c r="H24" s="45"/>
      <c r="I24" s="39"/>
      <c r="J24" s="39"/>
    </row>
    <row r="25" ht="22.5" customHeight="1">
      <c r="A25" s="30">
        <v>46253.0</v>
      </c>
      <c r="B25" s="16" t="s">
        <v>32</v>
      </c>
      <c r="C25" s="34" t="s">
        <v>48</v>
      </c>
      <c r="D25" s="36">
        <v>4.0</v>
      </c>
      <c r="E25" s="47">
        <v>2.0</v>
      </c>
      <c r="F25" s="37"/>
      <c r="G25" s="37"/>
      <c r="H25" s="45"/>
      <c r="I25" s="39"/>
      <c r="J25" s="39"/>
    </row>
    <row r="26" ht="22.5" customHeight="1">
      <c r="A26" s="30">
        <v>46253.0</v>
      </c>
      <c r="B26" s="16" t="s">
        <v>32</v>
      </c>
      <c r="C26" s="34" t="s">
        <v>55</v>
      </c>
      <c r="D26" s="36">
        <v>17.0</v>
      </c>
      <c r="E26" s="47">
        <v>10.0</v>
      </c>
      <c r="F26" s="37"/>
      <c r="G26" s="37"/>
      <c r="H26" s="45"/>
      <c r="I26" s="39"/>
      <c r="J26" s="39"/>
    </row>
    <row r="27" ht="22.5" customHeight="1">
      <c r="A27" s="30">
        <v>46254.0</v>
      </c>
      <c r="B27" s="16" t="s">
        <v>32</v>
      </c>
      <c r="C27" s="34" t="s">
        <v>17</v>
      </c>
      <c r="D27" s="36">
        <v>8.0</v>
      </c>
      <c r="E27" s="47">
        <v>1.0</v>
      </c>
      <c r="F27" s="37"/>
      <c r="G27" s="37"/>
      <c r="H27" s="45"/>
      <c r="I27" s="39"/>
      <c r="J27" s="39"/>
    </row>
    <row r="28" ht="22.5" customHeight="1">
      <c r="A28" s="30">
        <v>46254.0</v>
      </c>
      <c r="B28" s="16" t="s">
        <v>32</v>
      </c>
      <c r="C28" s="34" t="s">
        <v>51</v>
      </c>
      <c r="D28" s="36">
        <v>15.0</v>
      </c>
      <c r="E28" s="47">
        <v>3.0</v>
      </c>
      <c r="F28" s="37"/>
      <c r="G28" s="37"/>
      <c r="H28" s="45"/>
      <c r="I28" s="39"/>
      <c r="J28" s="39"/>
    </row>
    <row r="29" ht="22.5" customHeight="1">
      <c r="A29" s="30">
        <v>46254.0</v>
      </c>
      <c r="B29" s="16" t="s">
        <v>32</v>
      </c>
      <c r="C29" s="34" t="s">
        <v>55</v>
      </c>
      <c r="D29" s="36">
        <v>10.0</v>
      </c>
      <c r="E29" s="47">
        <v>7.0</v>
      </c>
      <c r="F29" s="37"/>
      <c r="G29" s="37"/>
      <c r="H29" s="45"/>
      <c r="I29" s="39"/>
      <c r="J29" s="39"/>
    </row>
    <row r="30" ht="22.5" customHeight="1">
      <c r="A30" s="30">
        <v>46255.0</v>
      </c>
      <c r="B30" s="16" t="s">
        <v>32</v>
      </c>
      <c r="C30" s="34" t="s">
        <v>17</v>
      </c>
      <c r="D30" s="36">
        <v>13.0</v>
      </c>
      <c r="E30" s="47">
        <v>6.0</v>
      </c>
      <c r="F30" s="37"/>
      <c r="G30" s="37"/>
      <c r="H30" s="45"/>
      <c r="I30" s="39"/>
      <c r="J30" s="39"/>
    </row>
    <row r="31" ht="22.5" customHeight="1">
      <c r="A31" s="30">
        <v>46255.0</v>
      </c>
      <c r="B31" s="16" t="s">
        <v>32</v>
      </c>
      <c r="C31" s="34" t="s">
        <v>58</v>
      </c>
      <c r="D31" s="36">
        <v>12.0</v>
      </c>
      <c r="E31" s="47">
        <v>4.0</v>
      </c>
      <c r="F31" s="37"/>
      <c r="G31" s="37"/>
      <c r="H31" s="45"/>
      <c r="I31" s="39"/>
      <c r="J31" s="39"/>
    </row>
    <row r="32" ht="22.5" customHeight="1">
      <c r="A32" s="30">
        <v>46255.0</v>
      </c>
      <c r="B32" s="16" t="s">
        <v>32</v>
      </c>
      <c r="C32" s="34" t="s">
        <v>55</v>
      </c>
      <c r="D32" s="36">
        <v>2.0</v>
      </c>
      <c r="E32" s="47">
        <v>0.0</v>
      </c>
      <c r="F32" s="37"/>
      <c r="G32" s="37"/>
      <c r="H32" s="45"/>
      <c r="I32" s="39"/>
      <c r="J32" s="39"/>
    </row>
    <row r="33" ht="22.5" customHeight="1">
      <c r="A33" s="30">
        <v>46258.0</v>
      </c>
      <c r="B33" s="16" t="s">
        <v>32</v>
      </c>
      <c r="C33" s="34" t="s">
        <v>58</v>
      </c>
      <c r="D33" s="36">
        <v>12.0</v>
      </c>
      <c r="E33" s="47">
        <v>4.0</v>
      </c>
      <c r="F33" s="37"/>
      <c r="G33" s="37"/>
      <c r="H33" s="45"/>
      <c r="I33" s="39"/>
      <c r="J33" s="39"/>
    </row>
    <row r="34" ht="22.5" customHeight="1">
      <c r="A34" s="30">
        <v>46258.0</v>
      </c>
      <c r="B34" s="16" t="s">
        <v>32</v>
      </c>
      <c r="C34" s="34" t="s">
        <v>55</v>
      </c>
      <c r="D34" s="36">
        <v>8.0</v>
      </c>
      <c r="E34" s="47">
        <v>2.0</v>
      </c>
      <c r="F34" s="37"/>
      <c r="G34" s="37"/>
      <c r="H34" s="45"/>
      <c r="I34" s="39"/>
      <c r="J34" s="39"/>
    </row>
    <row r="35" ht="24.0" customHeight="1">
      <c r="A35" s="30">
        <v>46258.0</v>
      </c>
      <c r="B35" s="16" t="s">
        <v>32</v>
      </c>
      <c r="C35" s="34" t="s">
        <v>17</v>
      </c>
      <c r="D35" s="36">
        <v>9.0</v>
      </c>
      <c r="E35" s="47">
        <v>4.0</v>
      </c>
      <c r="F35" s="37"/>
      <c r="G35" s="37"/>
      <c r="H35" s="45"/>
      <c r="I35" s="39"/>
      <c r="J35" s="39"/>
    </row>
    <row r="36" ht="22.5" customHeight="1">
      <c r="A36" s="30">
        <v>46265.0</v>
      </c>
      <c r="B36" s="16" t="s">
        <v>32</v>
      </c>
      <c r="C36" s="34" t="s">
        <v>58</v>
      </c>
      <c r="D36" s="36">
        <v>17.0</v>
      </c>
      <c r="E36" s="47">
        <v>7.0</v>
      </c>
      <c r="F36" s="37"/>
      <c r="G36" s="37"/>
      <c r="H36" s="45"/>
      <c r="I36" s="39"/>
      <c r="J36" s="39"/>
    </row>
    <row r="37" ht="22.5" customHeight="1">
      <c r="A37" s="30">
        <v>46265.0</v>
      </c>
      <c r="B37" s="16" t="s">
        <v>32</v>
      </c>
      <c r="C37" s="34" t="s">
        <v>55</v>
      </c>
      <c r="D37" s="36">
        <v>3.0</v>
      </c>
      <c r="E37" s="47">
        <v>0.0</v>
      </c>
      <c r="F37" s="37"/>
      <c r="G37" s="37"/>
      <c r="H37" s="45"/>
      <c r="I37" s="39"/>
      <c r="J37" s="39"/>
    </row>
    <row r="38" ht="22.5" customHeight="1">
      <c r="A38" s="30">
        <v>46265.0</v>
      </c>
      <c r="B38" s="16" t="s">
        <v>32</v>
      </c>
      <c r="C38" s="34" t="s">
        <v>17</v>
      </c>
      <c r="D38" s="36">
        <v>1.0</v>
      </c>
      <c r="E38" s="47">
        <v>0.0</v>
      </c>
      <c r="F38" s="37"/>
      <c r="G38" s="37"/>
      <c r="H38" s="45"/>
      <c r="I38" s="39"/>
      <c r="J38" s="39"/>
    </row>
    <row r="39" ht="22.5" customHeight="1">
      <c r="A39" s="30">
        <v>46267.0</v>
      </c>
      <c r="B39" s="16" t="s">
        <v>32</v>
      </c>
      <c r="C39" s="34" t="s">
        <v>58</v>
      </c>
      <c r="D39" s="36">
        <v>1.0</v>
      </c>
      <c r="E39" s="47">
        <v>1.0</v>
      </c>
      <c r="F39" s="37"/>
      <c r="G39" s="37"/>
      <c r="H39" s="45"/>
      <c r="I39" s="39"/>
      <c r="J39" s="39"/>
    </row>
    <row r="40" ht="22.5" customHeight="1">
      <c r="A40" s="30">
        <v>46267.0</v>
      </c>
      <c r="B40" s="16" t="s">
        <v>32</v>
      </c>
      <c r="C40" s="34" t="s">
        <v>55</v>
      </c>
      <c r="D40" s="36">
        <v>1.0</v>
      </c>
      <c r="E40" s="47">
        <v>0.0</v>
      </c>
      <c r="F40" s="37"/>
      <c r="G40" s="37"/>
      <c r="H40" s="45"/>
      <c r="I40" s="39"/>
      <c r="J40" s="39"/>
    </row>
    <row r="41" ht="22.5" customHeight="1">
      <c r="A41" s="30">
        <v>46267.0</v>
      </c>
      <c r="B41" s="16" t="s">
        <v>32</v>
      </c>
      <c r="C41" s="34" t="s">
        <v>17</v>
      </c>
      <c r="D41" s="36">
        <v>2.0</v>
      </c>
      <c r="E41" s="47">
        <v>2.0</v>
      </c>
      <c r="F41" s="37"/>
      <c r="G41" s="37"/>
      <c r="H41" s="45"/>
      <c r="I41" s="39"/>
      <c r="J41" s="39"/>
    </row>
    <row r="42" ht="22.5" customHeight="1">
      <c r="A42" s="30">
        <v>46267.0</v>
      </c>
      <c r="B42" s="16" t="s">
        <v>32</v>
      </c>
      <c r="C42" s="34" t="s">
        <v>63</v>
      </c>
      <c r="D42" s="36">
        <v>9.0</v>
      </c>
      <c r="E42" s="47">
        <v>4.0</v>
      </c>
      <c r="F42" s="37"/>
      <c r="G42" s="37"/>
      <c r="H42" s="45"/>
      <c r="I42" s="39"/>
      <c r="J42" s="39"/>
    </row>
    <row r="43" ht="22.5" customHeight="1">
      <c r="A43" s="30">
        <v>46268.0</v>
      </c>
      <c r="B43" s="16" t="s">
        <v>32</v>
      </c>
      <c r="C43" s="34" t="s">
        <v>58</v>
      </c>
      <c r="D43" s="36">
        <v>10.0</v>
      </c>
      <c r="E43" s="47">
        <v>8.0</v>
      </c>
      <c r="F43" s="37"/>
      <c r="G43" s="37"/>
      <c r="H43" s="45"/>
      <c r="I43" s="39"/>
      <c r="J43" s="39"/>
    </row>
    <row r="44" ht="22.5" customHeight="1">
      <c r="A44" s="30">
        <v>46268.0</v>
      </c>
      <c r="B44" s="16" t="s">
        <v>32</v>
      </c>
      <c r="C44" s="34" t="s">
        <v>55</v>
      </c>
      <c r="D44" s="36"/>
      <c r="E44" s="47"/>
      <c r="F44" s="37"/>
      <c r="G44" s="37"/>
      <c r="H44" s="45"/>
      <c r="I44" s="39"/>
      <c r="J44" s="39"/>
    </row>
    <row r="45" ht="22.5" customHeight="1">
      <c r="A45" s="30">
        <v>46268.0</v>
      </c>
      <c r="B45" s="16" t="s">
        <v>32</v>
      </c>
      <c r="C45" s="34" t="s">
        <v>17</v>
      </c>
      <c r="D45" s="36">
        <v>2.0</v>
      </c>
      <c r="E45" s="47">
        <v>0.0</v>
      </c>
      <c r="F45" s="37"/>
      <c r="G45" s="37"/>
      <c r="H45" s="45"/>
      <c r="I45" s="39"/>
      <c r="J45" s="39"/>
    </row>
    <row r="46" ht="22.5" customHeight="1">
      <c r="A46" s="30">
        <v>46268.0</v>
      </c>
      <c r="B46" s="16" t="s">
        <v>32</v>
      </c>
      <c r="C46" s="34" t="s">
        <v>63</v>
      </c>
      <c r="D46" s="36">
        <v>8.0</v>
      </c>
      <c r="E46" s="47">
        <v>3.0</v>
      </c>
      <c r="F46" s="37"/>
      <c r="G46" s="37"/>
      <c r="H46" s="45"/>
      <c r="I46" s="39"/>
      <c r="J46" s="39"/>
    </row>
    <row r="47" ht="22.5" customHeight="1">
      <c r="A47" s="30">
        <v>46268.0</v>
      </c>
      <c r="B47" s="16" t="s">
        <v>32</v>
      </c>
      <c r="C47" s="34" t="s">
        <v>68</v>
      </c>
      <c r="D47" s="36"/>
      <c r="E47" s="47"/>
      <c r="F47" s="37"/>
      <c r="G47" s="37"/>
      <c r="H47" s="45"/>
      <c r="I47" s="39"/>
      <c r="J47" s="39"/>
    </row>
    <row r="48" ht="22.5" customHeight="1">
      <c r="A48" s="30">
        <v>46269.0</v>
      </c>
      <c r="B48" s="16" t="s">
        <v>32</v>
      </c>
      <c r="C48" s="34" t="s">
        <v>58</v>
      </c>
      <c r="D48" s="36">
        <v>1.0</v>
      </c>
      <c r="E48" s="47">
        <v>0.0</v>
      </c>
      <c r="F48" s="37"/>
      <c r="G48" s="37"/>
      <c r="H48" s="45"/>
      <c r="I48" s="39"/>
      <c r="J48" s="39"/>
    </row>
    <row r="49" ht="22.5" customHeight="1">
      <c r="A49" s="30">
        <v>46269.0</v>
      </c>
      <c r="B49" s="16" t="s">
        <v>32</v>
      </c>
      <c r="C49" s="34" t="s">
        <v>55</v>
      </c>
      <c r="D49" s="36">
        <v>2.0</v>
      </c>
      <c r="E49" s="47">
        <v>0.0</v>
      </c>
      <c r="F49" s="37"/>
      <c r="G49" s="37"/>
      <c r="H49" s="45"/>
      <c r="I49" s="39"/>
      <c r="J49" s="39"/>
    </row>
    <row r="50" ht="22.5" customHeight="1">
      <c r="A50" s="30">
        <v>46269.0</v>
      </c>
      <c r="B50" s="16" t="s">
        <v>32</v>
      </c>
      <c r="C50" s="34" t="s">
        <v>17</v>
      </c>
      <c r="D50" s="36">
        <v>2.0</v>
      </c>
      <c r="E50" s="47">
        <v>1.0</v>
      </c>
      <c r="F50" s="37"/>
      <c r="G50" s="37"/>
      <c r="H50" s="45"/>
      <c r="I50" s="39"/>
      <c r="J50" s="39"/>
    </row>
    <row r="51" ht="22.5" customHeight="1">
      <c r="A51" s="30">
        <v>46269.0</v>
      </c>
      <c r="B51" s="16" t="s">
        <v>32</v>
      </c>
      <c r="C51" s="34" t="s">
        <v>63</v>
      </c>
      <c r="D51" s="36">
        <v>1.0</v>
      </c>
      <c r="E51" s="47">
        <v>1.0</v>
      </c>
      <c r="F51" s="37"/>
      <c r="G51" s="37"/>
      <c r="H51" s="45"/>
      <c r="I51" s="39"/>
      <c r="J51" s="39"/>
    </row>
    <row r="52" ht="22.5" customHeight="1">
      <c r="A52" s="30">
        <v>46269.0</v>
      </c>
      <c r="B52" s="16" t="s">
        <v>32</v>
      </c>
      <c r="C52" s="34" t="s">
        <v>68</v>
      </c>
      <c r="D52" s="36">
        <v>54.0</v>
      </c>
      <c r="E52" s="47">
        <v>18.0</v>
      </c>
      <c r="F52" s="37"/>
      <c r="G52" s="37"/>
      <c r="H52" s="45"/>
      <c r="I52" s="39"/>
      <c r="J52" s="39"/>
    </row>
    <row r="53" ht="22.5" customHeight="1">
      <c r="A53" s="30">
        <v>46272.0</v>
      </c>
      <c r="B53" s="16" t="s">
        <v>32</v>
      </c>
      <c r="C53" s="34" t="s">
        <v>58</v>
      </c>
      <c r="D53" s="36"/>
      <c r="E53" s="47"/>
      <c r="F53" s="37"/>
      <c r="G53" s="37"/>
      <c r="H53" s="45"/>
      <c r="I53" s="39"/>
      <c r="J53" s="39"/>
    </row>
    <row r="54" ht="22.5" customHeight="1">
      <c r="A54" s="30">
        <v>46272.0</v>
      </c>
      <c r="B54" s="16" t="s">
        <v>32</v>
      </c>
      <c r="C54" s="34" t="s">
        <v>55</v>
      </c>
      <c r="D54" s="36"/>
      <c r="E54" s="47"/>
      <c r="F54" s="37"/>
      <c r="G54" s="37"/>
      <c r="H54" s="45"/>
      <c r="I54" s="39"/>
      <c r="J54" s="39"/>
    </row>
    <row r="55" ht="22.5" customHeight="1">
      <c r="A55" s="30">
        <v>46272.0</v>
      </c>
      <c r="B55" s="16" t="s">
        <v>32</v>
      </c>
      <c r="C55" s="34" t="s">
        <v>17</v>
      </c>
      <c r="D55" s="36">
        <v>1.0</v>
      </c>
      <c r="E55" s="47"/>
      <c r="F55" s="37"/>
      <c r="G55" s="37"/>
      <c r="H55" s="45"/>
      <c r="I55" s="39"/>
      <c r="J55" s="39"/>
    </row>
    <row r="56" ht="22.5" customHeight="1">
      <c r="A56" s="30">
        <v>46272.0</v>
      </c>
      <c r="B56" s="16" t="s">
        <v>32</v>
      </c>
      <c r="C56" s="34" t="s">
        <v>63</v>
      </c>
      <c r="D56" s="36"/>
      <c r="E56" s="47"/>
      <c r="F56" s="37"/>
      <c r="G56" s="37"/>
      <c r="H56" s="45"/>
      <c r="I56" s="39"/>
      <c r="J56" s="39"/>
    </row>
    <row r="57" ht="22.5" customHeight="1">
      <c r="A57" s="30">
        <v>46272.0</v>
      </c>
      <c r="B57" s="16" t="s">
        <v>32</v>
      </c>
      <c r="C57" s="34" t="s">
        <v>68</v>
      </c>
      <c r="D57" s="36">
        <v>23.0</v>
      </c>
      <c r="E57" s="47">
        <v>7.0</v>
      </c>
      <c r="F57" s="37"/>
      <c r="G57" s="37"/>
      <c r="H57" s="45"/>
      <c r="I57" s="39"/>
      <c r="J57" s="3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8" max="8" width="24.0"/>
    <col customWidth="1" min="9" max="9" width="25.5"/>
    <col customWidth="1" min="10" max="10" width="24.0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4" t="s">
        <v>8</v>
      </c>
      <c r="G1" s="4" t="s">
        <v>11</v>
      </c>
      <c r="H1" s="6" t="s">
        <v>13</v>
      </c>
      <c r="I1" s="6" t="s">
        <v>15</v>
      </c>
      <c r="J1" s="6" t="s">
        <v>18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2.5" customHeight="1">
      <c r="A2" s="14" t="s">
        <v>25</v>
      </c>
      <c r="B2" s="17">
        <v>91.0</v>
      </c>
      <c r="C2" s="17">
        <v>46.0</v>
      </c>
      <c r="D2" s="27">
        <f>5+5</f>
        <v>10</v>
      </c>
      <c r="E2" s="27">
        <f t="shared" ref="E2:F2" si="1">1+1</f>
        <v>2</v>
      </c>
      <c r="F2" s="27">
        <f t="shared" si="1"/>
        <v>2</v>
      </c>
      <c r="G2" s="27"/>
      <c r="H2" s="32">
        <f t="shared" ref="H2:H20" si="2">(D2/B2)*100%</f>
        <v>0.1098901099</v>
      </c>
      <c r="I2" s="35">
        <f t="shared" ref="I2:I4" si="3">(E2/D2)*100%</f>
        <v>0.2</v>
      </c>
      <c r="J2" s="40">
        <f t="shared" ref="J2:J4" si="4">(G2/F2)*100%</f>
        <v>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42" t="s">
        <v>37</v>
      </c>
      <c r="B3" s="12">
        <v>5.0</v>
      </c>
      <c r="C3" s="12">
        <v>3.0</v>
      </c>
      <c r="D3" s="12">
        <v>3.0</v>
      </c>
      <c r="E3" s="12">
        <v>2.0</v>
      </c>
      <c r="F3" s="12">
        <v>0.0</v>
      </c>
      <c r="G3" s="12"/>
      <c r="H3" s="43">
        <f t="shared" si="2"/>
        <v>0.6</v>
      </c>
      <c r="I3" s="44">
        <f t="shared" si="3"/>
        <v>0.6666666667</v>
      </c>
      <c r="J3" s="40" t="str">
        <f t="shared" si="4"/>
        <v>#DIV/0!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2.5" customHeight="1">
      <c r="A4" s="14" t="s">
        <v>43</v>
      </c>
      <c r="B4" s="27">
        <v>1.0</v>
      </c>
      <c r="C4" s="27">
        <v>1.0</v>
      </c>
      <c r="D4" s="27">
        <v>1.0</v>
      </c>
      <c r="E4" s="27">
        <v>1.0</v>
      </c>
      <c r="F4" s="27">
        <v>0.0</v>
      </c>
      <c r="G4" s="27"/>
      <c r="H4" s="32">
        <f t="shared" si="2"/>
        <v>1</v>
      </c>
      <c r="I4" s="35">
        <f t="shared" si="3"/>
        <v>1</v>
      </c>
      <c r="J4" s="40" t="str">
        <f t="shared" si="4"/>
        <v>#DIV/0!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48" t="s">
        <v>34</v>
      </c>
      <c r="B5" s="18">
        <v>125.0</v>
      </c>
      <c r="C5" s="18">
        <v>34.0</v>
      </c>
      <c r="D5" s="18">
        <v>2.0</v>
      </c>
      <c r="E5" s="18">
        <v>1.0</v>
      </c>
      <c r="F5" s="18">
        <v>1.0</v>
      </c>
      <c r="G5" s="50"/>
      <c r="H5" s="43">
        <f t="shared" si="2"/>
        <v>0.016</v>
      </c>
      <c r="I5" s="44">
        <f t="shared" ref="I5:J5" si="5">(F5/E5)*100%</f>
        <v>1</v>
      </c>
      <c r="J5" s="40">
        <f t="shared" si="5"/>
        <v>0</v>
      </c>
      <c r="K5" s="8"/>
      <c r="L5" s="51" t="s">
        <v>52</v>
      </c>
      <c r="M5" s="52"/>
      <c r="N5" s="5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53" t="s">
        <v>31</v>
      </c>
      <c r="B6" s="54">
        <f>11+68+'КС Юлиана'!D9+'КС Юлиана'!D10+'КС Соня'!D19+'КС Соня'!D20+'КС Соня'!D23</f>
        <v>120</v>
      </c>
      <c r="C6" s="54">
        <f>9+29+'КС Юлиана'!E9+'КС Юлиана'!E10+'КС Соня'!E19+'КС Соня'!E20+'КС Соня'!E23</f>
        <v>57</v>
      </c>
      <c r="D6" s="54">
        <f>4+3+1+3+'КС Юлиана'!F9+'КС Юлиана'!F10+'КС Соня'!E19+'КС Соня'!E20+'КС Соня'!E23</f>
        <v>25</v>
      </c>
      <c r="E6" s="54">
        <f>2+1+1+'КС Юлиана'!G9+'КС Юлиана'!G10+'КС Соня'!G20</f>
        <v>7</v>
      </c>
      <c r="F6" s="54">
        <v>4.0</v>
      </c>
      <c r="G6" s="55"/>
      <c r="H6" s="32">
        <f t="shared" si="2"/>
        <v>0.2083333333</v>
      </c>
      <c r="I6" s="35">
        <f t="shared" ref="I6:I20" si="6">(E6/D6)*100%</f>
        <v>0.28</v>
      </c>
      <c r="J6" s="40">
        <f t="shared" ref="J6:J20" si="7">(G6/F6)*100%</f>
        <v>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48" t="s">
        <v>17</v>
      </c>
      <c r="B7" s="18">
        <v>26.0</v>
      </c>
      <c r="C7" s="18">
        <v>19.0</v>
      </c>
      <c r="D7" s="18">
        <v>13.0</v>
      </c>
      <c r="E7" s="18">
        <v>1.0</v>
      </c>
      <c r="F7" s="18">
        <v>1.0</v>
      </c>
      <c r="G7" s="50"/>
      <c r="H7" s="43">
        <f t="shared" si="2"/>
        <v>0.5</v>
      </c>
      <c r="I7" s="44">
        <f t="shared" si="6"/>
        <v>0.07692307692</v>
      </c>
      <c r="J7" s="40">
        <f t="shared" si="7"/>
        <v>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53" t="s">
        <v>26</v>
      </c>
      <c r="B8" s="54">
        <v>4.0</v>
      </c>
      <c r="C8" s="54">
        <v>4.0</v>
      </c>
      <c r="D8" s="54">
        <v>4.0</v>
      </c>
      <c r="E8" s="54">
        <v>0.0</v>
      </c>
      <c r="F8" s="54">
        <v>0.0</v>
      </c>
      <c r="G8" s="57"/>
      <c r="H8" s="32">
        <f t="shared" si="2"/>
        <v>1</v>
      </c>
      <c r="I8" s="35">
        <f t="shared" si="6"/>
        <v>0</v>
      </c>
      <c r="J8" s="40" t="str">
        <f t="shared" si="7"/>
        <v>#DIV/0!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2.5" customHeight="1">
      <c r="A9" s="60"/>
      <c r="B9" s="61"/>
      <c r="C9" s="61"/>
      <c r="D9" s="61"/>
      <c r="E9" s="61"/>
      <c r="F9" s="61"/>
      <c r="G9" s="61"/>
      <c r="H9" s="43" t="str">
        <f t="shared" si="2"/>
        <v>#DIV/0!</v>
      </c>
      <c r="I9" s="44" t="str">
        <f t="shared" si="6"/>
        <v>#DIV/0!</v>
      </c>
      <c r="J9" s="40" t="str">
        <f t="shared" si="7"/>
        <v>#DIV/0!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2.5" customHeight="1">
      <c r="A10" s="62"/>
      <c r="B10" s="55"/>
      <c r="C10" s="55"/>
      <c r="D10" s="55"/>
      <c r="E10" s="55"/>
      <c r="F10" s="55"/>
      <c r="G10" s="55"/>
      <c r="H10" s="32" t="str">
        <f t="shared" si="2"/>
        <v>#DIV/0!</v>
      </c>
      <c r="I10" s="35" t="str">
        <f t="shared" si="6"/>
        <v>#DIV/0!</v>
      </c>
      <c r="J10" s="40" t="str">
        <f t="shared" si="7"/>
        <v>#DIV/0!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2.5" customHeight="1">
      <c r="A11" s="60"/>
      <c r="B11" s="61"/>
      <c r="C11" s="61"/>
      <c r="D11" s="61"/>
      <c r="E11" s="61"/>
      <c r="F11" s="61"/>
      <c r="G11" s="61"/>
      <c r="H11" s="43" t="str">
        <f t="shared" si="2"/>
        <v>#DIV/0!</v>
      </c>
      <c r="I11" s="44" t="str">
        <f t="shared" si="6"/>
        <v>#DIV/0!</v>
      </c>
      <c r="J11" s="40" t="str">
        <f t="shared" si="7"/>
        <v>#DIV/0!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2.5" customHeight="1">
      <c r="A12" s="62"/>
      <c r="B12" s="55"/>
      <c r="C12" s="55"/>
      <c r="D12" s="55"/>
      <c r="E12" s="55"/>
      <c r="F12" s="55"/>
      <c r="G12" s="55"/>
      <c r="H12" s="32" t="str">
        <f t="shared" si="2"/>
        <v>#DIV/0!</v>
      </c>
      <c r="I12" s="35" t="str">
        <f t="shared" si="6"/>
        <v>#DIV/0!</v>
      </c>
      <c r="J12" s="40" t="str">
        <f t="shared" si="7"/>
        <v>#DIV/0!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60"/>
      <c r="B13" s="61"/>
      <c r="C13" s="61"/>
      <c r="D13" s="61"/>
      <c r="E13" s="61"/>
      <c r="F13" s="61"/>
      <c r="G13" s="61"/>
      <c r="H13" s="43" t="str">
        <f t="shared" si="2"/>
        <v>#DIV/0!</v>
      </c>
      <c r="I13" s="44" t="str">
        <f t="shared" si="6"/>
        <v>#DIV/0!</v>
      </c>
      <c r="J13" s="40" t="str">
        <f t="shared" si="7"/>
        <v>#DIV/0!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62"/>
      <c r="B14" s="55"/>
      <c r="C14" s="55"/>
      <c r="D14" s="55"/>
      <c r="E14" s="55"/>
      <c r="F14" s="55"/>
      <c r="G14" s="55"/>
      <c r="H14" s="32" t="str">
        <f t="shared" si="2"/>
        <v>#DIV/0!</v>
      </c>
      <c r="I14" s="35" t="str">
        <f t="shared" si="6"/>
        <v>#DIV/0!</v>
      </c>
      <c r="J14" s="40" t="str">
        <f t="shared" si="7"/>
        <v>#DIV/0!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60"/>
      <c r="B15" s="61"/>
      <c r="C15" s="61"/>
      <c r="D15" s="61"/>
      <c r="E15" s="61"/>
      <c r="F15" s="61"/>
      <c r="G15" s="61"/>
      <c r="H15" s="43" t="str">
        <f t="shared" si="2"/>
        <v>#DIV/0!</v>
      </c>
      <c r="I15" s="44" t="str">
        <f t="shared" si="6"/>
        <v>#DIV/0!</v>
      </c>
      <c r="J15" s="40" t="str">
        <f t="shared" si="7"/>
        <v>#DIV/0!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62"/>
      <c r="B16" s="55"/>
      <c r="C16" s="55"/>
      <c r="D16" s="55"/>
      <c r="E16" s="55"/>
      <c r="F16" s="55"/>
      <c r="G16" s="55"/>
      <c r="H16" s="32" t="str">
        <f t="shared" si="2"/>
        <v>#DIV/0!</v>
      </c>
      <c r="I16" s="35" t="str">
        <f t="shared" si="6"/>
        <v>#DIV/0!</v>
      </c>
      <c r="J16" s="40" t="str">
        <f t="shared" si="7"/>
        <v>#DIV/0!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60"/>
      <c r="B17" s="61"/>
      <c r="C17" s="61"/>
      <c r="D17" s="61"/>
      <c r="E17" s="61"/>
      <c r="F17" s="61"/>
      <c r="G17" s="61"/>
      <c r="H17" s="43" t="str">
        <f t="shared" si="2"/>
        <v>#DIV/0!</v>
      </c>
      <c r="I17" s="44" t="str">
        <f t="shared" si="6"/>
        <v>#DIV/0!</v>
      </c>
      <c r="J17" s="40" t="str">
        <f t="shared" si="7"/>
        <v>#DIV/0!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2.5" customHeight="1">
      <c r="A18" s="62"/>
      <c r="B18" s="55"/>
      <c r="C18" s="55"/>
      <c r="D18" s="55"/>
      <c r="E18" s="55"/>
      <c r="F18" s="55"/>
      <c r="G18" s="55"/>
      <c r="H18" s="32" t="str">
        <f t="shared" si="2"/>
        <v>#DIV/0!</v>
      </c>
      <c r="I18" s="35" t="str">
        <f t="shared" si="6"/>
        <v>#DIV/0!</v>
      </c>
      <c r="J18" s="40" t="str">
        <f t="shared" si="7"/>
        <v>#DIV/0!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2.5" customHeight="1">
      <c r="A19" s="60"/>
      <c r="B19" s="61"/>
      <c r="C19" s="61"/>
      <c r="D19" s="61"/>
      <c r="E19" s="61"/>
      <c r="F19" s="61"/>
      <c r="G19" s="61"/>
      <c r="H19" s="43" t="str">
        <f t="shared" si="2"/>
        <v>#DIV/0!</v>
      </c>
      <c r="I19" s="44" t="str">
        <f t="shared" si="6"/>
        <v>#DIV/0!</v>
      </c>
      <c r="J19" s="40" t="str">
        <f t="shared" si="7"/>
        <v>#DIV/0!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2.5" customHeight="1">
      <c r="A20" s="67"/>
      <c r="B20" s="68"/>
      <c r="C20" s="68"/>
      <c r="D20" s="68"/>
      <c r="E20" s="68"/>
      <c r="F20" s="68"/>
      <c r="G20" s="68"/>
      <c r="H20" s="69" t="str">
        <f t="shared" si="2"/>
        <v>#DIV/0!</v>
      </c>
      <c r="I20" s="70" t="str">
        <f t="shared" si="6"/>
        <v>#DIV/0!</v>
      </c>
      <c r="J20" s="40" t="str">
        <f t="shared" si="7"/>
        <v>#DIV/0!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71"/>
      <c r="I21" s="72"/>
      <c r="J21" s="7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71"/>
      <c r="I22" s="72"/>
      <c r="J22" s="7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71"/>
      <c r="I23" s="72"/>
      <c r="J23" s="7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71"/>
      <c r="I24" s="72"/>
      <c r="J24" s="7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71"/>
      <c r="I25" s="72"/>
      <c r="J25" s="7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71"/>
      <c r="I26" s="72"/>
      <c r="J26" s="7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71"/>
      <c r="I27" s="72"/>
      <c r="J27" s="7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71"/>
      <c r="I28" s="72"/>
      <c r="J28" s="7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71"/>
      <c r="I29" s="72"/>
      <c r="J29" s="7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71"/>
      <c r="I30" s="72"/>
      <c r="J30" s="7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71"/>
      <c r="I31" s="72"/>
      <c r="J31" s="7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71"/>
      <c r="I32" s="72"/>
      <c r="J32" s="7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71"/>
      <c r="I33" s="72"/>
      <c r="J33" s="7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71"/>
      <c r="I34" s="72"/>
      <c r="J34" s="7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71"/>
      <c r="I35" s="72"/>
      <c r="J35" s="7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71"/>
      <c r="I36" s="72"/>
      <c r="J36" s="7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71"/>
      <c r="I37" s="72"/>
      <c r="J37" s="7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71"/>
      <c r="I38" s="72"/>
      <c r="J38" s="7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71"/>
      <c r="I39" s="72"/>
      <c r="J39" s="7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71"/>
      <c r="I40" s="72"/>
      <c r="J40" s="7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71"/>
      <c r="I41" s="72"/>
      <c r="J41" s="7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71"/>
      <c r="I42" s="72"/>
      <c r="J42" s="7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71"/>
      <c r="I43" s="72"/>
      <c r="J43" s="7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71"/>
      <c r="I44" s="72"/>
      <c r="J44" s="7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71"/>
      <c r="I45" s="72"/>
      <c r="J45" s="7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71"/>
      <c r="I46" s="72"/>
      <c r="J46" s="7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71"/>
      <c r="I47" s="72"/>
      <c r="J47" s="7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71"/>
      <c r="I48" s="72"/>
      <c r="J48" s="7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71"/>
      <c r="I49" s="72"/>
      <c r="J49" s="7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71"/>
      <c r="I50" s="72"/>
      <c r="J50" s="7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71"/>
      <c r="I51" s="72"/>
      <c r="J51" s="7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71"/>
      <c r="I52" s="72"/>
      <c r="J52" s="7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71"/>
      <c r="I53" s="72"/>
      <c r="J53" s="7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71"/>
      <c r="I54" s="72"/>
      <c r="J54" s="7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71"/>
      <c r="I55" s="72"/>
      <c r="J55" s="7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71"/>
      <c r="I56" s="72"/>
      <c r="J56" s="7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71"/>
      <c r="I57" s="72"/>
      <c r="J57" s="7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71"/>
      <c r="I58" s="72"/>
      <c r="J58" s="7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71"/>
      <c r="I59" s="72"/>
      <c r="J59" s="7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71"/>
      <c r="I60" s="72"/>
      <c r="J60" s="7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71"/>
      <c r="I61" s="72"/>
      <c r="J61" s="7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71"/>
      <c r="I62" s="72"/>
      <c r="J62" s="7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71"/>
      <c r="I63" s="72"/>
      <c r="J63" s="7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71"/>
      <c r="I64" s="72"/>
      <c r="J64" s="7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71"/>
      <c r="I65" s="72"/>
      <c r="J65" s="7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71"/>
      <c r="I66" s="72"/>
      <c r="J66" s="7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71"/>
      <c r="I67" s="72"/>
      <c r="J67" s="7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71"/>
      <c r="I68" s="72"/>
      <c r="J68" s="7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71"/>
      <c r="I69" s="72"/>
      <c r="J69" s="7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71"/>
      <c r="I70" s="72"/>
      <c r="J70" s="7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71"/>
      <c r="I71" s="72"/>
      <c r="J71" s="7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71"/>
      <c r="I72" s="72"/>
      <c r="J72" s="7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71"/>
      <c r="I73" s="72"/>
      <c r="J73" s="7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71"/>
      <c r="I74" s="72"/>
      <c r="J74" s="7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71"/>
      <c r="I75" s="72"/>
      <c r="J75" s="7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71"/>
      <c r="I76" s="72"/>
      <c r="J76" s="7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71"/>
      <c r="I77" s="72"/>
      <c r="J77" s="7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71"/>
      <c r="I78" s="72"/>
      <c r="J78" s="7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71"/>
      <c r="I79" s="72"/>
      <c r="J79" s="7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71"/>
      <c r="I80" s="72"/>
      <c r="J80" s="7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71"/>
      <c r="I81" s="72"/>
      <c r="J81" s="7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71"/>
      <c r="I82" s="72"/>
      <c r="J82" s="7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71"/>
      <c r="I83" s="72"/>
      <c r="J83" s="7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71"/>
      <c r="I84" s="72"/>
      <c r="J84" s="7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71"/>
      <c r="I85" s="72"/>
      <c r="J85" s="7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71"/>
      <c r="I86" s="72"/>
      <c r="J86" s="7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71"/>
      <c r="I87" s="72"/>
      <c r="J87" s="7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71"/>
      <c r="I88" s="72"/>
      <c r="J88" s="7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71"/>
      <c r="I89" s="72"/>
      <c r="J89" s="7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71"/>
      <c r="I90" s="72"/>
      <c r="J90" s="7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71"/>
      <c r="I91" s="72"/>
      <c r="J91" s="7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71"/>
      <c r="I92" s="72"/>
      <c r="J92" s="7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71"/>
      <c r="I93" s="72"/>
      <c r="J93" s="7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71"/>
      <c r="I94" s="72"/>
      <c r="J94" s="7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71"/>
      <c r="I95" s="72"/>
      <c r="J95" s="7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71"/>
      <c r="I96" s="72"/>
      <c r="J96" s="7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71"/>
      <c r="I97" s="72"/>
      <c r="J97" s="7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71"/>
      <c r="I98" s="72"/>
      <c r="J98" s="7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71"/>
      <c r="I99" s="72"/>
      <c r="J99" s="7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71"/>
      <c r="I100" s="72"/>
      <c r="J100" s="7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71"/>
      <c r="I101" s="72"/>
      <c r="J101" s="7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71"/>
      <c r="I102" s="72"/>
      <c r="J102" s="7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71"/>
      <c r="I103" s="72"/>
      <c r="J103" s="7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71"/>
      <c r="I104" s="72"/>
      <c r="J104" s="7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71"/>
      <c r="I105" s="72"/>
      <c r="J105" s="7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71"/>
      <c r="I106" s="72"/>
      <c r="J106" s="7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71"/>
      <c r="I107" s="72"/>
      <c r="J107" s="7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71"/>
      <c r="I108" s="72"/>
      <c r="J108" s="7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71"/>
      <c r="I109" s="72"/>
      <c r="J109" s="7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71"/>
      <c r="I110" s="72"/>
      <c r="J110" s="7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71"/>
      <c r="I111" s="72"/>
      <c r="J111" s="7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71"/>
      <c r="I112" s="72"/>
      <c r="J112" s="7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71"/>
      <c r="I113" s="72"/>
      <c r="J113" s="7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71"/>
      <c r="I114" s="72"/>
      <c r="J114" s="7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71"/>
      <c r="I115" s="72"/>
      <c r="J115" s="7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71"/>
      <c r="I116" s="72"/>
      <c r="J116" s="7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71"/>
      <c r="I117" s="72"/>
      <c r="J117" s="7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71"/>
      <c r="I118" s="72"/>
      <c r="J118" s="7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71"/>
      <c r="I119" s="72"/>
      <c r="J119" s="7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71"/>
      <c r="I120" s="72"/>
      <c r="J120" s="7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71"/>
      <c r="I121" s="72"/>
      <c r="J121" s="7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71"/>
      <c r="I122" s="72"/>
      <c r="J122" s="7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71"/>
      <c r="I123" s="72"/>
      <c r="J123" s="7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71"/>
      <c r="I124" s="72"/>
      <c r="J124" s="7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71"/>
      <c r="I125" s="72"/>
      <c r="J125" s="7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71"/>
      <c r="I126" s="72"/>
      <c r="J126" s="7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71"/>
      <c r="I127" s="72"/>
      <c r="J127" s="7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71"/>
      <c r="I128" s="72"/>
      <c r="J128" s="7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71"/>
      <c r="I129" s="72"/>
      <c r="J129" s="7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71"/>
      <c r="I130" s="72"/>
      <c r="J130" s="7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71"/>
      <c r="I131" s="72"/>
      <c r="J131" s="7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71"/>
      <c r="I132" s="72"/>
      <c r="J132" s="7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71"/>
      <c r="I133" s="72"/>
      <c r="J133" s="7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71"/>
      <c r="I134" s="72"/>
      <c r="J134" s="7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71"/>
      <c r="I135" s="72"/>
      <c r="J135" s="7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71"/>
      <c r="I136" s="72"/>
      <c r="J136" s="7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71"/>
      <c r="I137" s="72"/>
      <c r="J137" s="7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71"/>
      <c r="I138" s="72"/>
      <c r="J138" s="7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71"/>
      <c r="I139" s="72"/>
      <c r="J139" s="7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71"/>
      <c r="I140" s="72"/>
      <c r="J140" s="7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71"/>
      <c r="I141" s="72"/>
      <c r="J141" s="7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71"/>
      <c r="I142" s="72"/>
      <c r="J142" s="7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71"/>
      <c r="I143" s="72"/>
      <c r="J143" s="7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71"/>
      <c r="I144" s="72"/>
      <c r="J144" s="7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71"/>
      <c r="I145" s="72"/>
      <c r="J145" s="7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71"/>
      <c r="I146" s="72"/>
      <c r="J146" s="7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71"/>
      <c r="I147" s="72"/>
      <c r="J147" s="7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71"/>
      <c r="I148" s="72"/>
      <c r="J148" s="7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71"/>
      <c r="I149" s="72"/>
      <c r="J149" s="7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71"/>
      <c r="I150" s="72"/>
      <c r="J150" s="7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71"/>
      <c r="I151" s="72"/>
      <c r="J151" s="7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71"/>
      <c r="I152" s="72"/>
      <c r="J152" s="7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71"/>
      <c r="I153" s="72"/>
      <c r="J153" s="7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71"/>
      <c r="I154" s="72"/>
      <c r="J154" s="7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71"/>
      <c r="I155" s="72"/>
      <c r="J155" s="7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71"/>
      <c r="I156" s="72"/>
      <c r="J156" s="7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71"/>
      <c r="I157" s="72"/>
      <c r="J157" s="7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71"/>
      <c r="I158" s="72"/>
      <c r="J158" s="7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71"/>
      <c r="I159" s="72"/>
      <c r="J159" s="7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71"/>
      <c r="I160" s="72"/>
      <c r="J160" s="7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71"/>
      <c r="I161" s="72"/>
      <c r="J161" s="7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71"/>
      <c r="I162" s="72"/>
      <c r="J162" s="7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71"/>
      <c r="I163" s="72"/>
      <c r="J163" s="7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71"/>
      <c r="I164" s="72"/>
      <c r="J164" s="7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71"/>
      <c r="I165" s="72"/>
      <c r="J165" s="7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71"/>
      <c r="I166" s="72"/>
      <c r="J166" s="7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71"/>
      <c r="I167" s="72"/>
      <c r="J167" s="7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71"/>
      <c r="I168" s="72"/>
      <c r="J168" s="7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71"/>
      <c r="I169" s="72"/>
      <c r="J169" s="7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71"/>
      <c r="I170" s="72"/>
      <c r="J170" s="7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71"/>
      <c r="I171" s="72"/>
      <c r="J171" s="7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71"/>
      <c r="I172" s="72"/>
      <c r="J172" s="7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71"/>
      <c r="I173" s="72"/>
      <c r="J173" s="7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71"/>
      <c r="I174" s="72"/>
      <c r="J174" s="7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71"/>
      <c r="I175" s="72"/>
      <c r="J175" s="7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71"/>
      <c r="I176" s="72"/>
      <c r="J176" s="7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71"/>
      <c r="I177" s="72"/>
      <c r="J177" s="7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71"/>
      <c r="I178" s="72"/>
      <c r="J178" s="7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71"/>
      <c r="I179" s="72"/>
      <c r="J179" s="7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71"/>
      <c r="I180" s="72"/>
      <c r="J180" s="7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71"/>
      <c r="I181" s="72"/>
      <c r="J181" s="7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71"/>
      <c r="I182" s="72"/>
      <c r="J182" s="7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71"/>
      <c r="I183" s="72"/>
      <c r="J183" s="7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71"/>
      <c r="I184" s="72"/>
      <c r="J184" s="7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71"/>
      <c r="I185" s="72"/>
      <c r="J185" s="7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71"/>
      <c r="I186" s="72"/>
      <c r="J186" s="7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71"/>
      <c r="I187" s="72"/>
      <c r="J187" s="7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71"/>
      <c r="I188" s="72"/>
      <c r="J188" s="7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71"/>
      <c r="I189" s="72"/>
      <c r="J189" s="7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71"/>
      <c r="I190" s="72"/>
      <c r="J190" s="7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71"/>
      <c r="I191" s="72"/>
      <c r="J191" s="7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71"/>
      <c r="I192" s="72"/>
      <c r="J192" s="7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71"/>
      <c r="I193" s="72"/>
      <c r="J193" s="7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71"/>
      <c r="I194" s="72"/>
      <c r="J194" s="7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71"/>
      <c r="I195" s="72"/>
      <c r="J195" s="7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71"/>
      <c r="I196" s="72"/>
      <c r="J196" s="7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71"/>
      <c r="I197" s="72"/>
      <c r="J197" s="7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71"/>
      <c r="I198" s="72"/>
      <c r="J198" s="7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71"/>
      <c r="I199" s="72"/>
      <c r="J199" s="7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71"/>
      <c r="I200" s="72"/>
      <c r="J200" s="7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71"/>
      <c r="I201" s="72"/>
      <c r="J201" s="7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71"/>
      <c r="I202" s="72"/>
      <c r="J202" s="7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71"/>
      <c r="I203" s="72"/>
      <c r="J203" s="7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71"/>
      <c r="I204" s="72"/>
      <c r="J204" s="7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71"/>
      <c r="I205" s="72"/>
      <c r="J205" s="7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71"/>
      <c r="I206" s="72"/>
      <c r="J206" s="7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71"/>
      <c r="I207" s="72"/>
      <c r="J207" s="7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71"/>
      <c r="I208" s="72"/>
      <c r="J208" s="7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71"/>
      <c r="I209" s="72"/>
      <c r="J209" s="7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71"/>
      <c r="I210" s="72"/>
      <c r="J210" s="7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71"/>
      <c r="I211" s="72"/>
      <c r="J211" s="7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71"/>
      <c r="I212" s="72"/>
      <c r="J212" s="7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71"/>
      <c r="I213" s="72"/>
      <c r="J213" s="7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71"/>
      <c r="I214" s="72"/>
      <c r="J214" s="7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71"/>
      <c r="I215" s="72"/>
      <c r="J215" s="7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71"/>
      <c r="I216" s="72"/>
      <c r="J216" s="7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71"/>
      <c r="I217" s="72"/>
      <c r="J217" s="7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71"/>
      <c r="I218" s="72"/>
      <c r="J218" s="7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71"/>
      <c r="I219" s="72"/>
      <c r="J219" s="7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71"/>
      <c r="I220" s="72"/>
      <c r="J220" s="7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71"/>
      <c r="I221" s="72"/>
      <c r="J221" s="7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71"/>
      <c r="I222" s="72"/>
      <c r="J222" s="7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71"/>
      <c r="I223" s="72"/>
      <c r="J223" s="7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71"/>
      <c r="I224" s="72"/>
      <c r="J224" s="7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71"/>
      <c r="I225" s="72"/>
      <c r="J225" s="7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71"/>
      <c r="I226" s="72"/>
      <c r="J226" s="7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71"/>
      <c r="I227" s="72"/>
      <c r="J227" s="7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71"/>
      <c r="I228" s="72"/>
      <c r="J228" s="7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71"/>
      <c r="I229" s="72"/>
      <c r="J229" s="7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71"/>
      <c r="I230" s="72"/>
      <c r="J230" s="7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71"/>
      <c r="I231" s="72"/>
      <c r="J231" s="7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71"/>
      <c r="I232" s="72"/>
      <c r="J232" s="7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71"/>
      <c r="I233" s="72"/>
      <c r="J233" s="7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71"/>
      <c r="I234" s="72"/>
      <c r="J234" s="7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71"/>
      <c r="I235" s="72"/>
      <c r="J235" s="7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71"/>
      <c r="I236" s="72"/>
      <c r="J236" s="7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71"/>
      <c r="I237" s="72"/>
      <c r="J237" s="7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71"/>
      <c r="I238" s="72"/>
      <c r="J238" s="7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71"/>
      <c r="I239" s="72"/>
      <c r="J239" s="7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71"/>
      <c r="I240" s="72"/>
      <c r="J240" s="7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71"/>
      <c r="I241" s="72"/>
      <c r="J241" s="7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71"/>
      <c r="I242" s="72"/>
      <c r="J242" s="7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71"/>
      <c r="I243" s="72"/>
      <c r="J243" s="7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71"/>
      <c r="I244" s="72"/>
      <c r="J244" s="7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71"/>
      <c r="I245" s="72"/>
      <c r="J245" s="7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71"/>
      <c r="I246" s="72"/>
      <c r="J246" s="7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71"/>
      <c r="I247" s="72"/>
      <c r="J247" s="7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71"/>
      <c r="I248" s="72"/>
      <c r="J248" s="7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71"/>
      <c r="I249" s="72"/>
      <c r="J249" s="7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71"/>
      <c r="I250" s="72"/>
      <c r="J250" s="7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71"/>
      <c r="I251" s="72"/>
      <c r="J251" s="71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71"/>
      <c r="I252" s="72"/>
      <c r="J252" s="71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71"/>
      <c r="I253" s="72"/>
      <c r="J253" s="71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71"/>
      <c r="I254" s="72"/>
      <c r="J254" s="7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71"/>
      <c r="I255" s="72"/>
      <c r="J255" s="71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71"/>
      <c r="I256" s="72"/>
      <c r="J256" s="71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71"/>
      <c r="I257" s="72"/>
      <c r="J257" s="71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71"/>
      <c r="I258" s="72"/>
      <c r="J258" s="71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71"/>
      <c r="I259" s="72"/>
      <c r="J259" s="71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71"/>
      <c r="I260" s="72"/>
      <c r="J260" s="71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71"/>
      <c r="I261" s="72"/>
      <c r="J261" s="71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71"/>
      <c r="I262" s="72"/>
      <c r="J262" s="71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71"/>
      <c r="I263" s="72"/>
      <c r="J263" s="71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71"/>
      <c r="I264" s="72"/>
      <c r="J264" s="71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71"/>
      <c r="I265" s="72"/>
      <c r="J265" s="71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71"/>
      <c r="I266" s="72"/>
      <c r="J266" s="71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71"/>
      <c r="I267" s="72"/>
      <c r="J267" s="71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71"/>
      <c r="I268" s="72"/>
      <c r="J268" s="71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71"/>
      <c r="I269" s="72"/>
      <c r="J269" s="71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71"/>
      <c r="I270" s="72"/>
      <c r="J270" s="71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71"/>
      <c r="I271" s="72"/>
      <c r="J271" s="7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71"/>
      <c r="I272" s="72"/>
      <c r="J272" s="71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71"/>
      <c r="I273" s="72"/>
      <c r="J273" s="71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71"/>
      <c r="I274" s="72"/>
      <c r="J274" s="71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71"/>
      <c r="I275" s="72"/>
      <c r="J275" s="71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71"/>
      <c r="I276" s="72"/>
      <c r="J276" s="71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71"/>
      <c r="I277" s="72"/>
      <c r="J277" s="71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71"/>
      <c r="I278" s="72"/>
      <c r="J278" s="71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71"/>
      <c r="I279" s="72"/>
      <c r="J279" s="71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71"/>
      <c r="I280" s="72"/>
      <c r="J280" s="71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71"/>
      <c r="I281" s="72"/>
      <c r="J281" s="71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71"/>
      <c r="I282" s="72"/>
      <c r="J282" s="71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71"/>
      <c r="I283" s="72"/>
      <c r="J283" s="71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71"/>
      <c r="I284" s="72"/>
      <c r="J284" s="71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71"/>
      <c r="I285" s="72"/>
      <c r="J285" s="71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71"/>
      <c r="I286" s="72"/>
      <c r="J286" s="71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71"/>
      <c r="I287" s="72"/>
      <c r="J287" s="71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71"/>
      <c r="I288" s="72"/>
      <c r="J288" s="71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71"/>
      <c r="I289" s="72"/>
      <c r="J289" s="71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71"/>
      <c r="I290" s="72"/>
      <c r="J290" s="71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71"/>
      <c r="I291" s="72"/>
      <c r="J291" s="71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71"/>
      <c r="I292" s="72"/>
      <c r="J292" s="71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71"/>
      <c r="I293" s="72"/>
      <c r="J293" s="71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71"/>
      <c r="I294" s="72"/>
      <c r="J294" s="71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71"/>
      <c r="I295" s="72"/>
      <c r="J295" s="71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71"/>
      <c r="I296" s="72"/>
      <c r="J296" s="71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71"/>
      <c r="I297" s="72"/>
      <c r="J297" s="71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71"/>
      <c r="I298" s="72"/>
      <c r="J298" s="71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71"/>
      <c r="I299" s="72"/>
      <c r="J299" s="71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71"/>
      <c r="I300" s="72"/>
      <c r="J300" s="71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71"/>
      <c r="I301" s="72"/>
      <c r="J301" s="71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71"/>
      <c r="I302" s="72"/>
      <c r="J302" s="71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71"/>
      <c r="I303" s="72"/>
      <c r="J303" s="71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71"/>
      <c r="I304" s="72"/>
      <c r="J304" s="71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71"/>
      <c r="I305" s="72"/>
      <c r="J305" s="71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71"/>
      <c r="I306" s="72"/>
      <c r="J306" s="71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71"/>
      <c r="I307" s="72"/>
      <c r="J307" s="71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71"/>
      <c r="I308" s="72"/>
      <c r="J308" s="71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71"/>
      <c r="I309" s="72"/>
      <c r="J309" s="71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71"/>
      <c r="I310" s="72"/>
      <c r="J310" s="71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71"/>
      <c r="I311" s="72"/>
      <c r="J311" s="71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71"/>
      <c r="I312" s="72"/>
      <c r="J312" s="71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71"/>
      <c r="I313" s="72"/>
      <c r="J313" s="71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71"/>
      <c r="I314" s="72"/>
      <c r="J314" s="71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71"/>
      <c r="I315" s="72"/>
      <c r="J315" s="71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71"/>
      <c r="I316" s="72"/>
      <c r="J316" s="71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71"/>
      <c r="I317" s="72"/>
      <c r="J317" s="71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71"/>
      <c r="I318" s="72"/>
      <c r="J318" s="7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71"/>
      <c r="I319" s="72"/>
      <c r="J319" s="71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71"/>
      <c r="I320" s="72"/>
      <c r="J320" s="71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71"/>
      <c r="I321" s="72"/>
      <c r="J321" s="71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71"/>
      <c r="I322" s="72"/>
      <c r="J322" s="71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71"/>
      <c r="I323" s="72"/>
      <c r="J323" s="71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71"/>
      <c r="I324" s="72"/>
      <c r="J324" s="71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71"/>
      <c r="I325" s="72"/>
      <c r="J325" s="71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71"/>
      <c r="I326" s="72"/>
      <c r="J326" s="71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71"/>
      <c r="I327" s="72"/>
      <c r="J327" s="71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71"/>
      <c r="I328" s="72"/>
      <c r="J328" s="71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71"/>
      <c r="I329" s="72"/>
      <c r="J329" s="71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71"/>
      <c r="I330" s="72"/>
      <c r="J330" s="71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71"/>
      <c r="I331" s="72"/>
      <c r="J331" s="71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71"/>
      <c r="I332" s="72"/>
      <c r="J332" s="71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71"/>
      <c r="I333" s="72"/>
      <c r="J333" s="71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71"/>
      <c r="I334" s="72"/>
      <c r="J334" s="71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71"/>
      <c r="I335" s="72"/>
      <c r="J335" s="71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71"/>
      <c r="I336" s="72"/>
      <c r="J336" s="71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71"/>
      <c r="I337" s="72"/>
      <c r="J337" s="71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71"/>
      <c r="I338" s="72"/>
      <c r="J338" s="71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71"/>
      <c r="I339" s="72"/>
      <c r="J339" s="71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71"/>
      <c r="I340" s="72"/>
      <c r="J340" s="71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71"/>
      <c r="I341" s="72"/>
      <c r="J341" s="71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71"/>
      <c r="I342" s="72"/>
      <c r="J342" s="71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71"/>
      <c r="I343" s="72"/>
      <c r="J343" s="71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71"/>
      <c r="I344" s="72"/>
      <c r="J344" s="71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71"/>
      <c r="I345" s="72"/>
      <c r="J345" s="71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71"/>
      <c r="I346" s="72"/>
      <c r="J346" s="71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71"/>
      <c r="I347" s="72"/>
      <c r="J347" s="71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71"/>
      <c r="I348" s="72"/>
      <c r="J348" s="71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71"/>
      <c r="I349" s="72"/>
      <c r="J349" s="71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71"/>
      <c r="I350" s="72"/>
      <c r="J350" s="71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71"/>
      <c r="I351" s="72"/>
      <c r="J351" s="71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71"/>
      <c r="I352" s="72"/>
      <c r="J352" s="71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71"/>
      <c r="I353" s="72"/>
      <c r="J353" s="71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71"/>
      <c r="I354" s="72"/>
      <c r="J354" s="71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71"/>
      <c r="I355" s="72"/>
      <c r="J355" s="71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71"/>
      <c r="I356" s="72"/>
      <c r="J356" s="71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71"/>
      <c r="I357" s="72"/>
      <c r="J357" s="71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71"/>
      <c r="I358" s="72"/>
      <c r="J358" s="71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71"/>
      <c r="I359" s="72"/>
      <c r="J359" s="71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71"/>
      <c r="I360" s="72"/>
      <c r="J360" s="71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71"/>
      <c r="I361" s="72"/>
      <c r="J361" s="71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71"/>
      <c r="I362" s="72"/>
      <c r="J362" s="71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71"/>
      <c r="I363" s="72"/>
      <c r="J363" s="71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71"/>
      <c r="I364" s="72"/>
      <c r="J364" s="71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71"/>
      <c r="I365" s="72"/>
      <c r="J365" s="71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71"/>
      <c r="I366" s="72"/>
      <c r="J366" s="71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71"/>
      <c r="I367" s="72"/>
      <c r="J367" s="71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71"/>
      <c r="I368" s="72"/>
      <c r="J368" s="71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71"/>
      <c r="I369" s="72"/>
      <c r="J369" s="71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71"/>
      <c r="I370" s="72"/>
      <c r="J370" s="71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71"/>
      <c r="I371" s="72"/>
      <c r="J371" s="71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71"/>
      <c r="I372" s="72"/>
      <c r="J372" s="71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71"/>
      <c r="I373" s="72"/>
      <c r="J373" s="71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71"/>
      <c r="I374" s="72"/>
      <c r="J374" s="71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71"/>
      <c r="I375" s="72"/>
      <c r="J375" s="71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71"/>
      <c r="I376" s="72"/>
      <c r="J376" s="71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71"/>
      <c r="I377" s="72"/>
      <c r="J377" s="71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71"/>
      <c r="I378" s="72"/>
      <c r="J378" s="71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71"/>
      <c r="I379" s="72"/>
      <c r="J379" s="71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71"/>
      <c r="I380" s="72"/>
      <c r="J380" s="71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71"/>
      <c r="I381" s="72"/>
      <c r="J381" s="71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71"/>
      <c r="I382" s="72"/>
      <c r="J382" s="71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71"/>
      <c r="I383" s="72"/>
      <c r="J383" s="71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71"/>
      <c r="I384" s="72"/>
      <c r="J384" s="71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71"/>
      <c r="I385" s="72"/>
      <c r="J385" s="71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71"/>
      <c r="I386" s="72"/>
      <c r="J386" s="71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71"/>
      <c r="I387" s="72"/>
      <c r="J387" s="71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71"/>
      <c r="I388" s="72"/>
      <c r="J388" s="71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71"/>
      <c r="I389" s="72"/>
      <c r="J389" s="71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71"/>
      <c r="I390" s="72"/>
      <c r="J390" s="71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71"/>
      <c r="I391" s="72"/>
      <c r="J391" s="71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71"/>
      <c r="I392" s="72"/>
      <c r="J392" s="71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71"/>
      <c r="I393" s="72"/>
      <c r="J393" s="71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71"/>
      <c r="I394" s="72"/>
      <c r="J394" s="71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71"/>
      <c r="I395" s="72"/>
      <c r="J395" s="71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71"/>
      <c r="I396" s="72"/>
      <c r="J396" s="71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71"/>
      <c r="I397" s="72"/>
      <c r="J397" s="71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71"/>
      <c r="I398" s="72"/>
      <c r="J398" s="71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71"/>
      <c r="I399" s="72"/>
      <c r="J399" s="71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71"/>
      <c r="I400" s="72"/>
      <c r="J400" s="71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71"/>
      <c r="I401" s="72"/>
      <c r="J401" s="71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71"/>
      <c r="I402" s="72"/>
      <c r="J402" s="71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71"/>
      <c r="I403" s="72"/>
      <c r="J403" s="71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71"/>
      <c r="I404" s="72"/>
      <c r="J404" s="71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71"/>
      <c r="I405" s="72"/>
      <c r="J405" s="71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71"/>
      <c r="I406" s="72"/>
      <c r="J406" s="71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71"/>
      <c r="I407" s="72"/>
      <c r="J407" s="71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71"/>
      <c r="I408" s="72"/>
      <c r="J408" s="71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71"/>
      <c r="I409" s="72"/>
      <c r="J409" s="71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71"/>
      <c r="I410" s="72"/>
      <c r="J410" s="71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71"/>
      <c r="I411" s="72"/>
      <c r="J411" s="71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71"/>
      <c r="I412" s="72"/>
      <c r="J412" s="71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71"/>
      <c r="I413" s="72"/>
      <c r="J413" s="71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71"/>
      <c r="I414" s="72"/>
      <c r="J414" s="71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71"/>
      <c r="I415" s="72"/>
      <c r="J415" s="71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71"/>
      <c r="I416" s="72"/>
      <c r="J416" s="71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71"/>
      <c r="I417" s="72"/>
      <c r="J417" s="71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71"/>
      <c r="I418" s="72"/>
      <c r="J418" s="71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71"/>
      <c r="I419" s="72"/>
      <c r="J419" s="71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71"/>
      <c r="I420" s="72"/>
      <c r="J420" s="71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71"/>
      <c r="I421" s="72"/>
      <c r="J421" s="71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71"/>
      <c r="I422" s="72"/>
      <c r="J422" s="71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71"/>
      <c r="I423" s="72"/>
      <c r="J423" s="71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71"/>
      <c r="I424" s="72"/>
      <c r="J424" s="71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71"/>
      <c r="I425" s="72"/>
      <c r="J425" s="71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71"/>
      <c r="I426" s="72"/>
      <c r="J426" s="71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71"/>
      <c r="I427" s="72"/>
      <c r="J427" s="71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71"/>
      <c r="I428" s="72"/>
      <c r="J428" s="71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71"/>
      <c r="I429" s="72"/>
      <c r="J429" s="71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71"/>
      <c r="I430" s="72"/>
      <c r="J430" s="71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71"/>
      <c r="I431" s="72"/>
      <c r="J431" s="71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71"/>
      <c r="I432" s="72"/>
      <c r="J432" s="71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71"/>
      <c r="I433" s="72"/>
      <c r="J433" s="71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71"/>
      <c r="I434" s="72"/>
      <c r="J434" s="71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71"/>
      <c r="I435" s="72"/>
      <c r="J435" s="71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71"/>
      <c r="I436" s="72"/>
      <c r="J436" s="71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71"/>
      <c r="I437" s="72"/>
      <c r="J437" s="71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71"/>
      <c r="I438" s="72"/>
      <c r="J438" s="71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71"/>
      <c r="I439" s="72"/>
      <c r="J439" s="71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71"/>
      <c r="I440" s="72"/>
      <c r="J440" s="71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71"/>
      <c r="I441" s="72"/>
      <c r="J441" s="71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71"/>
      <c r="I442" s="72"/>
      <c r="J442" s="71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71"/>
      <c r="I443" s="72"/>
      <c r="J443" s="71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71"/>
      <c r="I444" s="72"/>
      <c r="J444" s="71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71"/>
      <c r="I445" s="72"/>
      <c r="J445" s="71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71"/>
      <c r="I446" s="72"/>
      <c r="J446" s="71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71"/>
      <c r="I447" s="72"/>
      <c r="J447" s="71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71"/>
      <c r="I448" s="72"/>
      <c r="J448" s="71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71"/>
      <c r="I449" s="72"/>
      <c r="J449" s="71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71"/>
      <c r="I450" s="72"/>
      <c r="J450" s="71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71"/>
      <c r="I451" s="72"/>
      <c r="J451" s="71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71"/>
      <c r="I452" s="72"/>
      <c r="J452" s="71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71"/>
      <c r="I453" s="72"/>
      <c r="J453" s="71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71"/>
      <c r="I454" s="72"/>
      <c r="J454" s="71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71"/>
      <c r="I455" s="72"/>
      <c r="J455" s="71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71"/>
      <c r="I456" s="72"/>
      <c r="J456" s="71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71"/>
      <c r="I457" s="72"/>
      <c r="J457" s="71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71"/>
      <c r="I458" s="72"/>
      <c r="J458" s="71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71"/>
      <c r="I459" s="72"/>
      <c r="J459" s="71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71"/>
      <c r="I460" s="72"/>
      <c r="J460" s="71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71"/>
      <c r="I461" s="72"/>
      <c r="J461" s="71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71"/>
      <c r="I462" s="72"/>
      <c r="J462" s="71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71"/>
      <c r="I463" s="72"/>
      <c r="J463" s="71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71"/>
      <c r="I464" s="72"/>
      <c r="J464" s="71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71"/>
      <c r="I465" s="72"/>
      <c r="J465" s="71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71"/>
      <c r="I466" s="72"/>
      <c r="J466" s="71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71"/>
      <c r="I467" s="72"/>
      <c r="J467" s="71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71"/>
      <c r="I468" s="72"/>
      <c r="J468" s="71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71"/>
      <c r="I469" s="72"/>
      <c r="J469" s="71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71"/>
      <c r="I470" s="72"/>
      <c r="J470" s="71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71"/>
      <c r="I471" s="72"/>
      <c r="J471" s="71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71"/>
      <c r="I472" s="72"/>
      <c r="J472" s="71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71"/>
      <c r="I473" s="72"/>
      <c r="J473" s="71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71"/>
      <c r="I474" s="72"/>
      <c r="J474" s="71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71"/>
      <c r="I475" s="72"/>
      <c r="J475" s="71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71"/>
      <c r="I476" s="72"/>
      <c r="J476" s="71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71"/>
      <c r="I477" s="72"/>
      <c r="J477" s="71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71"/>
      <c r="I478" s="72"/>
      <c r="J478" s="71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71"/>
      <c r="I479" s="72"/>
      <c r="J479" s="71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71"/>
      <c r="I480" s="72"/>
      <c r="J480" s="71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71"/>
      <c r="I481" s="72"/>
      <c r="J481" s="71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71"/>
      <c r="I482" s="72"/>
      <c r="J482" s="71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71"/>
      <c r="I483" s="72"/>
      <c r="J483" s="71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71"/>
      <c r="I484" s="72"/>
      <c r="J484" s="71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71"/>
      <c r="I485" s="72"/>
      <c r="J485" s="71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71"/>
      <c r="I486" s="72"/>
      <c r="J486" s="71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71"/>
      <c r="I487" s="72"/>
      <c r="J487" s="71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71"/>
      <c r="I488" s="72"/>
      <c r="J488" s="71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71"/>
      <c r="I489" s="72"/>
      <c r="J489" s="71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71"/>
      <c r="I490" s="72"/>
      <c r="J490" s="71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71"/>
      <c r="I491" s="72"/>
      <c r="J491" s="71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71"/>
      <c r="I492" s="72"/>
      <c r="J492" s="71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71"/>
      <c r="I493" s="72"/>
      <c r="J493" s="71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71"/>
      <c r="I494" s="72"/>
      <c r="J494" s="71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71"/>
      <c r="I495" s="72"/>
      <c r="J495" s="71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71"/>
      <c r="I496" s="72"/>
      <c r="J496" s="71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71"/>
      <c r="I497" s="72"/>
      <c r="J497" s="71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71"/>
      <c r="I498" s="72"/>
      <c r="J498" s="71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71"/>
      <c r="I499" s="72"/>
      <c r="J499" s="71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71"/>
      <c r="I500" s="72"/>
      <c r="J500" s="71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71"/>
      <c r="I501" s="72"/>
      <c r="J501" s="71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71"/>
      <c r="I502" s="72"/>
      <c r="J502" s="71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71"/>
      <c r="I503" s="72"/>
      <c r="J503" s="71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71"/>
      <c r="I504" s="72"/>
      <c r="J504" s="71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71"/>
      <c r="I505" s="72"/>
      <c r="J505" s="71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71"/>
      <c r="I506" s="72"/>
      <c r="J506" s="71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71"/>
      <c r="I507" s="72"/>
      <c r="J507" s="71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71"/>
      <c r="I508" s="72"/>
      <c r="J508" s="71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71"/>
      <c r="I509" s="72"/>
      <c r="J509" s="71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71"/>
      <c r="I510" s="72"/>
      <c r="J510" s="71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71"/>
      <c r="I511" s="72"/>
      <c r="J511" s="71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71"/>
      <c r="I512" s="72"/>
      <c r="J512" s="71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71"/>
      <c r="I513" s="72"/>
      <c r="J513" s="71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71"/>
      <c r="I514" s="72"/>
      <c r="J514" s="71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71"/>
      <c r="I515" s="72"/>
      <c r="J515" s="71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71"/>
      <c r="I516" s="72"/>
      <c r="J516" s="71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71"/>
      <c r="I517" s="72"/>
      <c r="J517" s="71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71"/>
      <c r="I518" s="72"/>
      <c r="J518" s="71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71"/>
      <c r="I519" s="72"/>
      <c r="J519" s="71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71"/>
      <c r="I520" s="72"/>
      <c r="J520" s="71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71"/>
      <c r="I521" s="72"/>
      <c r="J521" s="71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71"/>
      <c r="I522" s="72"/>
      <c r="J522" s="71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71"/>
      <c r="I523" s="72"/>
      <c r="J523" s="71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71"/>
      <c r="I524" s="72"/>
      <c r="J524" s="71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71"/>
      <c r="I525" s="72"/>
      <c r="J525" s="71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71"/>
      <c r="I526" s="72"/>
      <c r="J526" s="71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71"/>
      <c r="I527" s="72"/>
      <c r="J527" s="71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71"/>
      <c r="I528" s="72"/>
      <c r="J528" s="71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71"/>
      <c r="I529" s="72"/>
      <c r="J529" s="71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71"/>
      <c r="I530" s="72"/>
      <c r="J530" s="71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71"/>
      <c r="I531" s="72"/>
      <c r="J531" s="71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71"/>
      <c r="I532" s="72"/>
      <c r="J532" s="71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71"/>
      <c r="I533" s="72"/>
      <c r="J533" s="71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71"/>
      <c r="I534" s="72"/>
      <c r="J534" s="71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71"/>
      <c r="I535" s="72"/>
      <c r="J535" s="71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71"/>
      <c r="I536" s="72"/>
      <c r="J536" s="71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71"/>
      <c r="I537" s="72"/>
      <c r="J537" s="71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71"/>
      <c r="I538" s="72"/>
      <c r="J538" s="71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71"/>
      <c r="I539" s="72"/>
      <c r="J539" s="71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71"/>
      <c r="I540" s="72"/>
      <c r="J540" s="71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71"/>
      <c r="I541" s="72"/>
      <c r="J541" s="71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71"/>
      <c r="I542" s="72"/>
      <c r="J542" s="71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71"/>
      <c r="I543" s="72"/>
      <c r="J543" s="71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71"/>
      <c r="I544" s="72"/>
      <c r="J544" s="71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71"/>
      <c r="I545" s="72"/>
      <c r="J545" s="71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71"/>
      <c r="I546" s="72"/>
      <c r="J546" s="71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71"/>
      <c r="I547" s="72"/>
      <c r="J547" s="71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71"/>
      <c r="I548" s="72"/>
      <c r="J548" s="71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71"/>
      <c r="I549" s="72"/>
      <c r="J549" s="71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71"/>
      <c r="I550" s="72"/>
      <c r="J550" s="71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71"/>
      <c r="I551" s="72"/>
      <c r="J551" s="71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71"/>
      <c r="I552" s="72"/>
      <c r="J552" s="71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71"/>
      <c r="I553" s="72"/>
      <c r="J553" s="71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71"/>
      <c r="I554" s="72"/>
      <c r="J554" s="71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71"/>
      <c r="I555" s="72"/>
      <c r="J555" s="71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71"/>
      <c r="I556" s="72"/>
      <c r="J556" s="71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71"/>
      <c r="I557" s="72"/>
      <c r="J557" s="71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71"/>
      <c r="I558" s="72"/>
      <c r="J558" s="71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71"/>
      <c r="I559" s="72"/>
      <c r="J559" s="71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71"/>
      <c r="I560" s="72"/>
      <c r="J560" s="71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71"/>
      <c r="I561" s="72"/>
      <c r="J561" s="71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71"/>
      <c r="I562" s="72"/>
      <c r="J562" s="71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71"/>
      <c r="I563" s="72"/>
      <c r="J563" s="71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71"/>
      <c r="I564" s="72"/>
      <c r="J564" s="71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71"/>
      <c r="I565" s="72"/>
      <c r="J565" s="71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71"/>
      <c r="I566" s="72"/>
      <c r="J566" s="71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71"/>
      <c r="I567" s="72"/>
      <c r="J567" s="71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71"/>
      <c r="I568" s="72"/>
      <c r="J568" s="71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71"/>
      <c r="I569" s="72"/>
      <c r="J569" s="71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71"/>
      <c r="I570" s="72"/>
      <c r="J570" s="71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71"/>
      <c r="I571" s="72"/>
      <c r="J571" s="71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71"/>
      <c r="I572" s="72"/>
      <c r="J572" s="71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71"/>
      <c r="I573" s="72"/>
      <c r="J573" s="71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71"/>
      <c r="I574" s="72"/>
      <c r="J574" s="71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71"/>
      <c r="I575" s="72"/>
      <c r="J575" s="71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71"/>
      <c r="I576" s="72"/>
      <c r="J576" s="71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71"/>
      <c r="I577" s="72"/>
      <c r="J577" s="71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71"/>
      <c r="I578" s="72"/>
      <c r="J578" s="71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71"/>
      <c r="I579" s="72"/>
      <c r="J579" s="71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71"/>
      <c r="I580" s="72"/>
      <c r="J580" s="71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71"/>
      <c r="I581" s="72"/>
      <c r="J581" s="71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71"/>
      <c r="I582" s="72"/>
      <c r="J582" s="71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71"/>
      <c r="I583" s="72"/>
      <c r="J583" s="71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71"/>
      <c r="I584" s="72"/>
      <c r="J584" s="71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71"/>
      <c r="I585" s="72"/>
      <c r="J585" s="71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71"/>
      <c r="I586" s="72"/>
      <c r="J586" s="71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71"/>
      <c r="I587" s="72"/>
      <c r="J587" s="71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71"/>
      <c r="I588" s="72"/>
      <c r="J588" s="71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71"/>
      <c r="I589" s="72"/>
      <c r="J589" s="71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71"/>
      <c r="I590" s="72"/>
      <c r="J590" s="71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71"/>
      <c r="I591" s="72"/>
      <c r="J591" s="71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71"/>
      <c r="I592" s="72"/>
      <c r="J592" s="71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71"/>
      <c r="I593" s="72"/>
      <c r="J593" s="71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71"/>
      <c r="I594" s="72"/>
      <c r="J594" s="71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71"/>
      <c r="I595" s="72"/>
      <c r="J595" s="71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71"/>
      <c r="I596" s="72"/>
      <c r="J596" s="71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71"/>
      <c r="I597" s="72"/>
      <c r="J597" s="71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71"/>
      <c r="I598" s="72"/>
      <c r="J598" s="71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71"/>
      <c r="I599" s="72"/>
      <c r="J599" s="71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71"/>
      <c r="I600" s="72"/>
      <c r="J600" s="71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71"/>
      <c r="I601" s="72"/>
      <c r="J601" s="71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71"/>
      <c r="I602" s="72"/>
      <c r="J602" s="71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71"/>
      <c r="I603" s="72"/>
      <c r="J603" s="71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71"/>
      <c r="I604" s="72"/>
      <c r="J604" s="71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71"/>
      <c r="I605" s="72"/>
      <c r="J605" s="71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71"/>
      <c r="I606" s="72"/>
      <c r="J606" s="71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71"/>
      <c r="I607" s="72"/>
      <c r="J607" s="71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71"/>
      <c r="I608" s="72"/>
      <c r="J608" s="71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71"/>
      <c r="I609" s="72"/>
      <c r="J609" s="71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71"/>
      <c r="I610" s="72"/>
      <c r="J610" s="71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71"/>
      <c r="I611" s="72"/>
      <c r="J611" s="71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71"/>
      <c r="I612" s="72"/>
      <c r="J612" s="71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71"/>
      <c r="I613" s="72"/>
      <c r="J613" s="71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71"/>
      <c r="I614" s="72"/>
      <c r="J614" s="71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71"/>
      <c r="I615" s="72"/>
      <c r="J615" s="71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71"/>
      <c r="I616" s="72"/>
      <c r="J616" s="71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71"/>
      <c r="I617" s="72"/>
      <c r="J617" s="71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71"/>
      <c r="I618" s="72"/>
      <c r="J618" s="71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71"/>
      <c r="I619" s="72"/>
      <c r="J619" s="71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71"/>
      <c r="I620" s="72"/>
      <c r="J620" s="71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71"/>
      <c r="I621" s="72"/>
      <c r="J621" s="71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71"/>
      <c r="I622" s="72"/>
      <c r="J622" s="71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71"/>
      <c r="I623" s="72"/>
      <c r="J623" s="71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71"/>
      <c r="I624" s="72"/>
      <c r="J624" s="71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71"/>
      <c r="I625" s="72"/>
      <c r="J625" s="71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71"/>
      <c r="I626" s="72"/>
      <c r="J626" s="71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71"/>
      <c r="I627" s="72"/>
      <c r="J627" s="71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71"/>
      <c r="I628" s="72"/>
      <c r="J628" s="71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71"/>
      <c r="I629" s="72"/>
      <c r="J629" s="71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71"/>
      <c r="I630" s="72"/>
      <c r="J630" s="71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71"/>
      <c r="I631" s="72"/>
      <c r="J631" s="71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71"/>
      <c r="I632" s="72"/>
      <c r="J632" s="71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71"/>
      <c r="I633" s="72"/>
      <c r="J633" s="71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71"/>
      <c r="I634" s="72"/>
      <c r="J634" s="71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71"/>
      <c r="I635" s="72"/>
      <c r="J635" s="71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71"/>
      <c r="I636" s="72"/>
      <c r="J636" s="71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71"/>
      <c r="I637" s="72"/>
      <c r="J637" s="71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71"/>
      <c r="I638" s="72"/>
      <c r="J638" s="71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71"/>
      <c r="I639" s="72"/>
      <c r="J639" s="71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71"/>
      <c r="I640" s="72"/>
      <c r="J640" s="71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71"/>
      <c r="I641" s="72"/>
      <c r="J641" s="71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71"/>
      <c r="I642" s="72"/>
      <c r="J642" s="71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71"/>
      <c r="I643" s="72"/>
      <c r="J643" s="71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71"/>
      <c r="I644" s="72"/>
      <c r="J644" s="71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71"/>
      <c r="I645" s="72"/>
      <c r="J645" s="71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71"/>
      <c r="I646" s="72"/>
      <c r="J646" s="71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71"/>
      <c r="I647" s="72"/>
      <c r="J647" s="71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71"/>
      <c r="I648" s="72"/>
      <c r="J648" s="71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71"/>
      <c r="I649" s="72"/>
      <c r="J649" s="71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71"/>
      <c r="I650" s="72"/>
      <c r="J650" s="71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71"/>
      <c r="I651" s="72"/>
      <c r="J651" s="71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71"/>
      <c r="I652" s="72"/>
      <c r="J652" s="71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71"/>
      <c r="I653" s="72"/>
      <c r="J653" s="71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71"/>
      <c r="I654" s="72"/>
      <c r="J654" s="71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71"/>
      <c r="I655" s="72"/>
      <c r="J655" s="71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71"/>
      <c r="I656" s="72"/>
      <c r="J656" s="71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71"/>
      <c r="I657" s="72"/>
      <c r="J657" s="71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71"/>
      <c r="I658" s="72"/>
      <c r="J658" s="71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71"/>
      <c r="I659" s="72"/>
      <c r="J659" s="71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71"/>
      <c r="I660" s="72"/>
      <c r="J660" s="71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71"/>
      <c r="I661" s="72"/>
      <c r="J661" s="71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71"/>
      <c r="I662" s="72"/>
      <c r="J662" s="71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71"/>
      <c r="I663" s="72"/>
      <c r="J663" s="71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71"/>
      <c r="I664" s="72"/>
      <c r="J664" s="71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71"/>
      <c r="I665" s="72"/>
      <c r="J665" s="71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71"/>
      <c r="I666" s="72"/>
      <c r="J666" s="71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71"/>
      <c r="I667" s="72"/>
      <c r="J667" s="71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71"/>
      <c r="I668" s="72"/>
      <c r="J668" s="71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71"/>
      <c r="I669" s="72"/>
      <c r="J669" s="71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71"/>
      <c r="I670" s="72"/>
      <c r="J670" s="71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71"/>
      <c r="I671" s="72"/>
      <c r="J671" s="71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71"/>
      <c r="I672" s="72"/>
      <c r="J672" s="71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71"/>
      <c r="I673" s="72"/>
      <c r="J673" s="71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71"/>
      <c r="I674" s="72"/>
      <c r="J674" s="71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71"/>
      <c r="I675" s="72"/>
      <c r="J675" s="71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71"/>
      <c r="I676" s="72"/>
      <c r="J676" s="71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71"/>
      <c r="I677" s="72"/>
      <c r="J677" s="71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71"/>
      <c r="I678" s="72"/>
      <c r="J678" s="71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71"/>
      <c r="I679" s="72"/>
      <c r="J679" s="71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71"/>
      <c r="I680" s="72"/>
      <c r="J680" s="71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71"/>
      <c r="I681" s="72"/>
      <c r="J681" s="71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71"/>
      <c r="I682" s="72"/>
      <c r="J682" s="71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71"/>
      <c r="I683" s="72"/>
      <c r="J683" s="71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71"/>
      <c r="I684" s="72"/>
      <c r="J684" s="71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71"/>
      <c r="I685" s="72"/>
      <c r="J685" s="71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71"/>
      <c r="I686" s="72"/>
      <c r="J686" s="71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71"/>
      <c r="I687" s="72"/>
      <c r="J687" s="71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71"/>
      <c r="I688" s="72"/>
      <c r="J688" s="71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71"/>
      <c r="I689" s="72"/>
      <c r="J689" s="71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71"/>
      <c r="I690" s="72"/>
      <c r="J690" s="71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71"/>
      <c r="I691" s="72"/>
      <c r="J691" s="71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71"/>
      <c r="I692" s="72"/>
      <c r="J692" s="71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71"/>
      <c r="I693" s="72"/>
      <c r="J693" s="71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71"/>
      <c r="I694" s="72"/>
      <c r="J694" s="71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71"/>
      <c r="I695" s="72"/>
      <c r="J695" s="71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71"/>
      <c r="I696" s="72"/>
      <c r="J696" s="71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71"/>
      <c r="I697" s="72"/>
      <c r="J697" s="71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71"/>
      <c r="I698" s="72"/>
      <c r="J698" s="71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71"/>
      <c r="I699" s="72"/>
      <c r="J699" s="71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71"/>
      <c r="I700" s="72"/>
      <c r="J700" s="71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71"/>
      <c r="I701" s="72"/>
      <c r="J701" s="71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71"/>
      <c r="I702" s="72"/>
      <c r="J702" s="71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71"/>
      <c r="I703" s="72"/>
      <c r="J703" s="71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71"/>
      <c r="I704" s="72"/>
      <c r="J704" s="71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71"/>
      <c r="I705" s="72"/>
      <c r="J705" s="71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71"/>
      <c r="I706" s="72"/>
      <c r="J706" s="71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71"/>
      <c r="I707" s="72"/>
      <c r="J707" s="71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71"/>
      <c r="I708" s="72"/>
      <c r="J708" s="71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71"/>
      <c r="I709" s="72"/>
      <c r="J709" s="71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71"/>
      <c r="I710" s="72"/>
      <c r="J710" s="71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71"/>
      <c r="I711" s="72"/>
      <c r="J711" s="71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71"/>
      <c r="I712" s="72"/>
      <c r="J712" s="71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71"/>
      <c r="I713" s="72"/>
      <c r="J713" s="71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71"/>
      <c r="I714" s="72"/>
      <c r="J714" s="71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71"/>
      <c r="I715" s="72"/>
      <c r="J715" s="71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71"/>
      <c r="I716" s="72"/>
      <c r="J716" s="71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71"/>
      <c r="I717" s="72"/>
      <c r="J717" s="71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71"/>
      <c r="I718" s="72"/>
      <c r="J718" s="71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71"/>
      <c r="I719" s="72"/>
      <c r="J719" s="71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71"/>
      <c r="I720" s="72"/>
      <c r="J720" s="71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71"/>
      <c r="I721" s="72"/>
      <c r="J721" s="71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71"/>
      <c r="I722" s="72"/>
      <c r="J722" s="71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71"/>
      <c r="I723" s="72"/>
      <c r="J723" s="71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71"/>
      <c r="I724" s="72"/>
      <c r="J724" s="71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71"/>
      <c r="I725" s="72"/>
      <c r="J725" s="71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71"/>
      <c r="I726" s="72"/>
      <c r="J726" s="71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71"/>
      <c r="I727" s="72"/>
      <c r="J727" s="71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71"/>
      <c r="I728" s="72"/>
      <c r="J728" s="71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71"/>
      <c r="I729" s="72"/>
      <c r="J729" s="71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71"/>
      <c r="I730" s="72"/>
      <c r="J730" s="71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71"/>
      <c r="I731" s="72"/>
      <c r="J731" s="71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71"/>
      <c r="I732" s="72"/>
      <c r="J732" s="71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71"/>
      <c r="I733" s="72"/>
      <c r="J733" s="71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71"/>
      <c r="I734" s="72"/>
      <c r="J734" s="71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71"/>
      <c r="I735" s="72"/>
      <c r="J735" s="71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71"/>
      <c r="I736" s="72"/>
      <c r="J736" s="71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71"/>
      <c r="I737" s="72"/>
      <c r="J737" s="71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71"/>
      <c r="I738" s="72"/>
      <c r="J738" s="71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71"/>
      <c r="I739" s="72"/>
      <c r="J739" s="71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71"/>
      <c r="I740" s="72"/>
      <c r="J740" s="71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71"/>
      <c r="I741" s="72"/>
      <c r="J741" s="71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71"/>
      <c r="I742" s="72"/>
      <c r="J742" s="71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71"/>
      <c r="I743" s="72"/>
      <c r="J743" s="71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71"/>
      <c r="I744" s="72"/>
      <c r="J744" s="71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71"/>
      <c r="I745" s="72"/>
      <c r="J745" s="71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71"/>
      <c r="I746" s="72"/>
      <c r="J746" s="71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71"/>
      <c r="I747" s="72"/>
      <c r="J747" s="71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71"/>
      <c r="I748" s="72"/>
      <c r="J748" s="71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71"/>
      <c r="I749" s="72"/>
      <c r="J749" s="71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71"/>
      <c r="I750" s="72"/>
      <c r="J750" s="71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71"/>
      <c r="I751" s="72"/>
      <c r="J751" s="71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71"/>
      <c r="I752" s="72"/>
      <c r="J752" s="71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71"/>
      <c r="I753" s="72"/>
      <c r="J753" s="71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71"/>
      <c r="I754" s="72"/>
      <c r="J754" s="71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71"/>
      <c r="I755" s="72"/>
      <c r="J755" s="71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71"/>
      <c r="I756" s="72"/>
      <c r="J756" s="71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71"/>
      <c r="I757" s="72"/>
      <c r="J757" s="71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71"/>
      <c r="I758" s="72"/>
      <c r="J758" s="71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71"/>
      <c r="I759" s="72"/>
      <c r="J759" s="71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71"/>
      <c r="I760" s="72"/>
      <c r="J760" s="71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71"/>
      <c r="I761" s="72"/>
      <c r="J761" s="71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71"/>
      <c r="I762" s="72"/>
      <c r="J762" s="71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71"/>
      <c r="I763" s="72"/>
      <c r="J763" s="71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71"/>
      <c r="I764" s="72"/>
      <c r="J764" s="71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71"/>
      <c r="I765" s="72"/>
      <c r="J765" s="71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71"/>
      <c r="I766" s="72"/>
      <c r="J766" s="71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71"/>
      <c r="I767" s="72"/>
      <c r="J767" s="71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71"/>
      <c r="I768" s="72"/>
      <c r="J768" s="71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71"/>
      <c r="I769" s="72"/>
      <c r="J769" s="71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71"/>
      <c r="I770" s="72"/>
      <c r="J770" s="71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71"/>
      <c r="I771" s="72"/>
      <c r="J771" s="71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71"/>
      <c r="I772" s="72"/>
      <c r="J772" s="71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71"/>
      <c r="I773" s="72"/>
      <c r="J773" s="71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71"/>
      <c r="I774" s="72"/>
      <c r="J774" s="71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71"/>
      <c r="I775" s="72"/>
      <c r="J775" s="71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71"/>
      <c r="I776" s="72"/>
      <c r="J776" s="71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71"/>
      <c r="I777" s="72"/>
      <c r="J777" s="71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71"/>
      <c r="I778" s="72"/>
      <c r="J778" s="71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71"/>
      <c r="I779" s="72"/>
      <c r="J779" s="71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71"/>
      <c r="I780" s="72"/>
      <c r="J780" s="71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71"/>
      <c r="I781" s="72"/>
      <c r="J781" s="71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71"/>
      <c r="I782" s="72"/>
      <c r="J782" s="71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71"/>
      <c r="I783" s="72"/>
      <c r="J783" s="71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71"/>
      <c r="I784" s="72"/>
      <c r="J784" s="71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71"/>
      <c r="I785" s="72"/>
      <c r="J785" s="71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71"/>
      <c r="I786" s="72"/>
      <c r="J786" s="71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71"/>
      <c r="I787" s="72"/>
      <c r="J787" s="71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71"/>
      <c r="I788" s="72"/>
      <c r="J788" s="71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71"/>
      <c r="I789" s="72"/>
      <c r="J789" s="71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71"/>
      <c r="I790" s="72"/>
      <c r="J790" s="71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71"/>
      <c r="I791" s="72"/>
      <c r="J791" s="71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71"/>
      <c r="I792" s="72"/>
      <c r="J792" s="71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71"/>
      <c r="I793" s="72"/>
      <c r="J793" s="71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71"/>
      <c r="I794" s="72"/>
      <c r="J794" s="71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71"/>
      <c r="I795" s="72"/>
      <c r="J795" s="71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71"/>
      <c r="I796" s="72"/>
      <c r="J796" s="71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71"/>
      <c r="I797" s="72"/>
      <c r="J797" s="71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71"/>
      <c r="I798" s="72"/>
      <c r="J798" s="71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71"/>
      <c r="I799" s="72"/>
      <c r="J799" s="71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71"/>
      <c r="I800" s="72"/>
      <c r="J800" s="71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71"/>
      <c r="I801" s="72"/>
      <c r="J801" s="71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71"/>
      <c r="I802" s="72"/>
      <c r="J802" s="71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71"/>
      <c r="I803" s="72"/>
      <c r="J803" s="71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71"/>
      <c r="I804" s="72"/>
      <c r="J804" s="71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71"/>
      <c r="I805" s="72"/>
      <c r="J805" s="71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71"/>
      <c r="I806" s="72"/>
      <c r="J806" s="71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71"/>
      <c r="I807" s="72"/>
      <c r="J807" s="71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71"/>
      <c r="I808" s="72"/>
      <c r="J808" s="71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71"/>
      <c r="I809" s="72"/>
      <c r="J809" s="71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71"/>
      <c r="I810" s="72"/>
      <c r="J810" s="71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71"/>
      <c r="I811" s="72"/>
      <c r="J811" s="71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71"/>
      <c r="I812" s="72"/>
      <c r="J812" s="71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71"/>
      <c r="I813" s="72"/>
      <c r="J813" s="71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71"/>
      <c r="I814" s="72"/>
      <c r="J814" s="71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71"/>
      <c r="I815" s="72"/>
      <c r="J815" s="71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71"/>
      <c r="I816" s="72"/>
      <c r="J816" s="71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71"/>
      <c r="I817" s="72"/>
      <c r="J817" s="71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71"/>
      <c r="I818" s="72"/>
      <c r="J818" s="71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71"/>
      <c r="I819" s="72"/>
      <c r="J819" s="71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71"/>
      <c r="I820" s="72"/>
      <c r="J820" s="71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71"/>
      <c r="I821" s="72"/>
      <c r="J821" s="71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71"/>
      <c r="I822" s="72"/>
      <c r="J822" s="71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71"/>
      <c r="I823" s="72"/>
      <c r="J823" s="71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71"/>
      <c r="I824" s="72"/>
      <c r="J824" s="71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71"/>
      <c r="I825" s="72"/>
      <c r="J825" s="71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71"/>
      <c r="I826" s="72"/>
      <c r="J826" s="71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71"/>
      <c r="I827" s="72"/>
      <c r="J827" s="71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71"/>
      <c r="I828" s="72"/>
      <c r="J828" s="71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71"/>
      <c r="I829" s="72"/>
      <c r="J829" s="71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71"/>
      <c r="I830" s="72"/>
      <c r="J830" s="71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71"/>
      <c r="I831" s="72"/>
      <c r="J831" s="71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71"/>
      <c r="I832" s="72"/>
      <c r="J832" s="71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71"/>
      <c r="I833" s="72"/>
      <c r="J833" s="71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71"/>
      <c r="I834" s="72"/>
      <c r="J834" s="71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71"/>
      <c r="I835" s="72"/>
      <c r="J835" s="71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71"/>
      <c r="I836" s="72"/>
      <c r="J836" s="71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71"/>
      <c r="I837" s="72"/>
      <c r="J837" s="71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71"/>
      <c r="I838" s="72"/>
      <c r="J838" s="71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71"/>
      <c r="I839" s="72"/>
      <c r="J839" s="71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71"/>
      <c r="I840" s="72"/>
      <c r="J840" s="71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71"/>
      <c r="I841" s="72"/>
      <c r="J841" s="71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71"/>
      <c r="I842" s="72"/>
      <c r="J842" s="71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71"/>
      <c r="I843" s="72"/>
      <c r="J843" s="71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71"/>
      <c r="I844" s="72"/>
      <c r="J844" s="71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71"/>
      <c r="I845" s="72"/>
      <c r="J845" s="71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71"/>
      <c r="I846" s="72"/>
      <c r="J846" s="71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71"/>
      <c r="I847" s="72"/>
      <c r="J847" s="71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71"/>
      <c r="I848" s="72"/>
      <c r="J848" s="71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71"/>
      <c r="I849" s="72"/>
      <c r="J849" s="71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71"/>
      <c r="I850" s="72"/>
      <c r="J850" s="71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71"/>
      <c r="I851" s="72"/>
      <c r="J851" s="71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71"/>
      <c r="I852" s="72"/>
      <c r="J852" s="71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71"/>
      <c r="I853" s="72"/>
      <c r="J853" s="71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71"/>
      <c r="I854" s="72"/>
      <c r="J854" s="71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71"/>
      <c r="I855" s="72"/>
      <c r="J855" s="71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71"/>
      <c r="I856" s="72"/>
      <c r="J856" s="71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71"/>
      <c r="I857" s="72"/>
      <c r="J857" s="71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71"/>
      <c r="I858" s="72"/>
      <c r="J858" s="71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71"/>
      <c r="I859" s="72"/>
      <c r="J859" s="71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71"/>
      <c r="I860" s="72"/>
      <c r="J860" s="71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71"/>
      <c r="I861" s="72"/>
      <c r="J861" s="71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71"/>
      <c r="I862" s="72"/>
      <c r="J862" s="71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71"/>
      <c r="I863" s="72"/>
      <c r="J863" s="71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71"/>
      <c r="I864" s="72"/>
      <c r="J864" s="71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71"/>
      <c r="I865" s="72"/>
      <c r="J865" s="71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71"/>
      <c r="I866" s="72"/>
      <c r="J866" s="71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71"/>
      <c r="I867" s="72"/>
      <c r="J867" s="71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71"/>
      <c r="I868" s="72"/>
      <c r="J868" s="71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71"/>
      <c r="I869" s="72"/>
      <c r="J869" s="71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71"/>
      <c r="I870" s="72"/>
      <c r="J870" s="71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71"/>
      <c r="I871" s="72"/>
      <c r="J871" s="71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71"/>
      <c r="I872" s="72"/>
      <c r="J872" s="71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71"/>
      <c r="I873" s="72"/>
      <c r="J873" s="71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71"/>
      <c r="I874" s="72"/>
      <c r="J874" s="71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71"/>
      <c r="I875" s="72"/>
      <c r="J875" s="71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71"/>
      <c r="I876" s="72"/>
      <c r="J876" s="71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71"/>
      <c r="I877" s="72"/>
      <c r="J877" s="71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71"/>
      <c r="I878" s="72"/>
      <c r="J878" s="71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71"/>
      <c r="I879" s="72"/>
      <c r="J879" s="71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71"/>
      <c r="I880" s="72"/>
      <c r="J880" s="71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71"/>
      <c r="I881" s="72"/>
      <c r="J881" s="71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71"/>
      <c r="I882" s="72"/>
      <c r="J882" s="71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71"/>
      <c r="I883" s="72"/>
      <c r="J883" s="71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71"/>
      <c r="I884" s="72"/>
      <c r="J884" s="71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71"/>
      <c r="I885" s="72"/>
      <c r="J885" s="71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71"/>
      <c r="I886" s="72"/>
      <c r="J886" s="71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71"/>
      <c r="I887" s="72"/>
      <c r="J887" s="71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71"/>
      <c r="I888" s="72"/>
      <c r="J888" s="71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71"/>
      <c r="I889" s="72"/>
      <c r="J889" s="71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71"/>
      <c r="I890" s="72"/>
      <c r="J890" s="71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71"/>
      <c r="I891" s="72"/>
      <c r="J891" s="71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71"/>
      <c r="I892" s="72"/>
      <c r="J892" s="71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71"/>
      <c r="I893" s="72"/>
      <c r="J893" s="71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71"/>
      <c r="I894" s="72"/>
      <c r="J894" s="71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71"/>
      <c r="I895" s="72"/>
      <c r="J895" s="71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71"/>
      <c r="I896" s="72"/>
      <c r="J896" s="71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71"/>
      <c r="I897" s="72"/>
      <c r="J897" s="71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71"/>
      <c r="I898" s="72"/>
      <c r="J898" s="71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71"/>
      <c r="I899" s="72"/>
      <c r="J899" s="71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71"/>
      <c r="I900" s="72"/>
      <c r="J900" s="71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71"/>
      <c r="I901" s="72"/>
      <c r="J901" s="71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71"/>
      <c r="I902" s="72"/>
      <c r="J902" s="71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71"/>
      <c r="I903" s="72"/>
      <c r="J903" s="71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71"/>
      <c r="I904" s="72"/>
      <c r="J904" s="71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71"/>
      <c r="I905" s="72"/>
      <c r="J905" s="71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71"/>
      <c r="I906" s="72"/>
      <c r="J906" s="71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71"/>
      <c r="I907" s="72"/>
      <c r="J907" s="71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71"/>
      <c r="I908" s="72"/>
      <c r="J908" s="71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71"/>
      <c r="I909" s="72"/>
      <c r="J909" s="71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71"/>
      <c r="I910" s="72"/>
      <c r="J910" s="71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71"/>
      <c r="I911" s="72"/>
      <c r="J911" s="71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71"/>
      <c r="I912" s="72"/>
      <c r="J912" s="71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71"/>
      <c r="I913" s="72"/>
      <c r="J913" s="71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71"/>
      <c r="I914" s="72"/>
      <c r="J914" s="71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71"/>
      <c r="I915" s="72"/>
      <c r="J915" s="71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71"/>
      <c r="I916" s="72"/>
      <c r="J916" s="71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71"/>
      <c r="I917" s="72"/>
      <c r="J917" s="71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71"/>
      <c r="I918" s="72"/>
      <c r="J918" s="71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71"/>
      <c r="I919" s="72"/>
      <c r="J919" s="71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71"/>
      <c r="I920" s="72"/>
      <c r="J920" s="71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71"/>
      <c r="I921" s="72"/>
      <c r="J921" s="71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71"/>
      <c r="I922" s="72"/>
      <c r="J922" s="71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71"/>
      <c r="I923" s="72"/>
      <c r="J923" s="71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71"/>
      <c r="I924" s="72"/>
      <c r="J924" s="71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71"/>
      <c r="I925" s="72"/>
      <c r="J925" s="71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71"/>
      <c r="I926" s="72"/>
      <c r="J926" s="71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71"/>
      <c r="I927" s="72"/>
      <c r="J927" s="71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71"/>
      <c r="I928" s="72"/>
      <c r="J928" s="71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71"/>
      <c r="I929" s="72"/>
      <c r="J929" s="71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71"/>
      <c r="I930" s="72"/>
      <c r="J930" s="71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71"/>
      <c r="I931" s="72"/>
      <c r="J931" s="71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71"/>
      <c r="I932" s="72"/>
      <c r="J932" s="71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71"/>
      <c r="I933" s="72"/>
      <c r="J933" s="71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71"/>
      <c r="I934" s="72"/>
      <c r="J934" s="71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71"/>
      <c r="I935" s="72"/>
      <c r="J935" s="71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71"/>
      <c r="I936" s="72"/>
      <c r="J936" s="71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71"/>
      <c r="I937" s="72"/>
      <c r="J937" s="71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71"/>
      <c r="I938" s="72"/>
      <c r="J938" s="71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71"/>
      <c r="I939" s="72"/>
      <c r="J939" s="71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71"/>
      <c r="I940" s="72"/>
      <c r="J940" s="71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71"/>
      <c r="I941" s="72"/>
      <c r="J941" s="71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71"/>
      <c r="I942" s="72"/>
      <c r="J942" s="71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71"/>
      <c r="I943" s="72"/>
      <c r="J943" s="71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71"/>
      <c r="I944" s="72"/>
      <c r="J944" s="71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71"/>
      <c r="I945" s="72"/>
      <c r="J945" s="71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71"/>
      <c r="I946" s="72"/>
      <c r="J946" s="71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71"/>
      <c r="I947" s="72"/>
      <c r="J947" s="71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71"/>
      <c r="I948" s="72"/>
      <c r="J948" s="71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71"/>
      <c r="I949" s="72"/>
      <c r="J949" s="71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71"/>
      <c r="I950" s="72"/>
      <c r="J950" s="71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71"/>
      <c r="I951" s="72"/>
      <c r="J951" s="71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71"/>
      <c r="I952" s="72"/>
      <c r="J952" s="71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71"/>
      <c r="I953" s="72"/>
      <c r="J953" s="71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71"/>
      <c r="I954" s="72"/>
      <c r="J954" s="71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71"/>
      <c r="I955" s="72"/>
      <c r="J955" s="71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71"/>
      <c r="I956" s="72"/>
      <c r="J956" s="71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71"/>
      <c r="I957" s="72"/>
      <c r="J957" s="71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71"/>
      <c r="I958" s="72"/>
      <c r="J958" s="71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71"/>
      <c r="I959" s="72"/>
      <c r="J959" s="71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71"/>
      <c r="I960" s="72"/>
      <c r="J960" s="71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71"/>
      <c r="I961" s="72"/>
      <c r="J961" s="71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71"/>
      <c r="I962" s="72"/>
      <c r="J962" s="71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71"/>
      <c r="I963" s="72"/>
      <c r="J963" s="71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71"/>
      <c r="I964" s="72"/>
      <c r="J964" s="71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71"/>
      <c r="I965" s="72"/>
      <c r="J965" s="71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71"/>
      <c r="I966" s="72"/>
      <c r="J966" s="71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71"/>
      <c r="I967" s="72"/>
      <c r="J967" s="71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71"/>
      <c r="I968" s="72"/>
      <c r="J968" s="71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71"/>
      <c r="I969" s="72"/>
      <c r="J969" s="71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71"/>
      <c r="I970" s="72"/>
      <c r="J970" s="71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71"/>
      <c r="I971" s="72"/>
      <c r="J971" s="71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71"/>
      <c r="I972" s="72"/>
      <c r="J972" s="71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71"/>
      <c r="I973" s="72"/>
      <c r="J973" s="71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71"/>
      <c r="I974" s="72"/>
      <c r="J974" s="71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71"/>
      <c r="I975" s="72"/>
      <c r="J975" s="71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71"/>
      <c r="I976" s="72"/>
      <c r="J976" s="71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71"/>
      <c r="I977" s="72"/>
      <c r="J977" s="71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71"/>
      <c r="I978" s="72"/>
      <c r="J978" s="71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71"/>
      <c r="I979" s="72"/>
      <c r="J979" s="71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71"/>
      <c r="I980" s="72"/>
      <c r="J980" s="71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71"/>
      <c r="I981" s="72"/>
      <c r="J981" s="71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71"/>
      <c r="I982" s="72"/>
      <c r="J982" s="71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71"/>
      <c r="I983" s="72"/>
      <c r="J983" s="71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71"/>
      <c r="I984" s="72"/>
      <c r="J984" s="71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71"/>
      <c r="I985" s="72"/>
      <c r="J985" s="71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71"/>
      <c r="I986" s="72"/>
      <c r="J986" s="71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71"/>
      <c r="I987" s="72"/>
      <c r="J987" s="71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71"/>
      <c r="I988" s="72"/>
      <c r="J988" s="71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71"/>
      <c r="I989" s="72"/>
      <c r="J989" s="71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71"/>
      <c r="I990" s="72"/>
      <c r="J990" s="71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71"/>
      <c r="I991" s="72"/>
      <c r="J991" s="71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71"/>
      <c r="I992" s="72"/>
      <c r="J992" s="71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71"/>
      <c r="I993" s="72"/>
      <c r="J993" s="71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71"/>
      <c r="I994" s="72"/>
      <c r="J994" s="71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71"/>
      <c r="I995" s="72"/>
      <c r="J995" s="71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71"/>
      <c r="I996" s="72"/>
      <c r="J996" s="71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71"/>
      <c r="I997" s="72"/>
      <c r="J997" s="71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71"/>
      <c r="I998" s="72"/>
      <c r="J998" s="71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71"/>
      <c r="I999" s="72"/>
      <c r="J999" s="71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71"/>
      <c r="I1000" s="72"/>
      <c r="J1000" s="71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ataValidations>
    <dataValidation type="custom" allowBlank="1" showDropDown="1" sqref="H2:J20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