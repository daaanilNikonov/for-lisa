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10.2026" sheetId="1" state="visible" r:id="rId1"/>
    <sheet name="Списки" sheetId="2" state="hidden" r:id="rId2"/>
  </sheets>
  <definedNames>
    <definedName name="StatusList">Списки!$A$1:$A$2</definedName>
    <definedName name="_xlnm.Print_Titles" localSheetId="0">'26.10.2026'!$1:$3</definedName>
    <definedName name="_xlnm.Print_Area" localSheetId="0">'26.10.2026'!$A$1:$L$59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9">
    <font>
      <name val="Calibri"/>
      <family val="2"/>
      <color theme="1"/>
      <sz val="11"/>
      <scheme val="minor"/>
    </font>
    <font>
      <name val="Arial"/>
      <b val="1"/>
      <color rgb="001A1A1A"/>
      <sz val="18"/>
    </font>
    <font>
      <name val="Arial"/>
      <b val="1"/>
      <color rgb="005E5E5E"/>
      <sz val="9"/>
    </font>
    <font>
      <name val="Arial"/>
      <color rgb="001A1A1A"/>
      <sz val="12"/>
    </font>
    <font>
      <name val="Arial"/>
      <b val="1"/>
      <color rgb="00FFFFFF"/>
      <sz val="13"/>
    </font>
    <font>
      <name val="Arial"/>
      <i val="1"/>
      <color rgb="003D4A57"/>
      <sz val="9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1A1A1A"/>
      <sz val="10"/>
    </font>
    <font>
      <name val="Arial"/>
      <i val="1"/>
      <color rgb="00444444"/>
      <sz val="10"/>
    </font>
    <font>
      <name val="Arial"/>
      <b val="1"/>
      <color rgb="001A1A1A"/>
      <sz val="10"/>
    </font>
    <font>
      <name val="Arial"/>
      <i val="1"/>
      <color rgb="00666666"/>
      <sz val="9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color rgb="001A1A1A"/>
      <sz val="11"/>
    </font>
    <font>
      <name val="Arial"/>
      <b val="1"/>
      <color rgb="00888888"/>
      <sz val="10"/>
    </font>
    <font>
      <name val="Arial"/>
      <i val="1"/>
      <color rgb="00888888"/>
      <sz val="8"/>
    </font>
  </fonts>
  <fills count="18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F3F3F3"/>
      </patternFill>
    </fill>
    <fill>
      <patternFill patternType="solid">
        <fgColor rgb="00FFFDF8"/>
      </patternFill>
    </fill>
    <fill>
      <patternFill patternType="solid">
        <fgColor rgb="001F4E79"/>
      </patternFill>
    </fill>
    <fill>
      <patternFill patternType="solid">
        <fgColor rgb="00F4F7FB"/>
      </patternFill>
    </fill>
    <fill>
      <patternFill patternType="solid">
        <fgColor rgb="00D6E3F0"/>
      </patternFill>
    </fill>
    <fill>
      <patternFill patternType="solid">
        <fgColor rgb="00FFFFFF"/>
      </patternFill>
    </fill>
    <fill>
      <patternFill patternType="solid">
        <fgColor rgb="00FFF4D4"/>
      </patternFill>
    </fill>
    <fill>
      <patternFill patternType="solid">
        <fgColor rgb="00276221"/>
      </patternFill>
    </fill>
    <fill>
      <patternFill patternType="solid">
        <fgColor rgb="00D9EAD3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E7EEF6"/>
      </patternFill>
    </fill>
    <fill>
      <patternFill patternType="solid">
        <fgColor rgb="00F7F9FB"/>
      </patternFill>
    </fill>
    <fill>
      <patternFill patternType="solid">
        <fgColor rgb="005B3A86"/>
      </patternFill>
    </fill>
    <fill>
      <patternFill patternType="solid">
        <fgColor rgb="00E6DDF2"/>
      </patternFill>
    </fill>
  </fills>
  <borders count="15">
    <border>
      <left/>
      <right/>
      <top/>
      <bottom/>
      <diagonal/>
    </border>
    <border/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  <border>
      <left/>
      <right/>
      <top style="thin">
        <color rgb="00C8C8C8"/>
      </top>
      <bottom style="thin">
        <color rgb="00C8C8C8"/>
      </bottom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medium">
        <color rgb="001F4E79"/>
      </bottom>
    </border>
    <border>
      <left style="thin">
        <color rgb="00C8C8C8"/>
      </left>
      <right/>
      <top/>
      <bottom/>
      <diagonal/>
    </border>
    <border>
      <left style="thin">
        <color rgb="00C8C8C8"/>
      </left>
      <right style="thin">
        <color rgb="00C8C8C8"/>
      </right>
      <top/>
      <bottom/>
      <diagonal/>
    </border>
    <border>
      <left style="thin">
        <color rgb="00C8C8C8"/>
      </left>
      <right style="thin">
        <color rgb="00C8C8C8"/>
      </right>
      <top/>
      <bottom style="medium">
        <color rgb="001F4E79"/>
      </bottom>
      <diagonal/>
    </border>
    <border>
      <left/>
      <right style="thin">
        <color rgb="00C8C8C8"/>
      </right>
      <top/>
      <bottom/>
      <diagonal/>
    </border>
    <border>
      <left style="thin">
        <color rgb="00C8C8C8"/>
      </left>
      <right/>
      <top/>
      <bottom style="medium">
        <color rgb="001F4E79"/>
      </bottom>
      <diagonal/>
    </border>
    <border>
      <left/>
      <right/>
      <top/>
      <bottom style="medium">
        <color rgb="001F4E79"/>
      </bottom>
      <diagonal/>
    </border>
    <border>
      <left/>
      <right style="thin">
        <color rgb="00C8C8C8"/>
      </right>
      <top/>
      <bottom style="medium">
        <color rgb="001F4E79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5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6" fillId="5" borderId="2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0" fontId="0" fillId="7" borderId="7" applyAlignment="1" pivotButton="0" quotePrefix="0" xfId="0">
      <alignment horizontal="left" vertical="center" wrapText="1" indent="1"/>
    </xf>
    <xf numFmtId="0" fontId="10" fillId="8" borderId="2" applyAlignment="1" pivotButton="0" quotePrefix="0" xfId="0">
      <alignment horizontal="center" vertical="center" wrapText="1"/>
    </xf>
    <xf numFmtId="3" fontId="3" fillId="8" borderId="2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left" vertical="top" wrapText="1" inden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10" fillId="9" borderId="2" applyAlignment="1" pivotButton="0" quotePrefix="0" xfId="0">
      <alignment horizontal="center" vertical="center" wrapText="1"/>
    </xf>
    <xf numFmtId="3" fontId="3" fillId="9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1" fillId="3" borderId="7" applyAlignment="1" pivotButton="0" quotePrefix="0" xfId="0">
      <alignment horizontal="center" vertical="center" wrapText="1"/>
    </xf>
    <xf numFmtId="9" fontId="9" fillId="3" borderId="7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left" vertical="center" wrapText="1" indent="1"/>
    </xf>
    <xf numFmtId="0" fontId="7" fillId="12" borderId="7" applyAlignment="1" pivotButton="0" quotePrefix="0" xfId="0">
      <alignment horizontal="center" vertical="center" wrapText="1"/>
    </xf>
    <xf numFmtId="0" fontId="0" fillId="13" borderId="7" applyAlignment="1" pivotButton="0" quotePrefix="0" xfId="0">
      <alignment horizontal="left" vertical="center" wrapText="1" indent="1"/>
    </xf>
    <xf numFmtId="0" fontId="12" fillId="14" borderId="7" applyAlignment="1" pivotButton="0" quotePrefix="0" xfId="0">
      <alignment horizontal="left" vertical="center" wrapText="1" indent="1"/>
    </xf>
    <xf numFmtId="0" fontId="12" fillId="14" borderId="2" applyAlignment="1" pivotButton="0" quotePrefix="0" xfId="0">
      <alignment horizontal="center" vertical="center" wrapText="1"/>
    </xf>
    <xf numFmtId="3" fontId="12" fillId="14" borderId="2" applyAlignment="1" pivotButton="0" quotePrefix="0" xfId="0">
      <alignment horizontal="center" vertical="center" wrapText="1"/>
    </xf>
    <xf numFmtId="0" fontId="0" fillId="14" borderId="7" pivotButton="0" quotePrefix="0" xfId="0"/>
    <xf numFmtId="0" fontId="13" fillId="5" borderId="1" applyAlignment="1" pivotButton="0" quotePrefix="0" xfId="0">
      <alignment horizontal="left" vertical="center" wrapText="1" indent="1"/>
    </xf>
    <xf numFmtId="0" fontId="14" fillId="5" borderId="1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left" vertical="center" wrapText="1" indent="1"/>
    </xf>
    <xf numFmtId="0" fontId="8" fillId="8" borderId="2" applyAlignment="1" pivotButton="0" quotePrefix="0" xfId="0">
      <alignment horizontal="center" vertical="center" wrapText="1"/>
    </xf>
    <xf numFmtId="165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 indent="1"/>
    </xf>
    <xf numFmtId="0" fontId="17" fillId="15" borderId="2" applyAlignment="1" pivotButton="0" quotePrefix="0" xfId="0">
      <alignment horizontal="center" vertical="center" wrapText="1"/>
    </xf>
    <xf numFmtId="0" fontId="16" fillId="15" borderId="2" applyAlignment="1" pivotButton="0" quotePrefix="0" xfId="0">
      <alignment horizontal="left" vertical="center" wrapText="1" indent="1"/>
    </xf>
    <xf numFmtId="0" fontId="8" fillId="15" borderId="2" applyAlignment="1" pivotButton="0" quotePrefix="0" xfId="0">
      <alignment horizontal="center" vertical="center" wrapText="1"/>
    </xf>
    <xf numFmtId="165" fontId="8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 indent="1"/>
    </xf>
    <xf numFmtId="0" fontId="13" fillId="10" borderId="1" applyAlignment="1" pivotButton="0" quotePrefix="0" xfId="0">
      <alignment horizontal="left" vertical="center" wrapText="1" indent="1"/>
    </xf>
    <xf numFmtId="0" fontId="14" fillId="10" borderId="1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 indent="1"/>
    </xf>
    <xf numFmtId="0" fontId="14" fillId="12" borderId="1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left" vertical="center" wrapText="1" indent="1"/>
    </xf>
    <xf numFmtId="0" fontId="14" fillId="16" borderId="1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i val="1"/>
        <color rgb="007A5B00"/>
        <sz val="10"/>
      </font>
      <fill>
        <patternFill patternType="solid">
          <fgColor rgb="00FFF2CC"/>
        </patternFill>
      </fill>
    </dxf>
    <dxf>
      <font>
        <name val="Arial"/>
        <b val="1"/>
        <color rgb="009C0006"/>
        <sz val="10"/>
      </font>
      <fill>
        <patternFill patternType="solid">
          <fgColor rgb="00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900"/>
    <outlinePr summaryBelow="0" summaryRight="1"/>
    <pageSetUpPr fitToPage="1"/>
  </sheetPr>
  <dimension ref="A1:L59"/>
  <sheetViews>
    <sheetView showGridLines="0" view="normal" zoomScale="110" workbookViewId="0">
      <pane ySplit="4" topLeftCell="A5" activePane="bottomLeft" state="frozen"/>
      <selection pane="bottomLeft" activeCell="D8" sqref="D8"/>
    </sheetView>
  </sheetViews>
  <sheetFormatPr baseColWidth="8" defaultRowHeight="18"/>
  <cols>
    <col width="6" customWidth="1" min="1" max="1"/>
    <col width="28" customWidth="1" min="2" max="2"/>
    <col width="16" customWidth="1" min="3" max="3"/>
    <col width="13" customWidth="1" min="4" max="4"/>
    <col width="15" customWidth="1" min="5" max="5"/>
    <col width="18" customWidth="1" min="6" max="6"/>
    <col width="13" customWidth="1" min="7" max="7"/>
    <col width="15" customWidth="1" min="8" max="8"/>
    <col width="14" customWidth="1" min="9" max="9"/>
    <col width="18" customWidth="1" min="10" max="10"/>
    <col width="18" customWidth="1" min="11" max="11"/>
    <col width="20" customWidth="1" min="12" max="12"/>
  </cols>
  <sheetData>
    <row r="1" ht="36" customHeight="1">
      <c r="A1" s="1" t="inlineStr">
        <is>
          <t>ПРОТОКОЛ ПЛАНЕРКИ  ·  ГРУППА ПРОДУКТОВОГО ЗАПУСКА</t>
        </is>
      </c>
    </row>
    <row r="2" ht="16" customHeight="1">
      <c r="A2" s="2" t="inlineStr">
        <is>
          <t>Дата планерки</t>
        </is>
      </c>
      <c r="B2" s="3" t="n"/>
      <c r="C2" s="2" t="inlineStr">
        <is>
          <t>Период с</t>
        </is>
      </c>
      <c r="D2" s="3" t="n"/>
      <c r="E2" s="2" t="inlineStr">
        <is>
          <t>Период по</t>
        </is>
      </c>
      <c r="F2" s="3" t="n"/>
      <c r="G2" s="2" t="inlineStr">
        <is>
          <t>Ведущий</t>
        </is>
      </c>
      <c r="H2" s="4" t="n"/>
      <c r="I2" s="3" t="n"/>
      <c r="J2" s="2" t="inlineStr">
        <is>
          <t>Участники</t>
        </is>
      </c>
      <c r="K2" s="4" t="n"/>
      <c r="L2" s="3" t="n"/>
    </row>
    <row r="3" ht="24" customHeight="1">
      <c r="A3" s="5" t="n">
        <v>46321</v>
      </c>
      <c r="B3" s="3" t="n"/>
      <c r="C3" s="5" t="n"/>
      <c r="D3" s="3" t="n"/>
      <c r="E3" s="5" t="n"/>
      <c r="F3" s="3" t="n"/>
      <c r="G3" s="6" t="n"/>
      <c r="H3" s="4" t="n"/>
      <c r="I3" s="3" t="n"/>
      <c r="J3" s="6" t="inlineStr">
        <is>
          <t>Юнусова, Оглоблина, Кургузов, Коршак</t>
        </is>
      </c>
      <c r="K3" s="4" t="n"/>
      <c r="L3" s="3" t="n"/>
    </row>
    <row r="4" ht="8" customHeight="1"/>
    <row r="5" ht="24" customHeight="1">
      <c r="A5" s="7" t="inlineStr">
        <is>
          <t>1.  Показатели по проектам</t>
        </is>
      </c>
    </row>
    <row r="6" ht="36" customHeight="1">
      <c r="A6" s="8" t="inlineStr">
        <is>
          <t>Количество за период планерки. Воронка слева направо: база → обработано → успешные звонки (состоялся разговор) → демо → подключения → продажи. Строка «% выполнения» считается сама: факт ÷ план. План можно не заполнять.</t>
        </is>
      </c>
    </row>
    <row r="7" ht="32" customHeight="1">
      <c r="A7" s="9" t="inlineStr">
        <is>
          <t>№</t>
        </is>
      </c>
      <c r="B7" s="9" t="inlineStr">
        <is>
          <t>Проект</t>
        </is>
      </c>
      <c r="C7" s="9" t="inlineStr">
        <is>
          <t>Факт / план</t>
        </is>
      </c>
      <c r="D7" s="9" t="inlineStr">
        <is>
          <t>База</t>
        </is>
      </c>
      <c r="E7" s="9" t="inlineStr">
        <is>
          <t>Обработано</t>
        </is>
      </c>
      <c r="F7" s="9" t="inlineStr">
        <is>
          <t>Успешные
звонки</t>
        </is>
      </c>
      <c r="G7" s="9" t="inlineStr">
        <is>
          <t>Демо</t>
        </is>
      </c>
      <c r="H7" s="9" t="inlineStr">
        <is>
          <t>Подключения</t>
        </is>
      </c>
      <c r="I7" s="9" t="inlineStr">
        <is>
          <t>Продажи</t>
        </is>
      </c>
      <c r="J7" s="9" t="inlineStr">
        <is>
          <t>Комментарий</t>
        </is>
      </c>
      <c r="K7" s="4" t="n"/>
      <c r="L7" s="3" t="n"/>
    </row>
    <row r="8" ht="22" customHeight="1">
      <c r="A8" s="10" t="n">
        <v>1</v>
      </c>
      <c r="B8" s="11" t="inlineStr">
        <is>
          <r>
            <rPr>
              <rFont val="Arial"/>
              <b val="1"/>
              <color rgb="001A1A1A"/>
              <sz val="12"/>
            </rPr>
            <t>1С-ЭПД + Доки</t>
          </r>
          <r>
            <rPr>
              <rFont val="Arial"/>
              <color rgb="00333333"/>
              <sz val="10"/>
            </rPr>
            <t xml:space="preserve">
Юнусова, Оглоблина</t>
          </r>
        </is>
      </c>
      <c r="C8" s="12" t="inlineStr">
        <is>
          <t>Факт</t>
        </is>
      </c>
      <c r="D8" s="13" t="n"/>
      <c r="E8" s="13" t="n"/>
      <c r="F8" s="13" t="n"/>
      <c r="G8" s="13" t="n"/>
      <c r="H8" s="13" t="n"/>
      <c r="I8" s="13" t="n"/>
      <c r="J8" s="14" t="n"/>
      <c r="K8" s="15" t="n"/>
      <c r="L8" s="16" t="n"/>
    </row>
    <row r="9" ht="18" customHeight="1">
      <c r="A9" s="17" t="n"/>
      <c r="B9" s="17" t="n"/>
      <c r="C9" s="18" t="inlineStr">
        <is>
          <t>План</t>
        </is>
      </c>
      <c r="D9" s="19" t="n"/>
      <c r="E9" s="19" t="n"/>
      <c r="F9" s="19" t="n"/>
      <c r="G9" s="19" t="n"/>
      <c r="H9" s="19" t="n"/>
      <c r="I9" s="19" t="n"/>
      <c r="J9" s="20" t="n"/>
      <c r="L9" s="21" t="n"/>
    </row>
    <row r="10" ht="18" customHeight="1">
      <c r="A10" s="22" t="n"/>
      <c r="B10" s="22" t="n"/>
      <c r="C10" s="23" t="inlineStr">
        <is>
          <t>% выполнения</t>
        </is>
      </c>
      <c r="D10" s="24">
        <f>IF(OR(D9="",D9=0),"",IFERROR(D8/D9,""))</f>
        <v/>
      </c>
      <c r="E10" s="24">
        <f>IF(OR(E9="",E9=0),"",IFERROR(E8/E9,""))</f>
        <v/>
      </c>
      <c r="F10" s="24">
        <f>IF(OR(F9="",F9=0),"",IFERROR(F8/F9,""))</f>
        <v/>
      </c>
      <c r="G10" s="24">
        <f>IF(OR(G9="",G9=0),"",IFERROR(G8/G9,""))</f>
        <v/>
      </c>
      <c r="H10" s="24">
        <f>IF(OR(H9="",H9=0),"",IFERROR(H8/H9,""))</f>
        <v/>
      </c>
      <c r="I10" s="24">
        <f>IF(OR(I9="",I9=0),"",IFERROR(I8/I9,""))</f>
        <v/>
      </c>
      <c r="J10" s="25" t="n"/>
      <c r="K10" s="26" t="n"/>
      <c r="L10" s="27" t="n"/>
    </row>
    <row r="11" ht="22" customHeight="1">
      <c r="A11" s="28" t="n">
        <v>2</v>
      </c>
      <c r="B11" s="29" t="inlineStr">
        <is>
          <r>
            <rPr>
              <rFont val="Arial"/>
              <b val="1"/>
              <color rgb="001A1A1A"/>
              <sz val="12"/>
            </rPr>
            <t>Кабинет сотрудника</t>
          </r>
          <r>
            <rPr>
              <rFont val="Arial"/>
              <color rgb="00333333"/>
              <sz val="10"/>
            </rPr>
            <t xml:space="preserve">
Оглоблина, Кургузов</t>
          </r>
        </is>
      </c>
      <c r="C11" s="12" t="inlineStr">
        <is>
          <t>Факт</t>
        </is>
      </c>
      <c r="D11" s="13" t="n"/>
      <c r="E11" s="13" t="n"/>
      <c r="F11" s="13" t="n"/>
      <c r="G11" s="13" t="n"/>
      <c r="H11" s="13" t="n"/>
      <c r="I11" s="13" t="n"/>
      <c r="J11" s="14" t="n"/>
      <c r="K11" s="15" t="n"/>
      <c r="L11" s="16" t="n"/>
    </row>
    <row r="12" ht="18" customHeight="1">
      <c r="A12" s="17" t="n"/>
      <c r="B12" s="17" t="n"/>
      <c r="C12" s="18" t="inlineStr">
        <is>
          <t>План</t>
        </is>
      </c>
      <c r="D12" s="19" t="n"/>
      <c r="E12" s="19" t="n"/>
      <c r="F12" s="19" t="n"/>
      <c r="G12" s="19" t="n"/>
      <c r="H12" s="19" t="n"/>
      <c r="I12" s="19" t="n"/>
      <c r="J12" s="20" t="n"/>
      <c r="L12" s="21" t="n"/>
    </row>
    <row r="13" ht="18" customHeight="1">
      <c r="A13" s="22" t="n"/>
      <c r="B13" s="22" t="n"/>
      <c r="C13" s="23" t="inlineStr">
        <is>
          <t>% выполнения</t>
        </is>
      </c>
      <c r="D13" s="24">
        <f>IF(OR(D12="",D12=0),"",IFERROR(D11/D12,""))</f>
        <v/>
      </c>
      <c r="E13" s="24">
        <f>IF(OR(E12="",E12=0),"",IFERROR(E11/E12,""))</f>
        <v/>
      </c>
      <c r="F13" s="24">
        <f>IF(OR(F12="",F12=0),"",IFERROR(F11/F12,""))</f>
        <v/>
      </c>
      <c r="G13" s="24">
        <f>IF(OR(G12="",G12=0),"",IFERROR(G11/G12,""))</f>
        <v/>
      </c>
      <c r="H13" s="24">
        <f>IF(OR(H12="",H12=0),"",IFERROR(H11/H12,""))</f>
        <v/>
      </c>
      <c r="I13" s="24">
        <f>IF(OR(I12="",I12=0),"",IFERROR(I11/I12,""))</f>
        <v/>
      </c>
      <c r="J13" s="25" t="n"/>
      <c r="K13" s="26" t="n"/>
      <c r="L13" s="27" t="n"/>
    </row>
    <row r="14" ht="22" customHeight="1">
      <c r="A14" s="30" t="n">
        <v>3</v>
      </c>
      <c r="B14" s="31" t="inlineStr">
        <is>
          <r>
            <rPr>
              <rFont val="Arial"/>
              <b val="1"/>
              <color rgb="001A1A1A"/>
              <sz val="12"/>
            </rPr>
            <t>Блиц-запись</t>
          </r>
          <r>
            <rPr>
              <rFont val="Arial"/>
              <color rgb="00333333"/>
              <sz val="10"/>
            </rPr>
            <t xml:space="preserve">
Коршак</t>
          </r>
        </is>
      </c>
      <c r="C14" s="12" t="inlineStr">
        <is>
          <t>Факт</t>
        </is>
      </c>
      <c r="D14" s="13" t="n"/>
      <c r="E14" s="13" t="n"/>
      <c r="F14" s="13" t="n"/>
      <c r="G14" s="13" t="n"/>
      <c r="H14" s="13" t="n"/>
      <c r="I14" s="13" t="n"/>
      <c r="J14" s="14" t="n"/>
      <c r="K14" s="15" t="n"/>
      <c r="L14" s="16" t="n"/>
    </row>
    <row r="15" ht="18" customHeight="1">
      <c r="A15" s="17" t="n"/>
      <c r="B15" s="17" t="n"/>
      <c r="C15" s="18" t="inlineStr">
        <is>
          <t>План</t>
        </is>
      </c>
      <c r="D15" s="19" t="n"/>
      <c r="E15" s="19" t="n"/>
      <c r="F15" s="19" t="n"/>
      <c r="G15" s="19" t="n"/>
      <c r="H15" s="19" t="n"/>
      <c r="I15" s="19" t="n"/>
      <c r="J15" s="20" t="n"/>
      <c r="L15" s="21" t="n"/>
    </row>
    <row r="16" ht="18" customHeight="1">
      <c r="A16" s="22" t="n"/>
      <c r="B16" s="22" t="n"/>
      <c r="C16" s="23" t="inlineStr">
        <is>
          <t>% выполнения</t>
        </is>
      </c>
      <c r="D16" s="24">
        <f>IF(OR(D15="",D15=0),"",IFERROR(D14/D15,""))</f>
        <v/>
      </c>
      <c r="E16" s="24">
        <f>IF(OR(E15="",E15=0),"",IFERROR(E14/E15,""))</f>
        <v/>
      </c>
      <c r="F16" s="24">
        <f>IF(OR(F15="",F15=0),"",IFERROR(F14/F15,""))</f>
        <v/>
      </c>
      <c r="G16" s="24">
        <f>IF(OR(G15="",G15=0),"",IFERROR(G14/G15,""))</f>
        <v/>
      </c>
      <c r="H16" s="24">
        <f>IF(OR(H15="",H15=0),"",IFERROR(H14/H15,""))</f>
        <v/>
      </c>
      <c r="I16" s="24">
        <f>IF(OR(I15="",I15=0),"",IFERROR(I14/I15,""))</f>
        <v/>
      </c>
      <c r="J16" s="25" t="n"/>
      <c r="K16" s="26" t="n"/>
      <c r="L16" s="27" t="n"/>
    </row>
    <row r="17" ht="20" customHeight="1">
      <c r="A17" s="32" t="inlineStr">
        <is>
          <t>Итого по группе</t>
        </is>
      </c>
      <c r="B17" s="16" t="n"/>
      <c r="C17" s="33" t="inlineStr">
        <is>
          <t>Факт</t>
        </is>
      </c>
      <c r="D17" s="34">
        <f>IF(COUNT(D8,D11,D14)=0,"",SUM(D8,D11,D14))</f>
        <v/>
      </c>
      <c r="E17" s="34">
        <f>IF(COUNT(E8,E11,E14)=0,"",SUM(E8,E11,E14))</f>
        <v/>
      </c>
      <c r="F17" s="34">
        <f>IF(COUNT(F8,F11,F14)=0,"",SUM(F8,F11,F14))</f>
        <v/>
      </c>
      <c r="G17" s="34">
        <f>IF(COUNT(G8,G11,G14)=0,"",SUM(G8,G11,G14))</f>
        <v/>
      </c>
      <c r="H17" s="34">
        <f>IF(COUNT(H8,H11,H14)=0,"",SUM(H8,H11,H14))</f>
        <v/>
      </c>
      <c r="I17" s="34">
        <f>IF(COUNT(I8,I11,I14)=0,"",SUM(I8,I11,I14))</f>
        <v/>
      </c>
      <c r="J17" s="35" t="n"/>
      <c r="K17" s="15" t="n"/>
      <c r="L17" s="16" t="n"/>
    </row>
    <row r="18" ht="18" customHeight="1">
      <c r="A18" s="20" t="n"/>
      <c r="B18" s="21" t="n"/>
      <c r="C18" s="33" t="inlineStr">
        <is>
          <t>План</t>
        </is>
      </c>
      <c r="D18" s="34">
        <f>IF(COUNT(D9,D12,D15)=0,"",SUM(D9,D12,D15))</f>
        <v/>
      </c>
      <c r="E18" s="34">
        <f>IF(COUNT(E9,E12,E15)=0,"",SUM(E9,E12,E15))</f>
        <v/>
      </c>
      <c r="F18" s="34">
        <f>IF(COUNT(F9,F12,F15)=0,"",SUM(F9,F12,F15))</f>
        <v/>
      </c>
      <c r="G18" s="34">
        <f>IF(COUNT(G9,G12,G15)=0,"",SUM(G9,G12,G15))</f>
        <v/>
      </c>
      <c r="H18" s="34">
        <f>IF(COUNT(H9,H12,H15)=0,"",SUM(H9,H12,H15))</f>
        <v/>
      </c>
      <c r="I18" s="34">
        <f>IF(COUNT(I9,I12,I15)=0,"",SUM(I9,I12,I15))</f>
        <v/>
      </c>
      <c r="J18" s="20" t="n"/>
      <c r="L18" s="21" t="n"/>
    </row>
    <row r="19" ht="18" customHeight="1">
      <c r="A19" s="25" t="n"/>
      <c r="B19" s="27" t="n"/>
      <c r="C19" s="23" t="inlineStr">
        <is>
          <t>% выполнения</t>
        </is>
      </c>
      <c r="D19" s="24">
        <f>IF(OR(D18="",D18=0),"",IFERROR(D17/D18,""))</f>
        <v/>
      </c>
      <c r="E19" s="24">
        <f>IF(OR(E18="",E18=0),"",IFERROR(E17/E18,""))</f>
        <v/>
      </c>
      <c r="F19" s="24">
        <f>IF(OR(F18="",F18=0),"",IFERROR(F17/F18,""))</f>
        <v/>
      </c>
      <c r="G19" s="24">
        <f>IF(OR(G18="",G18=0),"",IFERROR(G17/G18,""))</f>
        <v/>
      </c>
      <c r="H19" s="24">
        <f>IF(OR(H18="",H18=0),"",IFERROR(H17/H18,""))</f>
        <v/>
      </c>
      <c r="I19" s="24">
        <f>IF(OR(I18="",I18=0),"",IFERROR(I17/I18,""))</f>
        <v/>
      </c>
      <c r="J19" s="25" t="n"/>
      <c r="K19" s="26" t="n"/>
      <c r="L19" s="27" t="n"/>
    </row>
    <row r="20" ht="10" customHeight="1"/>
    <row r="21" ht="24" customHeight="1">
      <c r="A21" s="7" t="inlineStr">
        <is>
          <t>2.  Задачи по проектам</t>
        </is>
      </c>
    </row>
    <row r="22" ht="36" customHeight="1">
      <c r="A22" s="8" t="inlineStr">
        <is>
          <t>По каждому проекту — свой список. Состояние выбирается из списка: «Выполнено» или «Не выполнено». Зелёным отмечается выполненное, красным — невыполненное. Пояснения пишите в комментарии, не в состоянии. Счётчик «вып. N из M» в правой части шапки проекта считается сам.</t>
        </is>
      </c>
    </row>
    <row r="23" ht="8" customHeight="1"/>
    <row r="24" ht="22" customHeight="1">
      <c r="A24" s="36" t="inlineStr">
        <is>
          <t>1С-ЭПД + Доки    ·    Юнусова, Оглоблина</t>
        </is>
      </c>
      <c r="L24" s="37">
        <f>IF(COUNTA(B26:B31)=0,"","вып. "&amp;SUMPRODUCT((B26:B31&lt;&gt;"")*(L26:L31="Выполнено"))&amp;" из "&amp;COUNTA(B26:B31))</f>
        <v/>
      </c>
    </row>
    <row r="25" ht="20" customHeight="1">
      <c r="A25" s="38" t="inlineStr">
        <is>
          <t>№</t>
        </is>
      </c>
      <c r="B25" s="38" t="inlineStr">
        <is>
          <t>Задача</t>
        </is>
      </c>
      <c r="C25" s="4" t="n"/>
      <c r="D25" s="4" t="n"/>
      <c r="E25" s="3" t="n"/>
      <c r="F25" s="38" t="inlineStr">
        <is>
          <t>Ответственный</t>
        </is>
      </c>
      <c r="G25" s="3" t="n"/>
      <c r="H25" s="38" t="inlineStr">
        <is>
          <t>Срок</t>
        </is>
      </c>
      <c r="I25" s="3" t="n"/>
      <c r="J25" s="38" t="inlineStr">
        <is>
          <t>Комментарии</t>
        </is>
      </c>
      <c r="K25" s="3" t="n"/>
      <c r="L25" s="38" t="inlineStr">
        <is>
          <t>Состояние</t>
        </is>
      </c>
    </row>
    <row r="26" ht="28" customHeight="1">
      <c r="A26" s="39" t="n">
        <v>1</v>
      </c>
      <c r="B26" s="40" t="n"/>
      <c r="C26" s="4" t="n"/>
      <c r="D26" s="4" t="n"/>
      <c r="E26" s="3" t="n"/>
      <c r="F26" s="41" t="n"/>
      <c r="G26" s="3" t="n"/>
      <c r="H26" s="42" t="n"/>
      <c r="I26" s="3" t="n"/>
      <c r="J26" s="43" t="n"/>
      <c r="K26" s="3" t="n"/>
      <c r="L26" s="41" t="n"/>
    </row>
    <row r="27" ht="28" customHeight="1">
      <c r="A27" s="44" t="n">
        <v>2</v>
      </c>
      <c r="B27" s="45" t="n"/>
      <c r="C27" s="4" t="n"/>
      <c r="D27" s="4" t="n"/>
      <c r="E27" s="3" t="n"/>
      <c r="F27" s="46" t="n"/>
      <c r="G27" s="3" t="n"/>
      <c r="H27" s="47" t="n"/>
      <c r="I27" s="3" t="n"/>
      <c r="J27" s="48" t="n"/>
      <c r="K27" s="3" t="n"/>
      <c r="L27" s="46" t="n"/>
    </row>
    <row r="28" ht="28" customHeight="1">
      <c r="A28" s="39" t="n">
        <v>3</v>
      </c>
      <c r="B28" s="40" t="n"/>
      <c r="C28" s="4" t="n"/>
      <c r="D28" s="4" t="n"/>
      <c r="E28" s="3" t="n"/>
      <c r="F28" s="41" t="n"/>
      <c r="G28" s="3" t="n"/>
      <c r="H28" s="42" t="n"/>
      <c r="I28" s="3" t="n"/>
      <c r="J28" s="43" t="n"/>
      <c r="K28" s="3" t="n"/>
      <c r="L28" s="41" t="n"/>
    </row>
    <row r="29" ht="28" customHeight="1">
      <c r="A29" s="44" t="n">
        <v>4</v>
      </c>
      <c r="B29" s="45" t="n"/>
      <c r="C29" s="4" t="n"/>
      <c r="D29" s="4" t="n"/>
      <c r="E29" s="3" t="n"/>
      <c r="F29" s="46" t="n"/>
      <c r="G29" s="3" t="n"/>
      <c r="H29" s="47" t="n"/>
      <c r="I29" s="3" t="n"/>
      <c r="J29" s="48" t="n"/>
      <c r="K29" s="3" t="n"/>
      <c r="L29" s="46" t="n"/>
    </row>
    <row r="30" ht="28" customHeight="1">
      <c r="A30" s="39" t="n">
        <v>5</v>
      </c>
      <c r="B30" s="40" t="n"/>
      <c r="C30" s="4" t="n"/>
      <c r="D30" s="4" t="n"/>
      <c r="E30" s="3" t="n"/>
      <c r="F30" s="41" t="n"/>
      <c r="G30" s="3" t="n"/>
      <c r="H30" s="42" t="n"/>
      <c r="I30" s="3" t="n"/>
      <c r="J30" s="43" t="n"/>
      <c r="K30" s="3" t="n"/>
      <c r="L30" s="41" t="n"/>
    </row>
    <row r="31" ht="28" customHeight="1">
      <c r="A31" s="44" t="n">
        <v>6</v>
      </c>
      <c r="B31" s="45" t="n"/>
      <c r="C31" s="4" t="n"/>
      <c r="D31" s="4" t="n"/>
      <c r="E31" s="3" t="n"/>
      <c r="F31" s="46" t="n"/>
      <c r="G31" s="3" t="n"/>
      <c r="H31" s="47" t="n"/>
      <c r="I31" s="3" t="n"/>
      <c r="J31" s="48" t="n"/>
      <c r="K31" s="3" t="n"/>
      <c r="L31" s="46" t="n"/>
    </row>
    <row r="32" ht="8" customHeight="1"/>
    <row r="33" ht="22" customHeight="1">
      <c r="A33" s="49" t="inlineStr">
        <is>
          <t>Кабинет сотрудника    ·    Оглоблина, Кургузов</t>
        </is>
      </c>
      <c r="L33" s="50">
        <f>IF(COUNTA(B35:B40)=0,"","вып. "&amp;SUMPRODUCT((B35:B40&lt;&gt;"")*(L35:L40="Выполнено"))&amp;" из "&amp;COUNTA(B35:B40))</f>
        <v/>
      </c>
    </row>
    <row r="34" ht="20" customHeight="1">
      <c r="A34" s="51" t="inlineStr">
        <is>
          <t>№</t>
        </is>
      </c>
      <c r="B34" s="51" t="inlineStr">
        <is>
          <t>Задача</t>
        </is>
      </c>
      <c r="C34" s="4" t="n"/>
      <c r="D34" s="4" t="n"/>
      <c r="E34" s="3" t="n"/>
      <c r="F34" s="51" t="inlineStr">
        <is>
          <t>Ответственный</t>
        </is>
      </c>
      <c r="G34" s="3" t="n"/>
      <c r="H34" s="51" t="inlineStr">
        <is>
          <t>Срок</t>
        </is>
      </c>
      <c r="I34" s="3" t="n"/>
      <c r="J34" s="51" t="inlineStr">
        <is>
          <t>Комментарии</t>
        </is>
      </c>
      <c r="K34" s="3" t="n"/>
      <c r="L34" s="51" t="inlineStr">
        <is>
          <t>Состояние</t>
        </is>
      </c>
    </row>
    <row r="35" ht="28" customHeight="1">
      <c r="A35" s="39" t="n">
        <v>1</v>
      </c>
      <c r="B35" s="40" t="n"/>
      <c r="C35" s="4" t="n"/>
      <c r="D35" s="4" t="n"/>
      <c r="E35" s="3" t="n"/>
      <c r="F35" s="41" t="n"/>
      <c r="G35" s="3" t="n"/>
      <c r="H35" s="42" t="n"/>
      <c r="I35" s="3" t="n"/>
      <c r="J35" s="43" t="n"/>
      <c r="K35" s="3" t="n"/>
      <c r="L35" s="41" t="n"/>
    </row>
    <row r="36" ht="28" customHeight="1">
      <c r="A36" s="44" t="n">
        <v>2</v>
      </c>
      <c r="B36" s="45" t="n"/>
      <c r="C36" s="4" t="n"/>
      <c r="D36" s="4" t="n"/>
      <c r="E36" s="3" t="n"/>
      <c r="F36" s="46" t="n"/>
      <c r="G36" s="3" t="n"/>
      <c r="H36" s="47" t="n"/>
      <c r="I36" s="3" t="n"/>
      <c r="J36" s="48" t="n"/>
      <c r="K36" s="3" t="n"/>
      <c r="L36" s="46" t="n"/>
    </row>
    <row r="37" ht="28" customHeight="1">
      <c r="A37" s="39" t="n">
        <v>3</v>
      </c>
      <c r="B37" s="40" t="n"/>
      <c r="C37" s="4" t="n"/>
      <c r="D37" s="4" t="n"/>
      <c r="E37" s="3" t="n"/>
      <c r="F37" s="41" t="n"/>
      <c r="G37" s="3" t="n"/>
      <c r="H37" s="42" t="n"/>
      <c r="I37" s="3" t="n"/>
      <c r="J37" s="43" t="n"/>
      <c r="K37" s="3" t="n"/>
      <c r="L37" s="41" t="n"/>
    </row>
    <row r="38" ht="28" customHeight="1">
      <c r="A38" s="44" t="n">
        <v>4</v>
      </c>
      <c r="B38" s="45" t="n"/>
      <c r="C38" s="4" t="n"/>
      <c r="D38" s="4" t="n"/>
      <c r="E38" s="3" t="n"/>
      <c r="F38" s="46" t="n"/>
      <c r="G38" s="3" t="n"/>
      <c r="H38" s="47" t="n"/>
      <c r="I38" s="3" t="n"/>
      <c r="J38" s="48" t="n"/>
      <c r="K38" s="3" t="n"/>
      <c r="L38" s="46" t="n"/>
    </row>
    <row r="39" ht="28" customHeight="1">
      <c r="A39" s="39" t="n">
        <v>5</v>
      </c>
      <c r="B39" s="40" t="n"/>
      <c r="C39" s="4" t="n"/>
      <c r="D39" s="4" t="n"/>
      <c r="E39" s="3" t="n"/>
      <c r="F39" s="41" t="n"/>
      <c r="G39" s="3" t="n"/>
      <c r="H39" s="42" t="n"/>
      <c r="I39" s="3" t="n"/>
      <c r="J39" s="43" t="n"/>
      <c r="K39" s="3" t="n"/>
      <c r="L39" s="41" t="n"/>
    </row>
    <row r="40" ht="28" customHeight="1">
      <c r="A40" s="44" t="n">
        <v>6</v>
      </c>
      <c r="B40" s="45" t="n"/>
      <c r="C40" s="4" t="n"/>
      <c r="D40" s="4" t="n"/>
      <c r="E40" s="3" t="n"/>
      <c r="F40" s="46" t="n"/>
      <c r="G40" s="3" t="n"/>
      <c r="H40" s="47" t="n"/>
      <c r="I40" s="3" t="n"/>
      <c r="J40" s="48" t="n"/>
      <c r="K40" s="3" t="n"/>
      <c r="L40" s="46" t="n"/>
    </row>
    <row r="41" ht="8" customHeight="1"/>
    <row r="42" ht="22" customHeight="1">
      <c r="A42" s="52" t="inlineStr">
        <is>
          <t>Блиц-запись    ·    Коршак</t>
        </is>
      </c>
      <c r="L42" s="53">
        <f>IF(COUNTA(B44:B49)=0,"","вып. "&amp;SUMPRODUCT((B44:B49&lt;&gt;"")*(L44:L49="Выполнено"))&amp;" из "&amp;COUNTA(B44:B49))</f>
        <v/>
      </c>
    </row>
    <row r="43" ht="20" customHeight="1">
      <c r="A43" s="54" t="inlineStr">
        <is>
          <t>№</t>
        </is>
      </c>
      <c r="B43" s="54" t="inlineStr">
        <is>
          <t>Задача</t>
        </is>
      </c>
      <c r="C43" s="4" t="n"/>
      <c r="D43" s="4" t="n"/>
      <c r="E43" s="3" t="n"/>
      <c r="F43" s="54" t="inlineStr">
        <is>
          <t>Ответственный</t>
        </is>
      </c>
      <c r="G43" s="3" t="n"/>
      <c r="H43" s="54" t="inlineStr">
        <is>
          <t>Срок</t>
        </is>
      </c>
      <c r="I43" s="3" t="n"/>
      <c r="J43" s="54" t="inlineStr">
        <is>
          <t>Комментарии</t>
        </is>
      </c>
      <c r="K43" s="3" t="n"/>
      <c r="L43" s="54" t="inlineStr">
        <is>
          <t>Состояние</t>
        </is>
      </c>
    </row>
    <row r="44" ht="28" customHeight="1">
      <c r="A44" s="39" t="n">
        <v>1</v>
      </c>
      <c r="B44" s="40" t="n"/>
      <c r="C44" s="4" t="n"/>
      <c r="D44" s="4" t="n"/>
      <c r="E44" s="3" t="n"/>
      <c r="F44" s="41" t="n"/>
      <c r="G44" s="3" t="n"/>
      <c r="H44" s="42" t="n"/>
      <c r="I44" s="3" t="n"/>
      <c r="J44" s="43" t="n"/>
      <c r="K44" s="3" t="n"/>
      <c r="L44" s="41" t="n"/>
    </row>
    <row r="45" ht="28" customHeight="1">
      <c r="A45" s="44" t="n">
        <v>2</v>
      </c>
      <c r="B45" s="45" t="n"/>
      <c r="C45" s="4" t="n"/>
      <c r="D45" s="4" t="n"/>
      <c r="E45" s="3" t="n"/>
      <c r="F45" s="46" t="n"/>
      <c r="G45" s="3" t="n"/>
      <c r="H45" s="47" t="n"/>
      <c r="I45" s="3" t="n"/>
      <c r="J45" s="48" t="n"/>
      <c r="K45" s="3" t="n"/>
      <c r="L45" s="46" t="n"/>
    </row>
    <row r="46" ht="28" customHeight="1">
      <c r="A46" s="39" t="n">
        <v>3</v>
      </c>
      <c r="B46" s="40" t="n"/>
      <c r="C46" s="4" t="n"/>
      <c r="D46" s="4" t="n"/>
      <c r="E46" s="3" t="n"/>
      <c r="F46" s="41" t="n"/>
      <c r="G46" s="3" t="n"/>
      <c r="H46" s="42" t="n"/>
      <c r="I46" s="3" t="n"/>
      <c r="J46" s="43" t="n"/>
      <c r="K46" s="3" t="n"/>
      <c r="L46" s="41" t="n"/>
    </row>
    <row r="47" ht="28" customHeight="1">
      <c r="A47" s="44" t="n">
        <v>4</v>
      </c>
      <c r="B47" s="45" t="n"/>
      <c r="C47" s="4" t="n"/>
      <c r="D47" s="4" t="n"/>
      <c r="E47" s="3" t="n"/>
      <c r="F47" s="46" t="n"/>
      <c r="G47" s="3" t="n"/>
      <c r="H47" s="47" t="n"/>
      <c r="I47" s="3" t="n"/>
      <c r="J47" s="48" t="n"/>
      <c r="K47" s="3" t="n"/>
      <c r="L47" s="46" t="n"/>
    </row>
    <row r="48" ht="28" customHeight="1">
      <c r="A48" s="39" t="n">
        <v>5</v>
      </c>
      <c r="B48" s="40" t="n"/>
      <c r="C48" s="4" t="n"/>
      <c r="D48" s="4" t="n"/>
      <c r="E48" s="3" t="n"/>
      <c r="F48" s="41" t="n"/>
      <c r="G48" s="3" t="n"/>
      <c r="H48" s="42" t="n"/>
      <c r="I48" s="3" t="n"/>
      <c r="J48" s="43" t="n"/>
      <c r="K48" s="3" t="n"/>
      <c r="L48" s="41" t="n"/>
    </row>
    <row r="49" ht="28" customHeight="1">
      <c r="A49" s="44" t="n">
        <v>6</v>
      </c>
      <c r="B49" s="45" t="n"/>
      <c r="C49" s="4" t="n"/>
      <c r="D49" s="4" t="n"/>
      <c r="E49" s="3" t="n"/>
      <c r="F49" s="46" t="n"/>
      <c r="G49" s="3" t="n"/>
      <c r="H49" s="47" t="n"/>
      <c r="I49" s="3" t="n"/>
      <c r="J49" s="48" t="n"/>
      <c r="K49" s="3" t="n"/>
      <c r="L49" s="46" t="n"/>
    </row>
    <row r="50" ht="8" customHeight="1"/>
    <row r="51" ht="22" customHeight="1">
      <c r="A51" s="55" t="inlineStr">
        <is>
          <t>Общие задачи планерки</t>
        </is>
      </c>
      <c r="L51" s="56">
        <f>IF(COUNTA(B53:B57)=0,"","вып. "&amp;SUMPRODUCT((B53:B57&lt;&gt;"")*(L53:L57="Выполнено"))&amp;" из "&amp;COUNTA(B53:B57))</f>
        <v/>
      </c>
    </row>
    <row r="52" ht="20" customHeight="1">
      <c r="A52" s="57" t="inlineStr">
        <is>
          <t>№</t>
        </is>
      </c>
      <c r="B52" s="57" t="inlineStr">
        <is>
          <t>Задача</t>
        </is>
      </c>
      <c r="C52" s="4" t="n"/>
      <c r="D52" s="4" t="n"/>
      <c r="E52" s="3" t="n"/>
      <c r="F52" s="57" t="inlineStr">
        <is>
          <t>Ответственный</t>
        </is>
      </c>
      <c r="G52" s="3" t="n"/>
      <c r="H52" s="57" t="inlineStr">
        <is>
          <t>Срок</t>
        </is>
      </c>
      <c r="I52" s="3" t="n"/>
      <c r="J52" s="57" t="inlineStr">
        <is>
          <t>Комментарии</t>
        </is>
      </c>
      <c r="K52" s="3" t="n"/>
      <c r="L52" s="57" t="inlineStr">
        <is>
          <t>Состояние</t>
        </is>
      </c>
    </row>
    <row r="53" ht="28" customHeight="1">
      <c r="A53" s="39" t="n">
        <v>1</v>
      </c>
      <c r="B53" s="40" t="n"/>
      <c r="C53" s="4" t="n"/>
      <c r="D53" s="4" t="n"/>
      <c r="E53" s="3" t="n"/>
      <c r="F53" s="41" t="n"/>
      <c r="G53" s="3" t="n"/>
      <c r="H53" s="42" t="n"/>
      <c r="I53" s="3" t="n"/>
      <c r="J53" s="43" t="n"/>
      <c r="K53" s="3" t="n"/>
      <c r="L53" s="41" t="n"/>
    </row>
    <row r="54" ht="28" customHeight="1">
      <c r="A54" s="44" t="n">
        <v>2</v>
      </c>
      <c r="B54" s="45" t="n"/>
      <c r="C54" s="4" t="n"/>
      <c r="D54" s="4" t="n"/>
      <c r="E54" s="3" t="n"/>
      <c r="F54" s="46" t="n"/>
      <c r="G54" s="3" t="n"/>
      <c r="H54" s="47" t="n"/>
      <c r="I54" s="3" t="n"/>
      <c r="J54" s="48" t="n"/>
      <c r="K54" s="3" t="n"/>
      <c r="L54" s="46" t="n"/>
    </row>
    <row r="55" ht="28" customHeight="1">
      <c r="A55" s="39" t="n">
        <v>3</v>
      </c>
      <c r="B55" s="40" t="n"/>
      <c r="C55" s="4" t="n"/>
      <c r="D55" s="4" t="n"/>
      <c r="E55" s="3" t="n"/>
      <c r="F55" s="41" t="n"/>
      <c r="G55" s="3" t="n"/>
      <c r="H55" s="42" t="n"/>
      <c r="I55" s="3" t="n"/>
      <c r="J55" s="43" t="n"/>
      <c r="K55" s="3" t="n"/>
      <c r="L55" s="41" t="n"/>
    </row>
    <row r="56" ht="28" customHeight="1">
      <c r="A56" s="44" t="n">
        <v>4</v>
      </c>
      <c r="B56" s="45" t="n"/>
      <c r="C56" s="4" t="n"/>
      <c r="D56" s="4" t="n"/>
      <c r="E56" s="3" t="n"/>
      <c r="F56" s="46" t="n"/>
      <c r="G56" s="3" t="n"/>
      <c r="H56" s="47" t="n"/>
      <c r="I56" s="3" t="n"/>
      <c r="J56" s="48" t="n"/>
      <c r="K56" s="3" t="n"/>
      <c r="L56" s="46" t="n"/>
    </row>
    <row r="57" ht="28" customHeight="1">
      <c r="A57" s="39" t="n">
        <v>5</v>
      </c>
      <c r="B57" s="40" t="n"/>
      <c r="C57" s="4" t="n"/>
      <c r="D57" s="4" t="n"/>
      <c r="E57" s="3" t="n"/>
      <c r="F57" s="41" t="n"/>
      <c r="G57" s="3" t="n"/>
      <c r="H57" s="42" t="n"/>
      <c r="I57" s="3" t="n"/>
      <c r="J57" s="43" t="n"/>
      <c r="K57" s="3" t="n"/>
      <c r="L57" s="41" t="n"/>
    </row>
    <row r="59" ht="36" customHeight="1">
      <c r="A59" s="58" t="inlineStr">
        <is>
          <t>Следующая планерка: щёлкните правой кнопкой по ярлыку листа → «Переместить или скопировать» → «Создать копию» и переименуйте лист в дату встречи. Жёлтые ячейки — план, серые с процентом и счётчик задач считаются сами, их не нужно заполнять.</t>
        </is>
      </c>
    </row>
  </sheetData>
  <mergeCells count="140">
    <mergeCell ref="H53:I53"/>
    <mergeCell ref="H35:I35"/>
    <mergeCell ref="F29:G29"/>
    <mergeCell ref="F25:G25"/>
    <mergeCell ref="A24:K24"/>
    <mergeCell ref="A51:K51"/>
    <mergeCell ref="H55:I55"/>
    <mergeCell ref="J28:K28"/>
    <mergeCell ref="A21:L21"/>
    <mergeCell ref="B36:E36"/>
    <mergeCell ref="H39:I39"/>
    <mergeCell ref="B45:E45"/>
    <mergeCell ref="J53:K53"/>
    <mergeCell ref="B47:E47"/>
    <mergeCell ref="J45:K45"/>
    <mergeCell ref="J3:L3"/>
    <mergeCell ref="H52:I52"/>
    <mergeCell ref="B31:E31"/>
    <mergeCell ref="H45:I45"/>
    <mergeCell ref="A33:K33"/>
    <mergeCell ref="B39:E39"/>
    <mergeCell ref="H37:I37"/>
    <mergeCell ref="B8:B10"/>
    <mergeCell ref="J31:K31"/>
    <mergeCell ref="A42:K42"/>
    <mergeCell ref="F56:G56"/>
    <mergeCell ref="F43:G43"/>
    <mergeCell ref="G2:I2"/>
    <mergeCell ref="B38:E38"/>
    <mergeCell ref="A6:L6"/>
    <mergeCell ref="C3:D3"/>
    <mergeCell ref="F57:G57"/>
    <mergeCell ref="E3:F3"/>
    <mergeCell ref="B40:E40"/>
    <mergeCell ref="B49:E49"/>
    <mergeCell ref="F54:G54"/>
    <mergeCell ref="H54:I54"/>
    <mergeCell ref="F34:G34"/>
    <mergeCell ref="J57:K57"/>
    <mergeCell ref="A14:A16"/>
    <mergeCell ref="J7:L7"/>
    <mergeCell ref="H56:I56"/>
    <mergeCell ref="H25:I25"/>
    <mergeCell ref="B26:E26"/>
    <mergeCell ref="H34:I34"/>
    <mergeCell ref="F30:G30"/>
    <mergeCell ref="J34:K34"/>
    <mergeCell ref="B35:E35"/>
    <mergeCell ref="A5:L5"/>
    <mergeCell ref="H49:I49"/>
    <mergeCell ref="F45:G45"/>
    <mergeCell ref="B25:E25"/>
    <mergeCell ref="J49:K49"/>
    <mergeCell ref="J27:K27"/>
    <mergeCell ref="H36:I36"/>
    <mergeCell ref="J36:K36"/>
    <mergeCell ref="B27:E27"/>
    <mergeCell ref="J2:L2"/>
    <mergeCell ref="F47:G47"/>
    <mergeCell ref="F31:G31"/>
    <mergeCell ref="F46:G46"/>
    <mergeCell ref="B11:B13"/>
    <mergeCell ref="F28:G28"/>
    <mergeCell ref="H28:I28"/>
    <mergeCell ref="F39:G39"/>
    <mergeCell ref="F48:G48"/>
    <mergeCell ref="B53:E53"/>
    <mergeCell ref="J46:K46"/>
    <mergeCell ref="H48:I48"/>
    <mergeCell ref="B14:B16"/>
    <mergeCell ref="B29:E29"/>
    <mergeCell ref="B37:E37"/>
    <mergeCell ref="J48:K48"/>
    <mergeCell ref="A8:A10"/>
    <mergeCell ref="J29:K29"/>
    <mergeCell ref="H38:I38"/>
    <mergeCell ref="J38:K38"/>
    <mergeCell ref="H43:I43"/>
    <mergeCell ref="B55:E55"/>
    <mergeCell ref="G3:I3"/>
    <mergeCell ref="H31:I31"/>
    <mergeCell ref="H40:I40"/>
    <mergeCell ref="J40:K40"/>
    <mergeCell ref="F53:G53"/>
    <mergeCell ref="B54:E54"/>
    <mergeCell ref="A22:L22"/>
    <mergeCell ref="F36:G36"/>
    <mergeCell ref="A3:B3"/>
    <mergeCell ref="J26:K26"/>
    <mergeCell ref="J35:K35"/>
    <mergeCell ref="B56:E56"/>
    <mergeCell ref="B43:E43"/>
    <mergeCell ref="B52:E52"/>
    <mergeCell ref="J25:K25"/>
    <mergeCell ref="H57:I57"/>
    <mergeCell ref="A59:L59"/>
    <mergeCell ref="B57:E57"/>
    <mergeCell ref="J8:L10"/>
    <mergeCell ref="J17:L19"/>
    <mergeCell ref="B44:E44"/>
    <mergeCell ref="F49:G49"/>
    <mergeCell ref="B34:E34"/>
    <mergeCell ref="B28:E28"/>
    <mergeCell ref="J52:K52"/>
    <mergeCell ref="H30:I30"/>
    <mergeCell ref="J39:K39"/>
    <mergeCell ref="J44:K44"/>
    <mergeCell ref="H29:I29"/>
    <mergeCell ref="B30:E30"/>
    <mergeCell ref="J37:K37"/>
    <mergeCell ref="H44:I44"/>
    <mergeCell ref="F40:G40"/>
    <mergeCell ref="J11:L13"/>
    <mergeCell ref="J30:K30"/>
    <mergeCell ref="F55:G55"/>
    <mergeCell ref="H46:I46"/>
    <mergeCell ref="F26:G26"/>
    <mergeCell ref="J55:K55"/>
    <mergeCell ref="B46:E46"/>
    <mergeCell ref="F35:G35"/>
    <mergeCell ref="A2:B2"/>
    <mergeCell ref="C2:D2"/>
    <mergeCell ref="F38:G38"/>
    <mergeCell ref="E2:F2"/>
    <mergeCell ref="J54:K54"/>
    <mergeCell ref="B48:E48"/>
    <mergeCell ref="A11:A13"/>
    <mergeCell ref="H47:I47"/>
    <mergeCell ref="F27:G27"/>
    <mergeCell ref="J47:K47"/>
    <mergeCell ref="A17:B19"/>
    <mergeCell ref="H27:I27"/>
    <mergeCell ref="F52:G52"/>
    <mergeCell ref="J56:K56"/>
    <mergeCell ref="F37:G37"/>
    <mergeCell ref="J14:L16"/>
    <mergeCell ref="J43:K43"/>
    <mergeCell ref="A1:L1"/>
    <mergeCell ref="F44:G44"/>
    <mergeCell ref="H26:I26"/>
  </mergeCells>
  <conditionalFormatting sqref="D10:I10">
    <cfRule type="expression" priority="1" dxfId="0" stopIfTrue="1">
      <formula>AND(ISNUMBER(D10),D10&gt;=1)</formula>
    </cfRule>
    <cfRule type="expression" priority="2" dxfId="1" stopIfTrue="1">
      <formula>AND(ISNUMBER(D10),D10&gt;=0.8)</formula>
    </cfRule>
    <cfRule type="expression" priority="3" dxfId="2">
      <formula>AND(ISNUMBER(D10),D10&lt;0.8)</formula>
    </cfRule>
  </conditionalFormatting>
  <conditionalFormatting sqref="D13:I13">
    <cfRule type="expression" priority="4" dxfId="0" stopIfTrue="1">
      <formula>AND(ISNUMBER(D13),D13&gt;=1)</formula>
    </cfRule>
    <cfRule type="expression" priority="5" dxfId="1" stopIfTrue="1">
      <formula>AND(ISNUMBER(D13),D13&gt;=0.8)</formula>
    </cfRule>
    <cfRule type="expression" priority="6" dxfId="2">
      <formula>AND(ISNUMBER(D13),D13&lt;0.8)</formula>
    </cfRule>
  </conditionalFormatting>
  <conditionalFormatting sqref="D16:I16">
    <cfRule type="expression" priority="7" dxfId="0" stopIfTrue="1">
      <formula>AND(ISNUMBER(D16),D16&gt;=1)</formula>
    </cfRule>
    <cfRule type="expression" priority="8" dxfId="1" stopIfTrue="1">
      <formula>AND(ISNUMBER(D16),D16&gt;=0.8)</formula>
    </cfRule>
    <cfRule type="expression" priority="9" dxfId="2">
      <formula>AND(ISNUMBER(D16),D16&lt;0.8)</formula>
    </cfRule>
  </conditionalFormatting>
  <conditionalFormatting sqref="D19:I19">
    <cfRule type="expression" priority="10" dxfId="0" stopIfTrue="1">
      <formula>AND(ISNUMBER(D19),D19&gt;=1)</formula>
    </cfRule>
    <cfRule type="expression" priority="11" dxfId="1" stopIfTrue="1">
      <formula>AND(ISNUMBER(D19),D19&gt;=0.8)</formula>
    </cfRule>
    <cfRule type="expression" priority="12" dxfId="2">
      <formula>AND(ISNUMBER(D19),D19&lt;0.8)</formula>
    </cfRule>
  </conditionalFormatting>
  <conditionalFormatting sqref="L26:L31">
    <cfRule type="expression" priority="13" dxfId="0">
      <formula>L26="Выполнено"</formula>
    </cfRule>
    <cfRule type="expression" priority="14" dxfId="2">
      <formula>L26="Не выполнено"</formula>
    </cfRule>
  </conditionalFormatting>
  <conditionalFormatting sqref="L35:L40">
    <cfRule type="expression" priority="15" dxfId="0">
      <formula>L35="Выполнено"</formula>
    </cfRule>
    <cfRule type="expression" priority="16" dxfId="2">
      <formula>L35="Не выполнено"</formula>
    </cfRule>
  </conditionalFormatting>
  <conditionalFormatting sqref="L44:L49">
    <cfRule type="expression" priority="17" dxfId="0">
      <formula>L44="Выполнено"</formula>
    </cfRule>
    <cfRule type="expression" priority="18" dxfId="2">
      <formula>L44="Не выполнено"</formula>
    </cfRule>
  </conditionalFormatting>
  <conditionalFormatting sqref="L53:L57">
    <cfRule type="expression" priority="19" dxfId="0">
      <formula>L53="Выполнено"</formula>
    </cfRule>
    <cfRule type="expression" priority="20" dxfId="2">
      <formula>L53="Не выполнено"</formula>
    </cfRule>
  </conditionalFormatting>
  <dataValidations count="1">
    <dataValidation sqref="L26:L31 L35:L40 L44:L49 L53:L57" showDropDown="0" showInputMessage="0" showErrorMessage="1" allowBlank="1" errorTitle="Состояние" error="Выберите «Выполнено» или «Не выполнено». Пояснение пишите в столбце «Комментарии»." type="list" errorStyle="stop">
      <formula1>=StatusList</formula1>
    </dataValidation>
  </dataValidations>
  <pageMargins left="0.4" right="0.4" top="0.55" bottom="0.45" header="0.22" footer="0.22"/>
  <pageSetup orientation="landscape" paperSize="9" fitToHeight="0" fitToWidth="1"/>
  <headerFooter>
    <oddHeader>&amp;L&amp;"Arial"&amp;9 ГК Форус&amp;R&amp;"Arial"&amp;9 Группа продуктового запуска</oddHeader>
    <oddFooter>&amp;L&amp;"Arial"&amp;8 Протокол планерки&amp;R&amp;"Arial"&amp;8 Стр. &amp;P из &amp;N</oddFooter>
    <evenHeader/>
    <evenFooter/>
    <firstHeader/>
    <firstFooter/>
  </headerFooter>
  <rowBreaks count="1" manualBreakCount="1">
    <brk id="3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Выполнено</t>
        </is>
      </c>
    </row>
    <row r="2">
      <c r="A2" t="inlineStr">
        <is>
          <t>Не выполнено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Группа продуктового запуска</dc:creator>
  <dc:title>Протокол планерок группы продуктового запуска</dc:title>
  <dc:subject>1С-ЭПД + Доки, Кабинет сотрудника, Блиц-запись</dc:subject>
  <dcterms:created xsi:type="dcterms:W3CDTF">2026-10-26T07:52:13Z</dcterms:created>
  <dcterms:modified xsi:type="dcterms:W3CDTF">2026-10-26T07:52:13Z</dcterms:modified>
  <cp:category>Протокол планерки</cp:category>
</cp:coreProperties>
</file>